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qlain\Downloads\"/>
    </mc:Choice>
  </mc:AlternateContent>
  <xr:revisionPtr revIDLastSave="0" documentId="13_ncr:1_{5D850FAD-2230-4E45-AFC6-65D0211708A4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Raw_Data" sheetId="1" r:id="rId1"/>
    <sheet name="Cleaned_Data" sheetId="2" r:id="rId2"/>
    <sheet name="EDA" sheetId="3" r:id="rId3"/>
    <sheet name="High_Risk_Performance" sheetId="5" r:id="rId4"/>
    <sheet name="EDA Dashboard" sheetId="6" r:id="rId5"/>
  </sheets>
  <definedNames>
    <definedName name="_xlnm._FilterDatabase" localSheetId="1" hidden="1">Cleaned_Data!$A$1:$P$1001</definedName>
    <definedName name="_xlnm._FilterDatabase" localSheetId="0" hidden="1">Raw_Data!$A$1:$P$1001</definedName>
    <definedName name="_xlcn.WorksheetConnection_Cleaned_DataA1R10011" hidden="1">Cleaned_Data!$A$1:$Q$1001</definedName>
    <definedName name="_xlcn.WorksheetConnection_Customer_Churn_Portfolio_Project.xlsxTable21" hidden="1">Table2[]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leaned_Data!$A$1:$R$1001"/>
          <x15:modelTable id="Table2" name="Table2" connection="WorksheetConnection_Customer_Churn_Portfolio_Project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2" i="2"/>
  <c r="O4" i="6"/>
  <c r="K4" i="6"/>
  <c r="F4" i="6"/>
  <c r="A4" i="6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2" i="2"/>
  <c r="C76" i="3"/>
  <c r="C75" i="3"/>
  <c r="E75" i="3" s="1"/>
  <c r="C71" i="3"/>
  <c r="C70" i="3"/>
  <c r="B76" i="3"/>
  <c r="D76" i="3" s="1"/>
  <c r="B75" i="3"/>
  <c r="B71" i="3"/>
  <c r="D71" i="3" s="1"/>
  <c r="B70" i="3"/>
  <c r="D70" i="3" s="1"/>
  <c r="C66" i="3"/>
  <c r="C65" i="3"/>
  <c r="C64" i="3"/>
  <c r="C63" i="3"/>
  <c r="E63" i="3" s="1"/>
  <c r="B66" i="3"/>
  <c r="E66" i="3" s="1"/>
  <c r="B64" i="3"/>
  <c r="D64" i="3" s="1"/>
  <c r="B65" i="3"/>
  <c r="D65" i="3" s="1"/>
  <c r="B63" i="3"/>
  <c r="C59" i="3"/>
  <c r="C58" i="3"/>
  <c r="E58" i="3" s="1"/>
  <c r="B59" i="3"/>
  <c r="D59" i="3" s="1"/>
  <c r="B58" i="3"/>
  <c r="E51" i="3"/>
  <c r="D49" i="3"/>
  <c r="C54" i="3"/>
  <c r="E54" i="3" s="1"/>
  <c r="C53" i="3"/>
  <c r="C52" i="3"/>
  <c r="C51" i="3"/>
  <c r="C50" i="3"/>
  <c r="E50" i="3" s="1"/>
  <c r="C49" i="3"/>
  <c r="E49" i="3" s="1"/>
  <c r="C48" i="3"/>
  <c r="E48" i="3" s="1"/>
  <c r="B54" i="3"/>
  <c r="B53" i="3"/>
  <c r="D53" i="3" s="1"/>
  <c r="B52" i="3"/>
  <c r="B51" i="3"/>
  <c r="D51" i="3" s="1"/>
  <c r="B50" i="3"/>
  <c r="B49" i="3"/>
  <c r="B48" i="3"/>
  <c r="D48" i="3" s="1"/>
  <c r="C44" i="3"/>
  <c r="B44" i="3"/>
  <c r="C43" i="3"/>
  <c r="B43" i="3"/>
  <c r="D39" i="3"/>
  <c r="C39" i="3"/>
  <c r="B39" i="3"/>
  <c r="D38" i="3"/>
  <c r="C38" i="3"/>
  <c r="B38" i="3"/>
  <c r="D37" i="3"/>
  <c r="C37" i="3"/>
  <c r="B37" i="3"/>
  <c r="D36" i="3"/>
  <c r="C36" i="3"/>
  <c r="B36" i="3"/>
  <c r="D32" i="3"/>
  <c r="C32" i="3"/>
  <c r="B32" i="3"/>
  <c r="D31" i="3"/>
  <c r="C31" i="3"/>
  <c r="E31" i="3" s="1"/>
  <c r="B31" i="3"/>
  <c r="D30" i="3"/>
  <c r="C30" i="3"/>
  <c r="B30" i="3"/>
  <c r="D26" i="3"/>
  <c r="C26" i="3"/>
  <c r="B26" i="3"/>
  <c r="D25" i="3"/>
  <c r="C25" i="3"/>
  <c r="B25" i="3"/>
  <c r="D24" i="3"/>
  <c r="C24" i="3"/>
  <c r="B24" i="3"/>
  <c r="D23" i="3"/>
  <c r="C23" i="3"/>
  <c r="B23" i="3"/>
  <c r="D19" i="3"/>
  <c r="C19" i="3"/>
  <c r="B19" i="3"/>
  <c r="D18" i="3"/>
  <c r="C18" i="3"/>
  <c r="B18" i="3"/>
  <c r="D17" i="3"/>
  <c r="C17" i="3"/>
  <c r="E17" i="3" s="1"/>
  <c r="B17" i="3"/>
  <c r="D16" i="3"/>
  <c r="C16" i="3"/>
  <c r="B16" i="3"/>
  <c r="D12" i="3"/>
  <c r="C12" i="3"/>
  <c r="B12" i="3"/>
  <c r="D11" i="3"/>
  <c r="C11" i="3"/>
  <c r="B11" i="3"/>
  <c r="D10" i="3"/>
  <c r="C10" i="3"/>
  <c r="B10" i="3"/>
  <c r="B5" i="3"/>
  <c r="B4" i="3"/>
  <c r="B3" i="3"/>
  <c r="E36" i="3" l="1"/>
  <c r="D75" i="3"/>
  <c r="D50" i="3"/>
  <c r="D58" i="3"/>
  <c r="E64" i="3"/>
  <c r="E23" i="3"/>
  <c r="E37" i="3"/>
  <c r="D43" i="3"/>
  <c r="D52" i="3"/>
  <c r="E53" i="3"/>
  <c r="E65" i="3"/>
  <c r="E59" i="3"/>
  <c r="D44" i="3"/>
  <c r="D54" i="3"/>
  <c r="D63" i="3"/>
  <c r="D66" i="3"/>
  <c r="E76" i="3"/>
  <c r="E12" i="3"/>
  <c r="E26" i="3"/>
  <c r="E70" i="3"/>
  <c r="E43" i="3"/>
  <c r="E71" i="3"/>
  <c r="E18" i="3"/>
  <c r="E24" i="3"/>
  <c r="E38" i="3"/>
  <c r="E44" i="3"/>
  <c r="E30" i="3"/>
  <c r="E52" i="3"/>
  <c r="E19" i="3"/>
  <c r="E11" i="3"/>
  <c r="E25" i="3"/>
  <c r="E39" i="3"/>
  <c r="E32" i="3"/>
  <c r="E10" i="3"/>
  <c r="E16" i="3"/>
  <c r="B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DA2E43-4CEF-498A-BDAB-B673B83AE31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5C72F35-DAF4-4324-A47D-BF2AAE4B1A75}" name="WorksheetConnection_Cleaned_Data!$A$1:$R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ed_DataA1R10011"/>
        </x15:connection>
      </ext>
    </extLst>
  </connection>
  <connection id="3" xr16:uid="{F4BE2FF5-ABF0-4556-9C4B-FE48C615CC31}" name="WorksheetConnection_Customer_Churn_Portfolio_Project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ustomer_Churn_Portfolio_Project.xlsxTable21"/>
        </x15:connection>
      </ext>
    </extLst>
  </connection>
</connections>
</file>

<file path=xl/sharedStrings.xml><?xml version="1.0" encoding="utf-8"?>
<sst xmlns="http://schemas.openxmlformats.org/spreadsheetml/2006/main" count="24222" uniqueCount="1105">
  <si>
    <t>Customer Churn Analysis — EDA</t>
  </si>
  <si>
    <t>Metric</t>
  </si>
  <si>
    <t>Value</t>
  </si>
  <si>
    <t>Total Customers</t>
  </si>
  <si>
    <t>Churned Customers</t>
  </si>
  <si>
    <t>Stayed Customers</t>
  </si>
  <si>
    <t>Overall Churn Rate</t>
  </si>
  <si>
    <t>Churn by Contract</t>
  </si>
  <si>
    <t>Contract</t>
  </si>
  <si>
    <t>Churned</t>
  </si>
  <si>
    <t>Stayed</t>
  </si>
  <si>
    <t>Churn Rate</t>
  </si>
  <si>
    <t>Month-to-month</t>
  </si>
  <si>
    <t>One year</t>
  </si>
  <si>
    <t>Two year</t>
  </si>
  <si>
    <t>Churn by Tenure Group</t>
  </si>
  <si>
    <t>Tenure Group</t>
  </si>
  <si>
    <t>0–12 months</t>
  </si>
  <si>
    <t>13–24 months</t>
  </si>
  <si>
    <t>25–48 months</t>
  </si>
  <si>
    <t>49+ months</t>
  </si>
  <si>
    <t>Churn by Payment Method</t>
  </si>
  <si>
    <t>Payment Method</t>
  </si>
  <si>
    <t>Bank transfer</t>
  </si>
  <si>
    <t>Credit card</t>
  </si>
  <si>
    <t>Mailed check</t>
  </si>
  <si>
    <t>Electronic check</t>
  </si>
  <si>
    <t>Churn by Internet Service</t>
  </si>
  <si>
    <t>Internet Service</t>
  </si>
  <si>
    <t>DSL</t>
  </si>
  <si>
    <t>Fiber optic</t>
  </si>
  <si>
    <t>No internet</t>
  </si>
  <si>
    <t>Churn by Monthly Charges</t>
  </si>
  <si>
    <t>Charge Group</t>
  </si>
  <si>
    <t>&lt; $50</t>
  </si>
  <si>
    <t>$50–$75</t>
  </si>
  <si>
    <t>$76–$100</t>
  </si>
  <si>
    <t>&gt; $100</t>
  </si>
  <si>
    <t>customer_id</t>
  </si>
  <si>
    <t>age</t>
  </si>
  <si>
    <t>senior_citizen</t>
  </si>
  <si>
    <t>partner</t>
  </si>
  <si>
    <t>dependents</t>
  </si>
  <si>
    <t>tenure_months</t>
  </si>
  <si>
    <t>phone_service</t>
  </si>
  <si>
    <t>multiple_lines</t>
  </si>
  <si>
    <t>internet_service</t>
  </si>
  <si>
    <t>contract</t>
  </si>
  <si>
    <t>paperless_billing</t>
  </si>
  <si>
    <t>payment_method</t>
  </si>
  <si>
    <t>monthly_charges</t>
  </si>
  <si>
    <t>total_charges</t>
  </si>
  <si>
    <t>city</t>
  </si>
  <si>
    <t>churn</t>
  </si>
  <si>
    <t>CUST-00001</t>
  </si>
  <si>
    <t>No</t>
  </si>
  <si>
    <t>Yes</t>
  </si>
  <si>
    <t>Credit card (automatic)</t>
  </si>
  <si>
    <t>Faisalabad</t>
  </si>
  <si>
    <t>CUST-00002</t>
  </si>
  <si>
    <t>No phone service</t>
  </si>
  <si>
    <t>Bank transfer (automatic)</t>
  </si>
  <si>
    <t>Karachi</t>
  </si>
  <si>
    <t>CUST-00003</t>
  </si>
  <si>
    <t>Rawalpindi</t>
  </si>
  <si>
    <t>CUST-00004</t>
  </si>
  <si>
    <t>Peshawar</t>
  </si>
  <si>
    <t>CUST-00005</t>
  </si>
  <si>
    <t>CUST-00006</t>
  </si>
  <si>
    <t>Multan</t>
  </si>
  <si>
    <t>CUST-00007</t>
  </si>
  <si>
    <t>CUST-00008</t>
  </si>
  <si>
    <t>CUST-00009</t>
  </si>
  <si>
    <t>CUST-00010</t>
  </si>
  <si>
    <t>CUST-00011</t>
  </si>
  <si>
    <t>CUST-00012</t>
  </si>
  <si>
    <t>Islamabad</t>
  </si>
  <si>
    <t>CUST-00013</t>
  </si>
  <si>
    <t>CUST-00014</t>
  </si>
  <si>
    <t>CUST-00015</t>
  </si>
  <si>
    <t>Lahore</t>
  </si>
  <si>
    <t>CUST-00016</t>
  </si>
  <si>
    <t>CUST-00017</t>
  </si>
  <si>
    <t>CUST-00018</t>
  </si>
  <si>
    <t>CUST-00019</t>
  </si>
  <si>
    <t>CUST-00020</t>
  </si>
  <si>
    <t>CUST-00021</t>
  </si>
  <si>
    <t>CUST-00022</t>
  </si>
  <si>
    <t>CUST-00023</t>
  </si>
  <si>
    <t>CUST-00024</t>
  </si>
  <si>
    <t>CUST-00025</t>
  </si>
  <si>
    <t>CUST-00026</t>
  </si>
  <si>
    <t>CUST-00027</t>
  </si>
  <si>
    <t>CUST-00028</t>
  </si>
  <si>
    <t>CUST-00029</t>
  </si>
  <si>
    <t>CUST-00030</t>
  </si>
  <si>
    <t>CUST-00031</t>
  </si>
  <si>
    <t>CUST-00032</t>
  </si>
  <si>
    <t>CUST-00033</t>
  </si>
  <si>
    <t>CUST-00034</t>
  </si>
  <si>
    <t>CUST-00035</t>
  </si>
  <si>
    <t>CUST-00036</t>
  </si>
  <si>
    <t>CUST-00037</t>
  </si>
  <si>
    <t>CUST-00038</t>
  </si>
  <si>
    <t>CUST-00039</t>
  </si>
  <si>
    <t>CUST-00040</t>
  </si>
  <si>
    <t>CUST-00041</t>
  </si>
  <si>
    <t>CUST-00042</t>
  </si>
  <si>
    <t>CUST-00043</t>
  </si>
  <si>
    <t>CUST-00044</t>
  </si>
  <si>
    <t>CUST-00045</t>
  </si>
  <si>
    <t>CUST-00046</t>
  </si>
  <si>
    <t>CUST-00047</t>
  </si>
  <si>
    <t>CUST-00048</t>
  </si>
  <si>
    <t>CUST-00049</t>
  </si>
  <si>
    <t>CUST-00050</t>
  </si>
  <si>
    <t>CUST-00051</t>
  </si>
  <si>
    <t>CUST-00052</t>
  </si>
  <si>
    <t>CUST-00053</t>
  </si>
  <si>
    <t>CUST-00054</t>
  </si>
  <si>
    <t>CUST-00055</t>
  </si>
  <si>
    <t>CUST-00056</t>
  </si>
  <si>
    <t>CUST-00057</t>
  </si>
  <si>
    <t>CUST-00058</t>
  </si>
  <si>
    <t>CUST-00059</t>
  </si>
  <si>
    <t>CUST-00060</t>
  </si>
  <si>
    <t>CUST-00061</t>
  </si>
  <si>
    <t>CUST-00062</t>
  </si>
  <si>
    <t>CUST-00063</t>
  </si>
  <si>
    <t>CUST-00064</t>
  </si>
  <si>
    <t>CUST-00065</t>
  </si>
  <si>
    <t>CUST-00066</t>
  </si>
  <si>
    <t>CUST-00067</t>
  </si>
  <si>
    <t>CUST-00068</t>
  </si>
  <si>
    <t>CUST-00069</t>
  </si>
  <si>
    <t>CUST-00070</t>
  </si>
  <si>
    <t>CUST-00071</t>
  </si>
  <si>
    <t>CUST-00072</t>
  </si>
  <si>
    <t>CUST-00073</t>
  </si>
  <si>
    <t>CUST-00074</t>
  </si>
  <si>
    <t>CUST-00075</t>
  </si>
  <si>
    <t>CUST-00076</t>
  </si>
  <si>
    <t>CUST-00077</t>
  </si>
  <si>
    <t>CUST-00078</t>
  </si>
  <si>
    <t>CUST-00079</t>
  </si>
  <si>
    <t>CUST-00080</t>
  </si>
  <si>
    <t>CUST-00081</t>
  </si>
  <si>
    <t>CUST-00082</t>
  </si>
  <si>
    <t>CUST-00083</t>
  </si>
  <si>
    <t>CUST-00084</t>
  </si>
  <si>
    <t>CUST-00085</t>
  </si>
  <si>
    <t>CUST-00086</t>
  </si>
  <si>
    <t>CUST-00087</t>
  </si>
  <si>
    <t>CUST-00088</t>
  </si>
  <si>
    <t>CUST-00089</t>
  </si>
  <si>
    <t>CUST-00090</t>
  </si>
  <si>
    <t>CUST-00091</t>
  </si>
  <si>
    <t>CUST-00092</t>
  </si>
  <si>
    <t>CUST-00093</t>
  </si>
  <si>
    <t>CUST-00094</t>
  </si>
  <si>
    <t>CUST-00095</t>
  </si>
  <si>
    <t>CUST-00096</t>
  </si>
  <si>
    <t>CUST-00097</t>
  </si>
  <si>
    <t>CUST-00098</t>
  </si>
  <si>
    <t>CUST-00099</t>
  </si>
  <si>
    <t>CUST-00100</t>
  </si>
  <si>
    <t>CUST-00101</t>
  </si>
  <si>
    <t>CUST-00102</t>
  </si>
  <si>
    <t>CUST-00103</t>
  </si>
  <si>
    <t>CUST-00104</t>
  </si>
  <si>
    <t>CUST-00105</t>
  </si>
  <si>
    <t>CUST-00106</t>
  </si>
  <si>
    <t>CUST-00107</t>
  </si>
  <si>
    <t>CUST-00108</t>
  </si>
  <si>
    <t>CUST-00109</t>
  </si>
  <si>
    <t>CUST-00110</t>
  </si>
  <si>
    <t>CUST-00111</t>
  </si>
  <si>
    <t>CUST-00112</t>
  </si>
  <si>
    <t>CUST-00113</t>
  </si>
  <si>
    <t>CUST-00114</t>
  </si>
  <si>
    <t>CUST-00115</t>
  </si>
  <si>
    <t>CUST-00116</t>
  </si>
  <si>
    <t>CUST-00117</t>
  </si>
  <si>
    <t>CUST-00118</t>
  </si>
  <si>
    <t>CUST-00119</t>
  </si>
  <si>
    <t>CUST-00120</t>
  </si>
  <si>
    <t>CUST-00121</t>
  </si>
  <si>
    <t>CUST-00122</t>
  </si>
  <si>
    <t>CUST-00123</t>
  </si>
  <si>
    <t>CUST-00124</t>
  </si>
  <si>
    <t>CUST-00125</t>
  </si>
  <si>
    <t>CUST-00126</t>
  </si>
  <si>
    <t>CUST-00127</t>
  </si>
  <si>
    <t>CUST-00128</t>
  </si>
  <si>
    <t>CUST-00129</t>
  </si>
  <si>
    <t>CUST-00130</t>
  </si>
  <si>
    <t>CUST-00131</t>
  </si>
  <si>
    <t>CUST-00132</t>
  </si>
  <si>
    <t>CUST-00133</t>
  </si>
  <si>
    <t>CUST-00134</t>
  </si>
  <si>
    <t>CUST-00135</t>
  </si>
  <si>
    <t>CUST-00136</t>
  </si>
  <si>
    <t>CUST-00137</t>
  </si>
  <si>
    <t>CUST-00138</t>
  </si>
  <si>
    <t>CUST-00139</t>
  </si>
  <si>
    <t>CUST-00140</t>
  </si>
  <si>
    <t>CUST-00141</t>
  </si>
  <si>
    <t>CUST-00142</t>
  </si>
  <si>
    <t>CUST-00143</t>
  </si>
  <si>
    <t>CUST-00144</t>
  </si>
  <si>
    <t>CUST-00145</t>
  </si>
  <si>
    <t>CUST-00146</t>
  </si>
  <si>
    <t>CUST-00147</t>
  </si>
  <si>
    <t>CUST-00148</t>
  </si>
  <si>
    <t>CUST-00149</t>
  </si>
  <si>
    <t>CUST-00150</t>
  </si>
  <si>
    <t>CUST-00151</t>
  </si>
  <si>
    <t>CUST-00152</t>
  </si>
  <si>
    <t>CUST-00153</t>
  </si>
  <si>
    <t>CUST-00154</t>
  </si>
  <si>
    <t>CUST-00155</t>
  </si>
  <si>
    <t>CUST-00156</t>
  </si>
  <si>
    <t>CUST-00157</t>
  </si>
  <si>
    <t>CUST-00158</t>
  </si>
  <si>
    <t>CUST-00159</t>
  </si>
  <si>
    <t>CUST-00160</t>
  </si>
  <si>
    <t>CUST-00161</t>
  </si>
  <si>
    <t>CUST-00162</t>
  </si>
  <si>
    <t>CUST-00163</t>
  </si>
  <si>
    <t>CUST-00164</t>
  </si>
  <si>
    <t>CUST-00165</t>
  </si>
  <si>
    <t>CUST-00166</t>
  </si>
  <si>
    <t>CUST-00167</t>
  </si>
  <si>
    <t>CUST-00168</t>
  </si>
  <si>
    <t>CUST-00169</t>
  </si>
  <si>
    <t>CUST-00170</t>
  </si>
  <si>
    <t>CUST-00171</t>
  </si>
  <si>
    <t>CUST-00172</t>
  </si>
  <si>
    <t>CUST-00173</t>
  </si>
  <si>
    <t>CUST-00174</t>
  </si>
  <si>
    <t>CUST-00175</t>
  </si>
  <si>
    <t>CUST-00176</t>
  </si>
  <si>
    <t>CUST-00177</t>
  </si>
  <si>
    <t>CUST-00178</t>
  </si>
  <si>
    <t>CUST-00179</t>
  </si>
  <si>
    <t>CUST-00180</t>
  </si>
  <si>
    <t>CUST-00181</t>
  </si>
  <si>
    <t>CUST-00182</t>
  </si>
  <si>
    <t>CUST-00183</t>
  </si>
  <si>
    <t>CUST-00184</t>
  </si>
  <si>
    <t>CUST-00185</t>
  </si>
  <si>
    <t>CUST-00186</t>
  </si>
  <si>
    <t>CUST-00187</t>
  </si>
  <si>
    <t>CUST-00188</t>
  </si>
  <si>
    <t>CUST-00189</t>
  </si>
  <si>
    <t>CUST-00190</t>
  </si>
  <si>
    <t>CUST-00191</t>
  </si>
  <si>
    <t>CUST-00192</t>
  </si>
  <si>
    <t>CUST-00193</t>
  </si>
  <si>
    <t>CUST-00194</t>
  </si>
  <si>
    <t>CUST-00195</t>
  </si>
  <si>
    <t>CUST-00196</t>
  </si>
  <si>
    <t>CUST-00197</t>
  </si>
  <si>
    <t>CUST-00198</t>
  </si>
  <si>
    <t>CUST-00199</t>
  </si>
  <si>
    <t>CUST-00200</t>
  </si>
  <si>
    <t>CUST-00201</t>
  </si>
  <si>
    <t>CUST-00202</t>
  </si>
  <si>
    <t>CUST-00203</t>
  </si>
  <si>
    <t>CUST-00204</t>
  </si>
  <si>
    <t>CUST-00205</t>
  </si>
  <si>
    <t>CUST-00206</t>
  </si>
  <si>
    <t>CUST-00207</t>
  </si>
  <si>
    <t>CUST-00208</t>
  </si>
  <si>
    <t>CUST-00209</t>
  </si>
  <si>
    <t>CUST-00210</t>
  </si>
  <si>
    <t>CUST-00211</t>
  </si>
  <si>
    <t>CUST-00212</t>
  </si>
  <si>
    <t>CUST-00213</t>
  </si>
  <si>
    <t>CUST-00214</t>
  </si>
  <si>
    <t>CUST-00215</t>
  </si>
  <si>
    <t>CUST-00216</t>
  </si>
  <si>
    <t>CUST-00217</t>
  </si>
  <si>
    <t>CUST-00218</t>
  </si>
  <si>
    <t>CUST-00219</t>
  </si>
  <si>
    <t>CUST-00220</t>
  </si>
  <si>
    <t>CUST-00221</t>
  </si>
  <si>
    <t>CUST-00222</t>
  </si>
  <si>
    <t>CUST-00223</t>
  </si>
  <si>
    <t>CUST-00224</t>
  </si>
  <si>
    <t>CUST-00225</t>
  </si>
  <si>
    <t>CUST-00226</t>
  </si>
  <si>
    <t>CUST-00227</t>
  </si>
  <si>
    <t>CUST-00228</t>
  </si>
  <si>
    <t>CUST-00229</t>
  </si>
  <si>
    <t>CUST-00230</t>
  </si>
  <si>
    <t>CUST-00231</t>
  </si>
  <si>
    <t>CUST-00232</t>
  </si>
  <si>
    <t>CUST-00233</t>
  </si>
  <si>
    <t>CUST-00234</t>
  </si>
  <si>
    <t>CUST-00235</t>
  </si>
  <si>
    <t>CUST-00236</t>
  </si>
  <si>
    <t>CUST-00237</t>
  </si>
  <si>
    <t>CUST-00238</t>
  </si>
  <si>
    <t>CUST-00239</t>
  </si>
  <si>
    <t>CUST-00240</t>
  </si>
  <si>
    <t>CUST-00241</t>
  </si>
  <si>
    <t>CUST-00242</t>
  </si>
  <si>
    <t>CUST-00243</t>
  </si>
  <si>
    <t>CUST-00244</t>
  </si>
  <si>
    <t>CUST-00245</t>
  </si>
  <si>
    <t>CUST-00246</t>
  </si>
  <si>
    <t>CUST-00247</t>
  </si>
  <si>
    <t>CUST-00248</t>
  </si>
  <si>
    <t>CUST-00249</t>
  </si>
  <si>
    <t>CUST-00250</t>
  </si>
  <si>
    <t>CUST-00251</t>
  </si>
  <si>
    <t>CUST-00252</t>
  </si>
  <si>
    <t>CUST-00253</t>
  </si>
  <si>
    <t>CUST-00254</t>
  </si>
  <si>
    <t>CUST-00255</t>
  </si>
  <si>
    <t>CUST-00256</t>
  </si>
  <si>
    <t>CUST-00257</t>
  </si>
  <si>
    <t>CUST-00258</t>
  </si>
  <si>
    <t>CUST-00259</t>
  </si>
  <si>
    <t>CUST-00260</t>
  </si>
  <si>
    <t>CUST-00261</t>
  </si>
  <si>
    <t>CUST-00262</t>
  </si>
  <si>
    <t>CUST-00263</t>
  </si>
  <si>
    <t>CUST-00264</t>
  </si>
  <si>
    <t>CUST-00265</t>
  </si>
  <si>
    <t>CUST-00266</t>
  </si>
  <si>
    <t>CUST-00267</t>
  </si>
  <si>
    <t>CUST-00268</t>
  </si>
  <si>
    <t>CUST-00269</t>
  </si>
  <si>
    <t>CUST-00270</t>
  </si>
  <si>
    <t>CUST-00271</t>
  </si>
  <si>
    <t>CUST-00272</t>
  </si>
  <si>
    <t>CUST-00273</t>
  </si>
  <si>
    <t>CUST-00274</t>
  </si>
  <si>
    <t>CUST-00275</t>
  </si>
  <si>
    <t>CUST-00276</t>
  </si>
  <si>
    <t>CUST-00277</t>
  </si>
  <si>
    <t>CUST-00278</t>
  </si>
  <si>
    <t>CUST-00279</t>
  </si>
  <si>
    <t>CUST-00280</t>
  </si>
  <si>
    <t>CUST-00281</t>
  </si>
  <si>
    <t>CUST-00282</t>
  </si>
  <si>
    <t>CUST-00283</t>
  </si>
  <si>
    <t>CUST-00284</t>
  </si>
  <si>
    <t>CUST-00285</t>
  </si>
  <si>
    <t>CUST-00286</t>
  </si>
  <si>
    <t>CUST-00287</t>
  </si>
  <si>
    <t>CUST-00288</t>
  </si>
  <si>
    <t>CUST-00289</t>
  </si>
  <si>
    <t>CUST-00290</t>
  </si>
  <si>
    <t>CUST-00291</t>
  </si>
  <si>
    <t>CUST-00292</t>
  </si>
  <si>
    <t>CUST-00293</t>
  </si>
  <si>
    <t>CUST-00294</t>
  </si>
  <si>
    <t>CUST-00295</t>
  </si>
  <si>
    <t>CUST-00296</t>
  </si>
  <si>
    <t>CUST-00297</t>
  </si>
  <si>
    <t>CUST-00298</t>
  </si>
  <si>
    <t>CUST-00299</t>
  </si>
  <si>
    <t>CUST-00300</t>
  </si>
  <si>
    <t>CUST-00301</t>
  </si>
  <si>
    <t>CUST-00302</t>
  </si>
  <si>
    <t>CUST-00303</t>
  </si>
  <si>
    <t>CUST-00304</t>
  </si>
  <si>
    <t>CUST-00305</t>
  </si>
  <si>
    <t>CUST-00306</t>
  </si>
  <si>
    <t>CUST-00307</t>
  </si>
  <si>
    <t>CUST-00308</t>
  </si>
  <si>
    <t>CUST-00309</t>
  </si>
  <si>
    <t>CUST-00310</t>
  </si>
  <si>
    <t>CUST-00311</t>
  </si>
  <si>
    <t>CUST-00312</t>
  </si>
  <si>
    <t>CUST-00313</t>
  </si>
  <si>
    <t>CUST-00314</t>
  </si>
  <si>
    <t>CUST-00315</t>
  </si>
  <si>
    <t>CUST-00316</t>
  </si>
  <si>
    <t>CUST-00317</t>
  </si>
  <si>
    <t>CUST-00318</t>
  </si>
  <si>
    <t>CUST-00319</t>
  </si>
  <si>
    <t>CUST-00320</t>
  </si>
  <si>
    <t>CUST-00321</t>
  </si>
  <si>
    <t>CUST-00322</t>
  </si>
  <si>
    <t>CUST-00323</t>
  </si>
  <si>
    <t>CUST-00324</t>
  </si>
  <si>
    <t>CUST-00325</t>
  </si>
  <si>
    <t>CUST-00326</t>
  </si>
  <si>
    <t>CUST-00327</t>
  </si>
  <si>
    <t>CUST-00328</t>
  </si>
  <si>
    <t>CUST-00329</t>
  </si>
  <si>
    <t>CUST-00330</t>
  </si>
  <si>
    <t>CUST-00331</t>
  </si>
  <si>
    <t>CUST-00332</t>
  </si>
  <si>
    <t>CUST-00333</t>
  </si>
  <si>
    <t>CUST-00334</t>
  </si>
  <si>
    <t>CUST-00335</t>
  </si>
  <si>
    <t>CUST-00336</t>
  </si>
  <si>
    <t>CUST-00337</t>
  </si>
  <si>
    <t>CUST-00338</t>
  </si>
  <si>
    <t>CUST-00339</t>
  </si>
  <si>
    <t>CUST-00340</t>
  </si>
  <si>
    <t>CUST-00341</t>
  </si>
  <si>
    <t>CUST-00342</t>
  </si>
  <si>
    <t>CUST-00343</t>
  </si>
  <si>
    <t>CUST-00344</t>
  </si>
  <si>
    <t>CUST-00345</t>
  </si>
  <si>
    <t>CUST-00346</t>
  </si>
  <si>
    <t>CUST-00347</t>
  </si>
  <si>
    <t>CUST-00348</t>
  </si>
  <si>
    <t>CUST-00349</t>
  </si>
  <si>
    <t>CUST-00350</t>
  </si>
  <si>
    <t>CUST-00351</t>
  </si>
  <si>
    <t>CUST-00352</t>
  </si>
  <si>
    <t>CUST-00353</t>
  </si>
  <si>
    <t>CUST-00354</t>
  </si>
  <si>
    <t>CUST-00355</t>
  </si>
  <si>
    <t>CUST-00356</t>
  </si>
  <si>
    <t>CUST-00357</t>
  </si>
  <si>
    <t>CUST-00358</t>
  </si>
  <si>
    <t>CUST-00359</t>
  </si>
  <si>
    <t>CUST-00360</t>
  </si>
  <si>
    <t>CUST-00361</t>
  </si>
  <si>
    <t>CUST-00362</t>
  </si>
  <si>
    <t>CUST-00363</t>
  </si>
  <si>
    <t>CUST-00364</t>
  </si>
  <si>
    <t>CUST-00365</t>
  </si>
  <si>
    <t>CUST-00366</t>
  </si>
  <si>
    <t>CUST-00367</t>
  </si>
  <si>
    <t>CUST-00368</t>
  </si>
  <si>
    <t>CUST-00369</t>
  </si>
  <si>
    <t>CUST-00370</t>
  </si>
  <si>
    <t>CUST-00371</t>
  </si>
  <si>
    <t>CUST-00372</t>
  </si>
  <si>
    <t>CUST-00373</t>
  </si>
  <si>
    <t>CUST-00374</t>
  </si>
  <si>
    <t>CUST-00375</t>
  </si>
  <si>
    <t>CUST-00376</t>
  </si>
  <si>
    <t>CUST-00377</t>
  </si>
  <si>
    <t>CUST-00378</t>
  </si>
  <si>
    <t>CUST-00379</t>
  </si>
  <si>
    <t>CUST-00380</t>
  </si>
  <si>
    <t>CUST-00381</t>
  </si>
  <si>
    <t>CUST-00382</t>
  </si>
  <si>
    <t>CUST-00383</t>
  </si>
  <si>
    <t>CUST-00384</t>
  </si>
  <si>
    <t>CUST-00385</t>
  </si>
  <si>
    <t>CUST-00386</t>
  </si>
  <si>
    <t>CUST-00387</t>
  </si>
  <si>
    <t>CUST-00388</t>
  </si>
  <si>
    <t>CUST-00389</t>
  </si>
  <si>
    <t>CUST-00390</t>
  </si>
  <si>
    <t>CUST-00391</t>
  </si>
  <si>
    <t>CUST-00392</t>
  </si>
  <si>
    <t>CUST-00393</t>
  </si>
  <si>
    <t>CUST-00394</t>
  </si>
  <si>
    <t>CUST-00395</t>
  </si>
  <si>
    <t>CUST-00396</t>
  </si>
  <si>
    <t>CUST-00397</t>
  </si>
  <si>
    <t>CUST-00398</t>
  </si>
  <si>
    <t>CUST-00399</t>
  </si>
  <si>
    <t>CUST-00400</t>
  </si>
  <si>
    <t>CUST-00401</t>
  </si>
  <si>
    <t>CUST-00402</t>
  </si>
  <si>
    <t>CUST-00403</t>
  </si>
  <si>
    <t>CUST-00404</t>
  </si>
  <si>
    <t>CUST-00405</t>
  </si>
  <si>
    <t>CUST-00406</t>
  </si>
  <si>
    <t>CUST-00407</t>
  </si>
  <si>
    <t>CUST-00408</t>
  </si>
  <si>
    <t>CUST-00409</t>
  </si>
  <si>
    <t>CUST-00410</t>
  </si>
  <si>
    <t>CUST-00411</t>
  </si>
  <si>
    <t>CUST-00412</t>
  </si>
  <si>
    <t>CUST-00413</t>
  </si>
  <si>
    <t>CUST-00414</t>
  </si>
  <si>
    <t>CUST-00415</t>
  </si>
  <si>
    <t>CUST-00416</t>
  </si>
  <si>
    <t>CUST-00417</t>
  </si>
  <si>
    <t>CUST-00418</t>
  </si>
  <si>
    <t>CUST-00419</t>
  </si>
  <si>
    <t>CUST-00420</t>
  </si>
  <si>
    <t>CUST-00421</t>
  </si>
  <si>
    <t>CUST-00422</t>
  </si>
  <si>
    <t>CUST-00423</t>
  </si>
  <si>
    <t>CUST-00424</t>
  </si>
  <si>
    <t>CUST-00425</t>
  </si>
  <si>
    <t>CUST-00426</t>
  </si>
  <si>
    <t>CUST-00427</t>
  </si>
  <si>
    <t>CUST-00428</t>
  </si>
  <si>
    <t>CUST-00429</t>
  </si>
  <si>
    <t>CUST-00430</t>
  </si>
  <si>
    <t>CUST-00431</t>
  </si>
  <si>
    <t>CUST-00432</t>
  </si>
  <si>
    <t>CUST-00433</t>
  </si>
  <si>
    <t>CUST-00434</t>
  </si>
  <si>
    <t>CUST-00435</t>
  </si>
  <si>
    <t>CUST-00436</t>
  </si>
  <si>
    <t>CUST-00437</t>
  </si>
  <si>
    <t>CUST-00438</t>
  </si>
  <si>
    <t>CUST-00439</t>
  </si>
  <si>
    <t>CUST-00440</t>
  </si>
  <si>
    <t>CUST-00441</t>
  </si>
  <si>
    <t>CUST-00442</t>
  </si>
  <si>
    <t>CUST-00443</t>
  </si>
  <si>
    <t>CUST-00444</t>
  </si>
  <si>
    <t>CUST-00445</t>
  </si>
  <si>
    <t>CUST-00446</t>
  </si>
  <si>
    <t>CUST-00447</t>
  </si>
  <si>
    <t>CUST-00448</t>
  </si>
  <si>
    <t>CUST-00449</t>
  </si>
  <si>
    <t>CUST-00450</t>
  </si>
  <si>
    <t>CUST-00451</t>
  </si>
  <si>
    <t>CUST-00452</t>
  </si>
  <si>
    <t>CUST-00453</t>
  </si>
  <si>
    <t>CUST-00454</t>
  </si>
  <si>
    <t>CUST-00455</t>
  </si>
  <si>
    <t>CUST-00456</t>
  </si>
  <si>
    <t>CUST-00457</t>
  </si>
  <si>
    <t>CUST-00458</t>
  </si>
  <si>
    <t>CUST-00459</t>
  </si>
  <si>
    <t>CUST-00460</t>
  </si>
  <si>
    <t>CUST-00461</t>
  </si>
  <si>
    <t>CUST-00462</t>
  </si>
  <si>
    <t>CUST-00463</t>
  </si>
  <si>
    <t>CUST-00464</t>
  </si>
  <si>
    <t>CUST-00465</t>
  </si>
  <si>
    <t>CUST-00466</t>
  </si>
  <si>
    <t>CUST-00467</t>
  </si>
  <si>
    <t>CUST-00468</t>
  </si>
  <si>
    <t>CUST-00469</t>
  </si>
  <si>
    <t>CUST-00470</t>
  </si>
  <si>
    <t>CUST-00471</t>
  </si>
  <si>
    <t>CUST-00472</t>
  </si>
  <si>
    <t>CUST-00473</t>
  </si>
  <si>
    <t>CUST-00474</t>
  </si>
  <si>
    <t>CUST-00475</t>
  </si>
  <si>
    <t>CUST-00476</t>
  </si>
  <si>
    <t>CUST-00477</t>
  </si>
  <si>
    <t>CUST-00478</t>
  </si>
  <si>
    <t>CUST-00479</t>
  </si>
  <si>
    <t>CUST-00480</t>
  </si>
  <si>
    <t>CUST-00481</t>
  </si>
  <si>
    <t>CUST-00482</t>
  </si>
  <si>
    <t>CUST-00483</t>
  </si>
  <si>
    <t>CUST-00484</t>
  </si>
  <si>
    <t>CUST-00485</t>
  </si>
  <si>
    <t>CUST-00486</t>
  </si>
  <si>
    <t>CUST-00487</t>
  </si>
  <si>
    <t>CUST-00488</t>
  </si>
  <si>
    <t>CUST-00489</t>
  </si>
  <si>
    <t>CUST-00490</t>
  </si>
  <si>
    <t>CUST-00491</t>
  </si>
  <si>
    <t>CUST-00492</t>
  </si>
  <si>
    <t>CUST-00493</t>
  </si>
  <si>
    <t>CUST-00494</t>
  </si>
  <si>
    <t>CUST-00495</t>
  </si>
  <si>
    <t>CUST-00496</t>
  </si>
  <si>
    <t>CUST-00497</t>
  </si>
  <si>
    <t>CUST-00498</t>
  </si>
  <si>
    <t>CUST-00499</t>
  </si>
  <si>
    <t>CUST-00500</t>
  </si>
  <si>
    <t>CUST-00501</t>
  </si>
  <si>
    <t>CUST-00502</t>
  </si>
  <si>
    <t>CUST-00503</t>
  </si>
  <si>
    <t>CUST-00504</t>
  </si>
  <si>
    <t>CUST-00505</t>
  </si>
  <si>
    <t>CUST-00506</t>
  </si>
  <si>
    <t>CUST-00507</t>
  </si>
  <si>
    <t>CUST-00508</t>
  </si>
  <si>
    <t>CUST-00509</t>
  </si>
  <si>
    <t>CUST-00510</t>
  </si>
  <si>
    <t>CUST-00511</t>
  </si>
  <si>
    <t>CUST-00512</t>
  </si>
  <si>
    <t>CUST-00513</t>
  </si>
  <si>
    <t>CUST-00514</t>
  </si>
  <si>
    <t>CUST-00515</t>
  </si>
  <si>
    <t>CUST-00516</t>
  </si>
  <si>
    <t>CUST-00517</t>
  </si>
  <si>
    <t>CUST-00518</t>
  </si>
  <si>
    <t>CUST-00519</t>
  </si>
  <si>
    <t>CUST-00520</t>
  </si>
  <si>
    <t>CUST-00521</t>
  </si>
  <si>
    <t>CUST-00522</t>
  </si>
  <si>
    <t>CUST-00523</t>
  </si>
  <si>
    <t>CUST-00524</t>
  </si>
  <si>
    <t>CUST-00525</t>
  </si>
  <si>
    <t>CUST-00526</t>
  </si>
  <si>
    <t>CUST-00527</t>
  </si>
  <si>
    <t>CUST-00528</t>
  </si>
  <si>
    <t>CUST-00529</t>
  </si>
  <si>
    <t>CUST-00530</t>
  </si>
  <si>
    <t>CUST-00531</t>
  </si>
  <si>
    <t>CUST-00532</t>
  </si>
  <si>
    <t>CUST-00533</t>
  </si>
  <si>
    <t>CUST-00534</t>
  </si>
  <si>
    <t>CUST-00535</t>
  </si>
  <si>
    <t>CUST-00536</t>
  </si>
  <si>
    <t>CUST-00537</t>
  </si>
  <si>
    <t>CUST-00538</t>
  </si>
  <si>
    <t>CUST-00539</t>
  </si>
  <si>
    <t>CUST-00540</t>
  </si>
  <si>
    <t>CUST-00541</t>
  </si>
  <si>
    <t>CUST-00542</t>
  </si>
  <si>
    <t>CUST-00543</t>
  </si>
  <si>
    <t>CUST-00544</t>
  </si>
  <si>
    <t>CUST-00545</t>
  </si>
  <si>
    <t>CUST-00546</t>
  </si>
  <si>
    <t>CUST-00547</t>
  </si>
  <si>
    <t>CUST-00548</t>
  </si>
  <si>
    <t>CUST-00549</t>
  </si>
  <si>
    <t>CUST-00550</t>
  </si>
  <si>
    <t>CUST-00551</t>
  </si>
  <si>
    <t>CUST-00552</t>
  </si>
  <si>
    <t>CUST-00553</t>
  </si>
  <si>
    <t>CUST-00554</t>
  </si>
  <si>
    <t>CUST-00555</t>
  </si>
  <si>
    <t>CUST-00556</t>
  </si>
  <si>
    <t>CUST-00557</t>
  </si>
  <si>
    <t>CUST-00558</t>
  </si>
  <si>
    <t>CUST-00559</t>
  </si>
  <si>
    <t>CUST-00560</t>
  </si>
  <si>
    <t>CUST-00561</t>
  </si>
  <si>
    <t>CUST-00562</t>
  </si>
  <si>
    <t>CUST-00563</t>
  </si>
  <si>
    <t>CUST-00564</t>
  </si>
  <si>
    <t>CUST-00565</t>
  </si>
  <si>
    <t>CUST-00566</t>
  </si>
  <si>
    <t>CUST-00567</t>
  </si>
  <si>
    <t>CUST-00568</t>
  </si>
  <si>
    <t>CUST-00569</t>
  </si>
  <si>
    <t>CUST-00570</t>
  </si>
  <si>
    <t>CUST-00571</t>
  </si>
  <si>
    <t>CUST-00572</t>
  </si>
  <si>
    <t>CUST-00573</t>
  </si>
  <si>
    <t>CUST-00574</t>
  </si>
  <si>
    <t>CUST-00575</t>
  </si>
  <si>
    <t>CUST-00576</t>
  </si>
  <si>
    <t>CUST-00577</t>
  </si>
  <si>
    <t>CUST-00578</t>
  </si>
  <si>
    <t>CUST-00579</t>
  </si>
  <si>
    <t>CUST-00580</t>
  </si>
  <si>
    <t>CUST-00581</t>
  </si>
  <si>
    <t>CUST-00582</t>
  </si>
  <si>
    <t>CUST-00583</t>
  </si>
  <si>
    <t>CUST-00584</t>
  </si>
  <si>
    <t>CUST-00585</t>
  </si>
  <si>
    <t>CUST-00586</t>
  </si>
  <si>
    <t>CUST-00587</t>
  </si>
  <si>
    <t>CUST-00588</t>
  </si>
  <si>
    <t>CUST-00589</t>
  </si>
  <si>
    <t>CUST-00590</t>
  </si>
  <si>
    <t>CUST-00591</t>
  </si>
  <si>
    <t>CUST-00592</t>
  </si>
  <si>
    <t>CUST-00593</t>
  </si>
  <si>
    <t>CUST-00594</t>
  </si>
  <si>
    <t>CUST-00595</t>
  </si>
  <si>
    <t>CUST-00596</t>
  </si>
  <si>
    <t>CUST-00597</t>
  </si>
  <si>
    <t>CUST-00598</t>
  </si>
  <si>
    <t>CUST-00599</t>
  </si>
  <si>
    <t>CUST-00600</t>
  </si>
  <si>
    <t>CUST-00601</t>
  </si>
  <si>
    <t>CUST-00602</t>
  </si>
  <si>
    <t>CUST-00603</t>
  </si>
  <si>
    <t>CUST-00604</t>
  </si>
  <si>
    <t>CUST-00605</t>
  </si>
  <si>
    <t>CUST-00606</t>
  </si>
  <si>
    <t>CUST-00607</t>
  </si>
  <si>
    <t>CUST-00608</t>
  </si>
  <si>
    <t>CUST-00609</t>
  </si>
  <si>
    <t>CUST-00610</t>
  </si>
  <si>
    <t>CUST-00611</t>
  </si>
  <si>
    <t>CUST-00612</t>
  </si>
  <si>
    <t>CUST-00613</t>
  </si>
  <si>
    <t>CUST-00614</t>
  </si>
  <si>
    <t>CUST-00615</t>
  </si>
  <si>
    <t>CUST-00616</t>
  </si>
  <si>
    <t>CUST-00617</t>
  </si>
  <si>
    <t>CUST-00618</t>
  </si>
  <si>
    <t>CUST-00619</t>
  </si>
  <si>
    <t>CUST-00620</t>
  </si>
  <si>
    <t>CUST-00621</t>
  </si>
  <si>
    <t>CUST-00622</t>
  </si>
  <si>
    <t>CUST-00623</t>
  </si>
  <si>
    <t>CUST-00624</t>
  </si>
  <si>
    <t>CUST-00625</t>
  </si>
  <si>
    <t>CUST-00626</t>
  </si>
  <si>
    <t>CUST-00627</t>
  </si>
  <si>
    <t>CUST-00628</t>
  </si>
  <si>
    <t>CUST-00629</t>
  </si>
  <si>
    <t>CUST-00630</t>
  </si>
  <si>
    <t>CUST-00631</t>
  </si>
  <si>
    <t>CUST-00632</t>
  </si>
  <si>
    <t>CUST-00633</t>
  </si>
  <si>
    <t>CUST-00634</t>
  </si>
  <si>
    <t>CUST-00635</t>
  </si>
  <si>
    <t>CUST-00636</t>
  </si>
  <si>
    <t>CUST-00637</t>
  </si>
  <si>
    <t>CUST-00638</t>
  </si>
  <si>
    <t>CUST-00639</t>
  </si>
  <si>
    <t>CUST-00640</t>
  </si>
  <si>
    <t>CUST-00641</t>
  </si>
  <si>
    <t>CUST-00642</t>
  </si>
  <si>
    <t>CUST-00643</t>
  </si>
  <si>
    <t>CUST-00644</t>
  </si>
  <si>
    <t>CUST-00645</t>
  </si>
  <si>
    <t>CUST-00646</t>
  </si>
  <si>
    <t>CUST-00647</t>
  </si>
  <si>
    <t>CUST-00648</t>
  </si>
  <si>
    <t>CUST-00649</t>
  </si>
  <si>
    <t>CUST-00650</t>
  </si>
  <si>
    <t>CUST-00651</t>
  </si>
  <si>
    <t>CUST-00652</t>
  </si>
  <si>
    <t>CUST-00653</t>
  </si>
  <si>
    <t>CUST-00654</t>
  </si>
  <si>
    <t>CUST-00655</t>
  </si>
  <si>
    <t>CUST-00656</t>
  </si>
  <si>
    <t>CUST-00657</t>
  </si>
  <si>
    <t>CUST-00658</t>
  </si>
  <si>
    <t>CUST-00659</t>
  </si>
  <si>
    <t>CUST-00660</t>
  </si>
  <si>
    <t>CUST-00661</t>
  </si>
  <si>
    <t>CUST-00662</t>
  </si>
  <si>
    <t>CUST-00663</t>
  </si>
  <si>
    <t>CUST-00664</t>
  </si>
  <si>
    <t>CUST-00665</t>
  </si>
  <si>
    <t>CUST-00666</t>
  </si>
  <si>
    <t>CUST-00667</t>
  </si>
  <si>
    <t>CUST-00668</t>
  </si>
  <si>
    <t>CUST-00669</t>
  </si>
  <si>
    <t>CUST-00670</t>
  </si>
  <si>
    <t>CUST-00671</t>
  </si>
  <si>
    <t>CUST-00672</t>
  </si>
  <si>
    <t>CUST-00673</t>
  </si>
  <si>
    <t>CUST-00674</t>
  </si>
  <si>
    <t>CUST-00675</t>
  </si>
  <si>
    <t>CUST-00676</t>
  </si>
  <si>
    <t>CUST-00677</t>
  </si>
  <si>
    <t>CUST-00678</t>
  </si>
  <si>
    <t>CUST-00679</t>
  </si>
  <si>
    <t>CUST-00680</t>
  </si>
  <si>
    <t>CUST-00681</t>
  </si>
  <si>
    <t>CUST-00682</t>
  </si>
  <si>
    <t>CUST-00683</t>
  </si>
  <si>
    <t>CUST-00684</t>
  </si>
  <si>
    <t>CUST-00685</t>
  </si>
  <si>
    <t>CUST-00686</t>
  </si>
  <si>
    <t>CUST-00687</t>
  </si>
  <si>
    <t>CUST-00688</t>
  </si>
  <si>
    <t>CUST-00689</t>
  </si>
  <si>
    <t>CUST-00690</t>
  </si>
  <si>
    <t>CUST-00691</t>
  </si>
  <si>
    <t>CUST-00692</t>
  </si>
  <si>
    <t>CUST-00693</t>
  </si>
  <si>
    <t>CUST-00694</t>
  </si>
  <si>
    <t>CUST-00695</t>
  </si>
  <si>
    <t>CUST-00696</t>
  </si>
  <si>
    <t>CUST-00697</t>
  </si>
  <si>
    <t>CUST-00698</t>
  </si>
  <si>
    <t>CUST-00699</t>
  </si>
  <si>
    <t>CUST-00700</t>
  </si>
  <si>
    <t>CUST-00701</t>
  </si>
  <si>
    <t>CUST-00702</t>
  </si>
  <si>
    <t>CUST-00703</t>
  </si>
  <si>
    <t>CUST-00704</t>
  </si>
  <si>
    <t>CUST-00705</t>
  </si>
  <si>
    <t>CUST-00706</t>
  </si>
  <si>
    <t>CUST-00707</t>
  </si>
  <si>
    <t>CUST-00708</t>
  </si>
  <si>
    <t>CUST-00709</t>
  </si>
  <si>
    <t>CUST-00710</t>
  </si>
  <si>
    <t>CUST-00711</t>
  </si>
  <si>
    <t>CUST-00712</t>
  </si>
  <si>
    <t>CUST-00713</t>
  </si>
  <si>
    <t>CUST-00714</t>
  </si>
  <si>
    <t>CUST-00715</t>
  </si>
  <si>
    <t>CUST-00716</t>
  </si>
  <si>
    <t>CUST-00717</t>
  </si>
  <si>
    <t>CUST-00718</t>
  </si>
  <si>
    <t>CUST-00719</t>
  </si>
  <si>
    <t>CUST-00720</t>
  </si>
  <si>
    <t>CUST-00721</t>
  </si>
  <si>
    <t>CUST-00722</t>
  </si>
  <si>
    <t>CUST-00723</t>
  </si>
  <si>
    <t>CUST-00724</t>
  </si>
  <si>
    <t>CUST-00725</t>
  </si>
  <si>
    <t>CUST-00726</t>
  </si>
  <si>
    <t>CUST-00727</t>
  </si>
  <si>
    <t>CUST-00728</t>
  </si>
  <si>
    <t>CUST-00729</t>
  </si>
  <si>
    <t>CUST-00730</t>
  </si>
  <si>
    <t>CUST-00731</t>
  </si>
  <si>
    <t>CUST-00732</t>
  </si>
  <si>
    <t>CUST-00733</t>
  </si>
  <si>
    <t>CUST-00734</t>
  </si>
  <si>
    <t>CUST-00735</t>
  </si>
  <si>
    <t>CUST-00736</t>
  </si>
  <si>
    <t>CUST-00737</t>
  </si>
  <si>
    <t>CUST-00738</t>
  </si>
  <si>
    <t>CUST-00739</t>
  </si>
  <si>
    <t>CUST-00740</t>
  </si>
  <si>
    <t>CUST-00741</t>
  </si>
  <si>
    <t>CUST-00742</t>
  </si>
  <si>
    <t>CUST-00743</t>
  </si>
  <si>
    <t>CUST-00744</t>
  </si>
  <si>
    <t>CUST-00745</t>
  </si>
  <si>
    <t>CUST-00746</t>
  </si>
  <si>
    <t>CUST-00747</t>
  </si>
  <si>
    <t>CUST-00748</t>
  </si>
  <si>
    <t>CUST-00749</t>
  </si>
  <si>
    <t>CUST-00750</t>
  </si>
  <si>
    <t>CUST-00751</t>
  </si>
  <si>
    <t>CUST-00752</t>
  </si>
  <si>
    <t>CUST-00753</t>
  </si>
  <si>
    <t>CUST-00754</t>
  </si>
  <si>
    <t>CUST-00755</t>
  </si>
  <si>
    <t>CUST-00756</t>
  </si>
  <si>
    <t>CUST-00757</t>
  </si>
  <si>
    <t>CUST-00758</t>
  </si>
  <si>
    <t>CUST-00759</t>
  </si>
  <si>
    <t>CUST-00760</t>
  </si>
  <si>
    <t>CUST-00761</t>
  </si>
  <si>
    <t>CUST-00762</t>
  </si>
  <si>
    <t>CUST-00763</t>
  </si>
  <si>
    <t>CUST-00764</t>
  </si>
  <si>
    <t>CUST-00765</t>
  </si>
  <si>
    <t>CUST-00766</t>
  </si>
  <si>
    <t>CUST-00767</t>
  </si>
  <si>
    <t>CUST-00768</t>
  </si>
  <si>
    <t>CUST-00769</t>
  </si>
  <si>
    <t>CUST-00770</t>
  </si>
  <si>
    <t>CUST-00771</t>
  </si>
  <si>
    <t>CUST-00772</t>
  </si>
  <si>
    <t>CUST-00773</t>
  </si>
  <si>
    <t>CUST-00774</t>
  </si>
  <si>
    <t>CUST-00775</t>
  </si>
  <si>
    <t>CUST-00776</t>
  </si>
  <si>
    <t>CUST-00777</t>
  </si>
  <si>
    <t>CUST-00778</t>
  </si>
  <si>
    <t>CUST-00779</t>
  </si>
  <si>
    <t>CUST-00780</t>
  </si>
  <si>
    <t>CUST-00781</t>
  </si>
  <si>
    <t>CUST-00782</t>
  </si>
  <si>
    <t>CUST-00783</t>
  </si>
  <si>
    <t>CUST-00784</t>
  </si>
  <si>
    <t>CUST-00785</t>
  </si>
  <si>
    <t>CUST-00786</t>
  </si>
  <si>
    <t>CUST-00787</t>
  </si>
  <si>
    <t>CUST-00788</t>
  </si>
  <si>
    <t>CUST-00789</t>
  </si>
  <si>
    <t>CUST-00790</t>
  </si>
  <si>
    <t>CUST-00791</t>
  </si>
  <si>
    <t>CUST-00792</t>
  </si>
  <si>
    <t>CUST-00793</t>
  </si>
  <si>
    <t>CUST-00794</t>
  </si>
  <si>
    <t>CUST-00795</t>
  </si>
  <si>
    <t>CUST-00796</t>
  </si>
  <si>
    <t>CUST-00797</t>
  </si>
  <si>
    <t>CUST-00798</t>
  </si>
  <si>
    <t>CUST-00799</t>
  </si>
  <si>
    <t>CUST-00800</t>
  </si>
  <si>
    <t>CUST-00801</t>
  </si>
  <si>
    <t>CUST-00802</t>
  </si>
  <si>
    <t>CUST-00803</t>
  </si>
  <si>
    <t>CUST-00804</t>
  </si>
  <si>
    <t>CUST-00805</t>
  </si>
  <si>
    <t>CUST-00806</t>
  </si>
  <si>
    <t>CUST-00807</t>
  </si>
  <si>
    <t>CUST-00808</t>
  </si>
  <si>
    <t>CUST-00809</t>
  </si>
  <si>
    <t>CUST-00810</t>
  </si>
  <si>
    <t>CUST-00811</t>
  </si>
  <si>
    <t>CUST-00812</t>
  </si>
  <si>
    <t>CUST-00813</t>
  </si>
  <si>
    <t>CUST-00814</t>
  </si>
  <si>
    <t>CUST-00815</t>
  </si>
  <si>
    <t>CUST-00816</t>
  </si>
  <si>
    <t>CUST-00817</t>
  </si>
  <si>
    <t>CUST-00818</t>
  </si>
  <si>
    <t>CUST-00819</t>
  </si>
  <si>
    <t>CUST-00820</t>
  </si>
  <si>
    <t>CUST-00821</t>
  </si>
  <si>
    <t>CUST-00822</t>
  </si>
  <si>
    <t>CUST-00823</t>
  </si>
  <si>
    <t>CUST-00824</t>
  </si>
  <si>
    <t>CUST-00825</t>
  </si>
  <si>
    <t>CUST-00826</t>
  </si>
  <si>
    <t>CUST-00827</t>
  </si>
  <si>
    <t>CUST-00828</t>
  </si>
  <si>
    <t>CUST-00829</t>
  </si>
  <si>
    <t>CUST-00830</t>
  </si>
  <si>
    <t>CUST-00831</t>
  </si>
  <si>
    <t>CUST-00832</t>
  </si>
  <si>
    <t>CUST-00833</t>
  </si>
  <si>
    <t>CUST-00834</t>
  </si>
  <si>
    <t>CUST-00835</t>
  </si>
  <si>
    <t>CUST-00836</t>
  </si>
  <si>
    <t>CUST-00837</t>
  </si>
  <si>
    <t>CUST-00838</t>
  </si>
  <si>
    <t>CUST-00839</t>
  </si>
  <si>
    <t>CUST-00840</t>
  </si>
  <si>
    <t>CUST-00841</t>
  </si>
  <si>
    <t>CUST-00842</t>
  </si>
  <si>
    <t>CUST-00843</t>
  </si>
  <si>
    <t>CUST-00844</t>
  </si>
  <si>
    <t>CUST-00845</t>
  </si>
  <si>
    <t>CUST-00846</t>
  </si>
  <si>
    <t>CUST-00847</t>
  </si>
  <si>
    <t>CUST-00848</t>
  </si>
  <si>
    <t>CUST-00849</t>
  </si>
  <si>
    <t>CUST-00850</t>
  </si>
  <si>
    <t>CUST-00851</t>
  </si>
  <si>
    <t>CUST-00852</t>
  </si>
  <si>
    <t>CUST-00853</t>
  </si>
  <si>
    <t>CUST-00854</t>
  </si>
  <si>
    <t>CUST-00855</t>
  </si>
  <si>
    <t>CUST-00856</t>
  </si>
  <si>
    <t>CUST-00857</t>
  </si>
  <si>
    <t>CUST-00858</t>
  </si>
  <si>
    <t>CUST-00859</t>
  </si>
  <si>
    <t>CUST-00860</t>
  </si>
  <si>
    <t>CUST-00861</t>
  </si>
  <si>
    <t>CUST-00862</t>
  </si>
  <si>
    <t>CUST-00863</t>
  </si>
  <si>
    <t>CUST-00864</t>
  </si>
  <si>
    <t>CUST-00865</t>
  </si>
  <si>
    <t>CUST-00866</t>
  </si>
  <si>
    <t>CUST-00867</t>
  </si>
  <si>
    <t>CUST-00868</t>
  </si>
  <si>
    <t>CUST-00869</t>
  </si>
  <si>
    <t>CUST-00870</t>
  </si>
  <si>
    <t>CUST-00871</t>
  </si>
  <si>
    <t>CUST-00872</t>
  </si>
  <si>
    <t>CUST-00873</t>
  </si>
  <si>
    <t>CUST-00874</t>
  </si>
  <si>
    <t>CUST-00875</t>
  </si>
  <si>
    <t>CUST-00876</t>
  </si>
  <si>
    <t>CUST-00877</t>
  </si>
  <si>
    <t>CUST-00878</t>
  </si>
  <si>
    <t>CUST-00879</t>
  </si>
  <si>
    <t>CUST-00880</t>
  </si>
  <si>
    <t>CUST-00881</t>
  </si>
  <si>
    <t>CUST-00882</t>
  </si>
  <si>
    <t>CUST-00883</t>
  </si>
  <si>
    <t>CUST-00884</t>
  </si>
  <si>
    <t>CUST-00885</t>
  </si>
  <si>
    <t>CUST-00886</t>
  </si>
  <si>
    <t>CUST-00887</t>
  </si>
  <si>
    <t>CUST-00888</t>
  </si>
  <si>
    <t>CUST-00889</t>
  </si>
  <si>
    <t>CUST-00890</t>
  </si>
  <si>
    <t>CUST-00891</t>
  </si>
  <si>
    <t>CUST-00892</t>
  </si>
  <si>
    <t>CUST-00893</t>
  </si>
  <si>
    <t>CUST-00894</t>
  </si>
  <si>
    <t>CUST-00895</t>
  </si>
  <si>
    <t>CUST-00896</t>
  </si>
  <si>
    <t>CUST-00897</t>
  </si>
  <si>
    <t>CUST-00898</t>
  </si>
  <si>
    <t>CUST-00899</t>
  </si>
  <si>
    <t>CUST-00900</t>
  </si>
  <si>
    <t>CUST-00901</t>
  </si>
  <si>
    <t>CUST-00902</t>
  </si>
  <si>
    <t>CUST-00903</t>
  </si>
  <si>
    <t>CUST-00904</t>
  </si>
  <si>
    <t>CUST-00905</t>
  </si>
  <si>
    <t>CUST-00906</t>
  </si>
  <si>
    <t>CUST-00907</t>
  </si>
  <si>
    <t>CUST-00908</t>
  </si>
  <si>
    <t>CUST-00909</t>
  </si>
  <si>
    <t>CUST-00910</t>
  </si>
  <si>
    <t>CUST-00911</t>
  </si>
  <si>
    <t>CUST-00912</t>
  </si>
  <si>
    <t>CUST-00913</t>
  </si>
  <si>
    <t>CUST-00914</t>
  </si>
  <si>
    <t>CUST-00915</t>
  </si>
  <si>
    <t>CUST-00916</t>
  </si>
  <si>
    <t>CUST-00917</t>
  </si>
  <si>
    <t>CUST-00918</t>
  </si>
  <si>
    <t>CUST-00919</t>
  </si>
  <si>
    <t>CUST-00920</t>
  </si>
  <si>
    <t>CUST-00921</t>
  </si>
  <si>
    <t>CUST-00922</t>
  </si>
  <si>
    <t>CUST-00923</t>
  </si>
  <si>
    <t>CUST-00924</t>
  </si>
  <si>
    <t>CUST-00925</t>
  </si>
  <si>
    <t>CUST-00926</t>
  </si>
  <si>
    <t>CUST-00927</t>
  </si>
  <si>
    <t>CUST-00928</t>
  </si>
  <si>
    <t>CUST-00929</t>
  </si>
  <si>
    <t>CUST-00930</t>
  </si>
  <si>
    <t>CUST-00931</t>
  </si>
  <si>
    <t>CUST-00932</t>
  </si>
  <si>
    <t>CUST-00933</t>
  </si>
  <si>
    <t>CUST-00934</t>
  </si>
  <si>
    <t>CUST-00935</t>
  </si>
  <si>
    <t>CUST-00936</t>
  </si>
  <si>
    <t>CUST-00937</t>
  </si>
  <si>
    <t>CUST-00938</t>
  </si>
  <si>
    <t>CUST-00939</t>
  </si>
  <si>
    <t>CUST-00940</t>
  </si>
  <si>
    <t>CUST-00941</t>
  </si>
  <si>
    <t>CUST-00942</t>
  </si>
  <si>
    <t>CUST-00943</t>
  </si>
  <si>
    <t>CUST-00944</t>
  </si>
  <si>
    <t>CUST-00945</t>
  </si>
  <si>
    <t>CUST-00946</t>
  </si>
  <si>
    <t>CUST-00947</t>
  </si>
  <si>
    <t>CUST-00948</t>
  </si>
  <si>
    <t>CUST-00949</t>
  </si>
  <si>
    <t>CUST-00950</t>
  </si>
  <si>
    <t>CUST-00951</t>
  </si>
  <si>
    <t>CUST-00952</t>
  </si>
  <si>
    <t>CUST-00953</t>
  </si>
  <si>
    <t>CUST-00954</t>
  </si>
  <si>
    <t>CUST-00955</t>
  </si>
  <si>
    <t>CUST-00956</t>
  </si>
  <si>
    <t>CUST-00957</t>
  </si>
  <si>
    <t>CUST-00958</t>
  </si>
  <si>
    <t>CUST-00959</t>
  </si>
  <si>
    <t>CUST-00960</t>
  </si>
  <si>
    <t>CUST-00961</t>
  </si>
  <si>
    <t>CUST-00962</t>
  </si>
  <si>
    <t>CUST-00963</t>
  </si>
  <si>
    <t>CUST-00964</t>
  </si>
  <si>
    <t>CUST-00965</t>
  </si>
  <si>
    <t>CUST-00966</t>
  </si>
  <si>
    <t>CUST-00967</t>
  </si>
  <si>
    <t>CUST-00968</t>
  </si>
  <si>
    <t>CUST-00969</t>
  </si>
  <si>
    <t>CUST-00970</t>
  </si>
  <si>
    <t>CUST-00971</t>
  </si>
  <si>
    <t>CUST-00972</t>
  </si>
  <si>
    <t>CUST-00973</t>
  </si>
  <si>
    <t>CUST-00974</t>
  </si>
  <si>
    <t>CUST-00975</t>
  </si>
  <si>
    <t>CUST-00976</t>
  </si>
  <si>
    <t>CUST-00977</t>
  </si>
  <si>
    <t>CUST-00978</t>
  </si>
  <si>
    <t>CUST-00979</t>
  </si>
  <si>
    <t>CUST-00980</t>
  </si>
  <si>
    <t>CUST-00981</t>
  </si>
  <si>
    <t>CUST-00982</t>
  </si>
  <si>
    <t>CUST-00983</t>
  </si>
  <si>
    <t>CUST-00984</t>
  </si>
  <si>
    <t>CUST-00985</t>
  </si>
  <si>
    <t>CUST-00986</t>
  </si>
  <si>
    <t>CUST-00987</t>
  </si>
  <si>
    <t>CUST-00988</t>
  </si>
  <si>
    <t>CUST-00989</t>
  </si>
  <si>
    <t>CUST-00990</t>
  </si>
  <si>
    <t>CUST-00991</t>
  </si>
  <si>
    <t>CUST-00992</t>
  </si>
  <si>
    <t>CUST-00993</t>
  </si>
  <si>
    <t>CUST-00994</t>
  </si>
  <si>
    <t>CUST-00995</t>
  </si>
  <si>
    <t>CUST-00996</t>
  </si>
  <si>
    <t>CUST-00997</t>
  </si>
  <si>
    <t>CUST-00998</t>
  </si>
  <si>
    <t>CUST-00999</t>
  </si>
  <si>
    <t>CUST-01000</t>
  </si>
  <si>
    <t>Bank Transfer</t>
  </si>
  <si>
    <t>Churn by Demographics</t>
  </si>
  <si>
    <t>Senior_Citizen</t>
  </si>
  <si>
    <t>Churn by City</t>
  </si>
  <si>
    <t>City</t>
  </si>
  <si>
    <t xml:space="preserve">Lahore </t>
  </si>
  <si>
    <t xml:space="preserve">Faisalabad </t>
  </si>
  <si>
    <t xml:space="preserve">Karachi </t>
  </si>
  <si>
    <t>Churn by partner</t>
  </si>
  <si>
    <t>Partner</t>
  </si>
  <si>
    <t>Churn by Age Group</t>
  </si>
  <si>
    <t>Age Group</t>
  </si>
  <si>
    <t>Total</t>
  </si>
  <si>
    <t>18-30</t>
  </si>
  <si>
    <t>31-45</t>
  </si>
  <si>
    <t>46-60</t>
  </si>
  <si>
    <t>60+</t>
  </si>
  <si>
    <t>Churn by phone service</t>
  </si>
  <si>
    <t>Phone Service</t>
  </si>
  <si>
    <t>Churn by paperless billing</t>
  </si>
  <si>
    <t>Paperless billing</t>
  </si>
  <si>
    <t>Churn_Flag</t>
  </si>
  <si>
    <t>Row Labels</t>
  </si>
  <si>
    <t>Grand Total</t>
  </si>
  <si>
    <t>Column Labels</t>
  </si>
  <si>
    <t>Count of customer_id</t>
  </si>
  <si>
    <t>Total Count of customer_id</t>
  </si>
  <si>
    <t>Total Sum of Churn_Flag</t>
  </si>
  <si>
    <t>Sum of Churn_Flag</t>
  </si>
  <si>
    <t>Tenure_Group</t>
  </si>
  <si>
    <t>0-12 months</t>
  </si>
  <si>
    <t>25-48 months</t>
  </si>
  <si>
    <t>Monthly_Charges_Group</t>
  </si>
  <si>
    <t>$50-$75</t>
  </si>
  <si>
    <t>$76-$100</t>
  </si>
  <si>
    <t>Customer Churn Analysis Dashboard</t>
  </si>
  <si>
    <t>Churned_Customers</t>
  </si>
  <si>
    <t>Stayed_Customers</t>
  </si>
  <si>
    <t>Churn_Rate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</si>
</sst>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3" borderId="0" xfId="0" applyFont="1" applyFill="1" applyAlignment="1">
      <alignment vertical="top"/>
    </xf>
    <xf numFmtId="164" fontId="0" fillId="0" borderId="0" xfId="0" applyNumberFormat="1" applyAlignment="1">
      <alignment vertical="top"/>
    </xf>
    <xf numFmtId="164" fontId="3" fillId="3" borderId="0" xfId="0" applyNumberFormat="1" applyFont="1" applyFill="1" applyAlignment="1">
      <alignment vertical="top"/>
    </xf>
    <xf numFmtId="0" fontId="5" fillId="0" borderId="0" xfId="0" applyFont="1"/>
    <xf numFmtId="0" fontId="5" fillId="4" borderId="0" xfId="0" applyFont="1" applyFill="1"/>
    <xf numFmtId="0" fontId="0" fillId="4" borderId="0" xfId="0" applyFill="1"/>
    <xf numFmtId="0" fontId="5" fillId="4" borderId="0" xfId="0" applyFont="1" applyFill="1" applyAlignment="1">
      <alignment vertical="top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7" fillId="7" borderId="1" xfId="0" applyFont="1" applyFill="1" applyBorder="1" applyAlignment="1">
      <alignment horizontal="center"/>
    </xf>
    <xf numFmtId="164" fontId="7" fillId="7" borderId="1" xfId="1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5" fillId="6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7">
    <dxf>
      <numFmt numFmtId="164" formatCode="0.0%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Churn_by_</a:t>
            </a:r>
            <a:r>
              <a:rPr lang="en-US" baseline="0"/>
              <a:t>contract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EDA!$A$10</c:f>
              <c:strCache>
                <c:ptCount val="1"/>
                <c:pt idx="0">
                  <c:v>Month-to-month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hade val="51000"/>
                    <a:satMod val="130000"/>
                  </a:schemeClr>
                </a:gs>
                <a:gs pos="80000">
                  <a:schemeClr val="accent4">
                    <a:shade val="65000"/>
                    <a:shade val="93000"/>
                    <a:satMod val="130000"/>
                  </a:schemeClr>
                </a:gs>
                <a:gs pos="100000">
                  <a:schemeClr val="accent4">
                    <a:shade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EDA!$B$8:$E$9</c15:sqref>
                  </c15:fullRef>
                </c:ext>
              </c:extLst>
              <c:f>EDA!$E$8:$E$9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EDA!$B$10:$E$10</c15:sqref>
                  </c15:fullRef>
                </c:ext>
              </c:extLst>
              <c:f>EDA!$E$10</c:f>
              <c:numCache>
                <c:formatCode>General</c:formatCode>
                <c:ptCount val="1"/>
                <c:pt idx="0" formatCode="0.0%">
                  <c:v>0.38363636363636361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7-48C5-A82C-5D2EADAD6AAF}"/>
            </c:ext>
          </c:extLst>
        </c:ser>
        <c:ser>
          <c:idx val="1"/>
          <c:order val="1"/>
          <c:tx>
            <c:strRef>
              <c:f>EDA!$A$11</c:f>
              <c:strCache>
                <c:ptCount val="1"/>
                <c:pt idx="0">
                  <c:v>One year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EDA!$B$8:$E$9</c15:sqref>
                  </c15:fullRef>
                </c:ext>
              </c:extLst>
              <c:f>EDA!$E$8:$E$9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EDA!$B$11:$E$11</c15:sqref>
                  </c15:fullRef>
                </c:ext>
              </c:extLst>
              <c:f>EDA!$E$11</c:f>
              <c:numCache>
                <c:formatCode>General</c:formatCode>
                <c:ptCount val="1"/>
                <c:pt idx="0" formatCode="0.0%">
                  <c:v>0.22580645161290322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7-48C5-A82C-5D2EADAD6AAF}"/>
            </c:ext>
          </c:extLst>
        </c:ser>
        <c:ser>
          <c:idx val="2"/>
          <c:order val="2"/>
          <c:tx>
            <c:strRef>
              <c:f>EDA!$A$12</c:f>
              <c:strCache>
                <c:ptCount val="1"/>
                <c:pt idx="0">
                  <c:v>Two year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hade val="51000"/>
                    <a:satMod val="130000"/>
                  </a:schemeClr>
                </a:gs>
                <a:gs pos="80000">
                  <a:schemeClr val="accent4">
                    <a:tint val="65000"/>
                    <a:shade val="93000"/>
                    <a:satMod val="130000"/>
                  </a:schemeClr>
                </a:gs>
                <a:gs pos="100000">
                  <a:schemeClr val="accent4">
                    <a:tint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EDA!$B$8:$E$9</c15:sqref>
                  </c15:fullRef>
                </c:ext>
              </c:extLst>
              <c:f>EDA!$E$8:$E$9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EDA!$B$12:$E$12</c15:sqref>
                  </c15:fullRef>
                </c:ext>
              </c:extLst>
              <c:f>EDA!$E$12</c:f>
              <c:numCache>
                <c:formatCode>General</c:formatCode>
                <c:ptCount val="1"/>
                <c:pt idx="0" formatCode="0.0%">
                  <c:v>0.20297029702970298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07-48C5-A82C-5D2EADAD6A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14397520"/>
        <c:axId val="1786662448"/>
      </c:barChart>
      <c:catAx>
        <c:axId val="201439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62448"/>
        <c:crosses val="autoZero"/>
        <c:auto val="1"/>
        <c:lblAlgn val="ctr"/>
        <c:lblOffset val="100"/>
        <c:noMultiLvlLbl val="0"/>
      </c:catAx>
      <c:valAx>
        <c:axId val="17866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9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Churn Rate_by_Tenure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EDA!$E$15</c:f>
              <c:strCache>
                <c:ptCount val="1"/>
                <c:pt idx="0">
                  <c:v>Churn Rate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EDA!$A$16:$A$19</c:f>
              <c:strCache>
                <c:ptCount val="4"/>
                <c:pt idx="0">
                  <c:v>0–12 months</c:v>
                </c:pt>
                <c:pt idx="1">
                  <c:v>13–24 months</c:v>
                </c:pt>
                <c:pt idx="2">
                  <c:v>25–48 months</c:v>
                </c:pt>
                <c:pt idx="3">
                  <c:v>49+ months</c:v>
                </c:pt>
              </c:strCache>
            </c:strRef>
          </c:cat>
          <c:val>
            <c:numRef>
              <c:f>EDA!$E$16:$E$19</c:f>
              <c:numCache>
                <c:formatCode>0.0%</c:formatCode>
                <c:ptCount val="4"/>
                <c:pt idx="0">
                  <c:v>0.37195121951219512</c:v>
                </c:pt>
                <c:pt idx="1">
                  <c:v>0.2857142857142857</c:v>
                </c:pt>
                <c:pt idx="2">
                  <c:v>0.2857142857142857</c:v>
                </c:pt>
                <c:pt idx="3">
                  <c:v>0.30924855491329478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F-4B0C-9E69-1BFC839B7E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24129696"/>
        <c:axId val="17865981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EDA!$B$15</c15:sqref>
                        </c15:formulaRef>
                      </c:ext>
                    </c:extLst>
                    <c:strCache>
                      <c:ptCount val="1"/>
                      <c:pt idx="0">
                        <c:v>Total Customers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EDA!$A$16:$A$19</c15:sqref>
                        </c15:formulaRef>
                      </c:ext>
                    </c:extLst>
                    <c:strCache>
                      <c:ptCount val="4"/>
                      <c:pt idx="0">
                        <c:v>0–12 months</c:v>
                      </c:pt>
                      <c:pt idx="1">
                        <c:v>13–24 months</c:v>
                      </c:pt>
                      <c:pt idx="2">
                        <c:v>25–48 months</c:v>
                      </c:pt>
                      <c:pt idx="3">
                        <c:v>49+ months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EDA!$B$16:$B$19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164</c:v>
                      </c:pt>
                      <c:pt idx="1">
                        <c:v>168</c:v>
                      </c:pt>
                      <c:pt idx="2">
                        <c:v>322</c:v>
                      </c:pt>
                      <c:pt idx="3">
                        <c:v>346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8FF-4B0C-9E69-1BFC839B7ED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EDA!$C$15</c15:sqref>
                        </c15:formulaRef>
                      </c:ext>
                    </c:extLst>
                    <c:strCache>
                      <c:ptCount val="1"/>
                      <c:pt idx="0">
                        <c:v>Churned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EDA!$A$16:$A$19</c15:sqref>
                        </c15:formulaRef>
                      </c:ext>
                    </c:extLst>
                    <c:strCache>
                      <c:ptCount val="4"/>
                      <c:pt idx="0">
                        <c:v>0–12 months</c:v>
                      </c:pt>
                      <c:pt idx="1">
                        <c:v>13–24 months</c:v>
                      </c:pt>
                      <c:pt idx="2">
                        <c:v>25–48 months</c:v>
                      </c:pt>
                      <c:pt idx="3">
                        <c:v>49+ months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EDA!$C$16:$C$19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61</c:v>
                      </c:pt>
                      <c:pt idx="1">
                        <c:v>48</c:v>
                      </c:pt>
                      <c:pt idx="2">
                        <c:v>92</c:v>
                      </c:pt>
                      <c:pt idx="3">
                        <c:v>107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8FF-4B0C-9E69-1BFC839B7ED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EDA!$D$15</c15:sqref>
                        </c15:formulaRef>
                      </c:ext>
                    </c:extLst>
                    <c:strCache>
                      <c:ptCount val="1"/>
                      <c:pt idx="0">
                        <c:v>Stayed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EDA!$A$16:$A$19</c15:sqref>
                        </c15:formulaRef>
                      </c:ext>
                    </c:extLst>
                    <c:strCache>
                      <c:ptCount val="4"/>
                      <c:pt idx="0">
                        <c:v>0–12 months</c:v>
                      </c:pt>
                      <c:pt idx="1">
                        <c:v>13–24 months</c:v>
                      </c:pt>
                      <c:pt idx="2">
                        <c:v>25–48 months</c:v>
                      </c:pt>
                      <c:pt idx="3">
                        <c:v>49+ months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EDA!$D$16:$D$19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103</c:v>
                      </c:pt>
                      <c:pt idx="1">
                        <c:v>120</c:v>
                      </c:pt>
                      <c:pt idx="2">
                        <c:v>230</c:v>
                      </c:pt>
                      <c:pt idx="3">
                        <c:v>239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8FF-4B0C-9E69-1BFC839B7ED0}"/>
                  </c:ext>
                </c:extLst>
              </c15:ser>
            </c15:filteredBarSeries>
          </c:ext>
        </c:extLst>
      </c:barChart>
      <c:catAx>
        <c:axId val="202412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98128"/>
        <c:crosses val="autoZero"/>
        <c:auto val="1"/>
        <c:lblAlgn val="ctr"/>
        <c:lblOffset val="100"/>
        <c:noMultiLvlLbl val="0"/>
      </c:catAx>
      <c:valAx>
        <c:axId val="178659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12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Churn_Rate_by_Payment</a:t>
            </a:r>
            <a:r>
              <a:rPr lang="en-US" baseline="0"/>
              <a:t>_Method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EDA!$A$23</c:f>
              <c:strCache>
                <c:ptCount val="1"/>
                <c:pt idx="0">
                  <c:v>Bank transfer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8000"/>
                    <a:shade val="51000"/>
                    <a:satMod val="130000"/>
                  </a:schemeClr>
                </a:gs>
                <a:gs pos="80000">
                  <a:schemeClr val="accent4">
                    <a:shade val="58000"/>
                    <a:shade val="93000"/>
                    <a:satMod val="130000"/>
                  </a:schemeClr>
                </a:gs>
                <a:gs pos="100000">
                  <a:schemeClr val="accent4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EDA!$B$22:$E$22</c15:sqref>
                  </c15:fullRef>
                </c:ext>
              </c:extLst>
              <c:f>EDA!$E$22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EDA!$B$23:$E$23</c15:sqref>
                  </c15:fullRef>
                </c:ext>
              </c:extLst>
              <c:f>EDA!$E$23</c:f>
              <c:numCache>
                <c:formatCode>General</c:formatCode>
                <c:ptCount val="1"/>
                <c:pt idx="0" formatCode="0.0%">
                  <c:v>0.28915662650602408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0-4DF4-B1BB-8575BDB16DEB}"/>
            </c:ext>
          </c:extLst>
        </c:ser>
        <c:ser>
          <c:idx val="1"/>
          <c:order val="1"/>
          <c:tx>
            <c:strRef>
              <c:f>EDA!$A$24</c:f>
              <c:strCache>
                <c:ptCount val="1"/>
                <c:pt idx="0">
                  <c:v>Credit card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6000"/>
                    <a:shade val="51000"/>
                    <a:satMod val="130000"/>
                  </a:schemeClr>
                </a:gs>
                <a:gs pos="80000">
                  <a:schemeClr val="accent4">
                    <a:shade val="86000"/>
                    <a:shade val="93000"/>
                    <a:satMod val="130000"/>
                  </a:schemeClr>
                </a:gs>
                <a:gs pos="100000">
                  <a:schemeClr val="accent4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EDA!$B$22:$E$22</c15:sqref>
                  </c15:fullRef>
                </c:ext>
              </c:extLst>
              <c:f>EDA!$E$22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EDA!$B$24:$E$24</c15:sqref>
                  </c15:fullRef>
                </c:ext>
              </c:extLst>
              <c:f>EDA!$E$24</c:f>
              <c:numCache>
                <c:formatCode>General</c:formatCode>
                <c:ptCount val="1"/>
                <c:pt idx="0" formatCode="0.0%">
                  <c:v>0.28629032258064518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0-4DF4-B1BB-8575BDB16DEB}"/>
            </c:ext>
          </c:extLst>
        </c:ser>
        <c:ser>
          <c:idx val="2"/>
          <c:order val="2"/>
          <c:tx>
            <c:strRef>
              <c:f>EDA!$A$25</c:f>
              <c:strCache>
                <c:ptCount val="1"/>
                <c:pt idx="0">
                  <c:v>Mailed check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86000"/>
                    <a:shade val="51000"/>
                    <a:satMod val="130000"/>
                  </a:schemeClr>
                </a:gs>
                <a:gs pos="80000">
                  <a:schemeClr val="accent4">
                    <a:tint val="86000"/>
                    <a:shade val="93000"/>
                    <a:satMod val="130000"/>
                  </a:schemeClr>
                </a:gs>
                <a:gs pos="100000">
                  <a:schemeClr val="accent4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EDA!$B$22:$E$22</c15:sqref>
                  </c15:fullRef>
                </c:ext>
              </c:extLst>
              <c:f>EDA!$E$22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EDA!$B$25:$E$25</c15:sqref>
                  </c15:fullRef>
                </c:ext>
              </c:extLst>
              <c:f>EDA!$E$25</c:f>
              <c:numCache>
                <c:formatCode>General</c:formatCode>
                <c:ptCount val="1"/>
                <c:pt idx="0" formatCode="0.0%">
                  <c:v>0.25490196078431371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60-4DF4-B1BB-8575BDB16DEB}"/>
            </c:ext>
          </c:extLst>
        </c:ser>
        <c:ser>
          <c:idx val="3"/>
          <c:order val="3"/>
          <c:tx>
            <c:strRef>
              <c:f>EDA!$A$26</c:f>
              <c:strCache>
                <c:ptCount val="1"/>
                <c:pt idx="0">
                  <c:v>Electronic check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58000"/>
                    <a:shade val="51000"/>
                    <a:satMod val="130000"/>
                  </a:schemeClr>
                </a:gs>
                <a:gs pos="80000">
                  <a:schemeClr val="accent4">
                    <a:tint val="58000"/>
                    <a:shade val="93000"/>
                    <a:satMod val="130000"/>
                  </a:schemeClr>
                </a:gs>
                <a:gs pos="100000">
                  <a:schemeClr val="accent4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EDA!$B$22:$E$22</c15:sqref>
                  </c15:fullRef>
                </c:ext>
              </c:extLst>
              <c:f>EDA!$E$22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EDA!$B$26:$E$26</c15:sqref>
                  </c15:fullRef>
                </c:ext>
              </c:extLst>
              <c:f>EDA!$E$26</c:f>
              <c:numCache>
                <c:formatCode>General</c:formatCode>
                <c:ptCount val="1"/>
                <c:pt idx="0" formatCode="0.0%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60-4DF4-B1BB-8575BDB16D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27265712"/>
        <c:axId val="1786676848"/>
      </c:barChart>
      <c:catAx>
        <c:axId val="192726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76848"/>
        <c:crosses val="autoZero"/>
        <c:auto val="1"/>
        <c:lblAlgn val="ctr"/>
        <c:lblOffset val="100"/>
        <c:noMultiLvlLbl val="0"/>
      </c:catAx>
      <c:valAx>
        <c:axId val="1786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26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Churn_Rate_by_internet_service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EDA!$A$30</c:f>
              <c:strCache>
                <c:ptCount val="1"/>
                <c:pt idx="0">
                  <c:v>DSL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hade val="51000"/>
                    <a:satMod val="130000"/>
                  </a:schemeClr>
                </a:gs>
                <a:gs pos="80000">
                  <a:schemeClr val="accent4">
                    <a:shade val="65000"/>
                    <a:shade val="93000"/>
                    <a:satMod val="130000"/>
                  </a:schemeClr>
                </a:gs>
                <a:gs pos="100000">
                  <a:schemeClr val="accent4">
                    <a:shade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EDA!$B$29:$E$29</c15:sqref>
                  </c15:fullRef>
                </c:ext>
              </c:extLst>
              <c:f>EDA!$E$29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EDA!$B$30:$E$30</c15:sqref>
                  </c15:fullRef>
                </c:ext>
              </c:extLst>
              <c:f>EDA!$E$30</c:f>
              <c:numCache>
                <c:formatCode>General</c:formatCode>
                <c:ptCount val="1"/>
                <c:pt idx="0" formatCode="0.0%">
                  <c:v>0.25555555555555554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6-4E28-BA59-FF37DD144DF6}"/>
            </c:ext>
          </c:extLst>
        </c:ser>
        <c:ser>
          <c:idx val="1"/>
          <c:order val="1"/>
          <c:tx>
            <c:strRef>
              <c:f>EDA!$A$31</c:f>
              <c:strCache>
                <c:ptCount val="1"/>
                <c:pt idx="0">
                  <c:v>Fiber optic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EDA!$B$29:$E$29</c15:sqref>
                  </c15:fullRef>
                </c:ext>
              </c:extLst>
              <c:f>EDA!$E$29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EDA!$B$31:$E$31</c15:sqref>
                  </c15:fullRef>
                </c:ext>
              </c:extLst>
              <c:f>EDA!$E$31</c:f>
              <c:numCache>
                <c:formatCode>General</c:formatCode>
                <c:ptCount val="1"/>
                <c:pt idx="0" formatCode="0.0%">
                  <c:v>0.36046511627906974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B6-4E28-BA59-FF37DD144DF6}"/>
            </c:ext>
          </c:extLst>
        </c:ser>
        <c:ser>
          <c:idx val="2"/>
          <c:order val="2"/>
          <c:tx>
            <c:strRef>
              <c:f>EDA!$A$32</c:f>
              <c:strCache>
                <c:ptCount val="1"/>
                <c:pt idx="0">
                  <c:v>No internet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hade val="51000"/>
                    <a:satMod val="130000"/>
                  </a:schemeClr>
                </a:gs>
                <a:gs pos="80000">
                  <a:schemeClr val="accent4">
                    <a:tint val="65000"/>
                    <a:shade val="93000"/>
                    <a:satMod val="130000"/>
                  </a:schemeClr>
                </a:gs>
                <a:gs pos="100000">
                  <a:schemeClr val="accent4">
                    <a:tint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EDA!$B$29:$E$29</c15:sqref>
                  </c15:fullRef>
                </c:ext>
              </c:extLst>
              <c:f>EDA!$E$29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EDA!$B$32:$E$32</c15:sqref>
                  </c15:fullRef>
                </c:ext>
              </c:extLst>
              <c:f>EDA!$E$32</c:f>
              <c:numCache>
                <c:formatCode>General</c:formatCode>
                <c:ptCount val="1"/>
                <c:pt idx="0" formatCode="0.0%">
                  <c:v>0.2904761904761905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B6-4E28-BA59-FF37DD144D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17449872"/>
        <c:axId val="1786658128"/>
      </c:barChart>
      <c:catAx>
        <c:axId val="201744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58128"/>
        <c:crosses val="autoZero"/>
        <c:auto val="1"/>
        <c:lblAlgn val="ctr"/>
        <c:lblOffset val="100"/>
        <c:noMultiLvlLbl val="0"/>
      </c:catAx>
      <c:valAx>
        <c:axId val="178665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44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Churn_Rate_by</a:t>
            </a:r>
            <a:r>
              <a:rPr lang="en-US" baseline="0"/>
              <a:t> _Monthly_Charges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EDA!$A$36</c:f>
              <c:strCache>
                <c:ptCount val="1"/>
                <c:pt idx="0">
                  <c:v>&lt; $50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8000"/>
                    <a:shade val="51000"/>
                    <a:satMod val="130000"/>
                  </a:schemeClr>
                </a:gs>
                <a:gs pos="80000">
                  <a:schemeClr val="accent4">
                    <a:shade val="58000"/>
                    <a:shade val="93000"/>
                    <a:satMod val="130000"/>
                  </a:schemeClr>
                </a:gs>
                <a:gs pos="100000">
                  <a:schemeClr val="accent4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EDA!$B$35:$E$35</c15:sqref>
                  </c15:fullRef>
                </c:ext>
              </c:extLst>
              <c:f>EDA!$E$35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EDA!$B$36:$E$36</c15:sqref>
                  </c15:fullRef>
                </c:ext>
              </c:extLst>
              <c:f>EDA!$E$36</c:f>
              <c:numCache>
                <c:formatCode>General</c:formatCode>
                <c:ptCount val="1"/>
                <c:pt idx="0" formatCode="0.0%">
                  <c:v>0.30927835051546393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7-4A02-8C73-5EECB508AC16}"/>
            </c:ext>
          </c:extLst>
        </c:ser>
        <c:ser>
          <c:idx val="1"/>
          <c:order val="1"/>
          <c:tx>
            <c:strRef>
              <c:f>EDA!$A$37</c:f>
              <c:strCache>
                <c:ptCount val="1"/>
                <c:pt idx="0">
                  <c:v>$50–$75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6000"/>
                    <a:shade val="51000"/>
                    <a:satMod val="130000"/>
                  </a:schemeClr>
                </a:gs>
                <a:gs pos="80000">
                  <a:schemeClr val="accent4">
                    <a:shade val="86000"/>
                    <a:shade val="93000"/>
                    <a:satMod val="130000"/>
                  </a:schemeClr>
                </a:gs>
                <a:gs pos="100000">
                  <a:schemeClr val="accent4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EDA!$B$35:$E$35</c15:sqref>
                  </c15:fullRef>
                </c:ext>
              </c:extLst>
              <c:f>EDA!$E$35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EDA!$B$37:$E$37</c15:sqref>
                  </c15:fullRef>
                </c:ext>
              </c:extLst>
              <c:f>EDA!$E$37</c:f>
              <c:numCache>
                <c:formatCode>General</c:formatCode>
                <c:ptCount val="1"/>
                <c:pt idx="0" formatCode="0.0%">
                  <c:v>0.25818181818181818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37-4A02-8C73-5EECB508AC16}"/>
            </c:ext>
          </c:extLst>
        </c:ser>
        <c:ser>
          <c:idx val="2"/>
          <c:order val="2"/>
          <c:tx>
            <c:strRef>
              <c:f>EDA!$A$38</c:f>
              <c:strCache>
                <c:ptCount val="1"/>
                <c:pt idx="0">
                  <c:v>$76–$100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86000"/>
                    <a:shade val="51000"/>
                    <a:satMod val="130000"/>
                  </a:schemeClr>
                </a:gs>
                <a:gs pos="80000">
                  <a:schemeClr val="accent4">
                    <a:tint val="86000"/>
                    <a:shade val="93000"/>
                    <a:satMod val="130000"/>
                  </a:schemeClr>
                </a:gs>
                <a:gs pos="100000">
                  <a:schemeClr val="accent4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EDA!$B$35:$E$35</c15:sqref>
                  </c15:fullRef>
                </c:ext>
              </c:extLst>
              <c:f>EDA!$E$35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EDA!$B$38:$E$38</c15:sqref>
                  </c15:fullRef>
                </c:ext>
              </c:extLst>
              <c:f>EDA!$E$38</c:f>
              <c:numCache>
                <c:formatCode>General</c:formatCode>
                <c:ptCount val="1"/>
                <c:pt idx="0" formatCode="0.0%">
                  <c:v>0.33201581027667987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37-4A02-8C73-5EECB508AC16}"/>
            </c:ext>
          </c:extLst>
        </c:ser>
        <c:ser>
          <c:idx val="3"/>
          <c:order val="3"/>
          <c:tx>
            <c:strRef>
              <c:f>EDA!$A$39</c:f>
              <c:strCache>
                <c:ptCount val="1"/>
                <c:pt idx="0">
                  <c:v>&gt; $100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58000"/>
                    <a:shade val="51000"/>
                    <a:satMod val="130000"/>
                  </a:schemeClr>
                </a:gs>
                <a:gs pos="80000">
                  <a:schemeClr val="accent4">
                    <a:tint val="58000"/>
                    <a:shade val="93000"/>
                    <a:satMod val="130000"/>
                  </a:schemeClr>
                </a:gs>
                <a:gs pos="100000">
                  <a:schemeClr val="accent4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EDA!$B$35:$E$35</c15:sqref>
                  </c15:fullRef>
                </c:ext>
              </c:extLst>
              <c:f>EDA!$E$35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EDA!$B$39:$E$39</c15:sqref>
                  </c15:fullRef>
                </c:ext>
              </c:extLst>
              <c:f>EDA!$E$39</c:f>
              <c:numCache>
                <c:formatCode>General</c:formatCode>
                <c:ptCount val="1"/>
                <c:pt idx="0" formatCode="0.0%">
                  <c:v>0.36046511627906974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37-4A02-8C73-5EECB508AC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8053760"/>
        <c:axId val="1786609648"/>
      </c:barChart>
      <c:catAx>
        <c:axId val="8805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09648"/>
        <c:crosses val="autoZero"/>
        <c:auto val="1"/>
        <c:lblAlgn val="ctr"/>
        <c:lblOffset val="100"/>
        <c:noMultiLvlLbl val="0"/>
      </c:catAx>
      <c:valAx>
        <c:axId val="178660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6</xdr:col>
      <xdr:colOff>349250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7669D4-48C6-4545-8AF8-C1634D44A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374650</xdr:colOff>
      <xdr:row>6</xdr:row>
      <xdr:rowOff>25400</xdr:rowOff>
    </xdr:from>
    <xdr:to>
      <xdr:col>19</xdr:col>
      <xdr:colOff>158750</xdr:colOff>
      <xdr:row>20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DB40D4-44A9-4FE6-892F-C4C5B13BD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349250</xdr:colOff>
      <xdr:row>6</xdr:row>
      <xdr:rowOff>19050</xdr:rowOff>
    </xdr:from>
    <xdr:to>
      <xdr:col>12</xdr:col>
      <xdr:colOff>393700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D1E9FD-595F-46DE-9DCB-C1721ED0C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20</xdr:row>
      <xdr:rowOff>165100</xdr:rowOff>
    </xdr:from>
    <xdr:to>
      <xdr:col>10</xdr:col>
      <xdr:colOff>393700</xdr:colOff>
      <xdr:row>35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2179E7-76BF-4D85-8D03-539E3765C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406400</xdr:colOff>
      <xdr:row>20</xdr:row>
      <xdr:rowOff>165100</xdr:rowOff>
    </xdr:from>
    <xdr:to>
      <xdr:col>19</xdr:col>
      <xdr:colOff>152400</xdr:colOff>
      <xdr:row>35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D7004F-DC39-477C-9025-957E8C710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qlain" refreshedDate="46286.963641087961" createdVersion="8" refreshedVersion="8" minRefreshableVersion="3" recordCount="1000" xr:uid="{15B5F362-860D-4BBA-8CED-7B76B9C75544}">
  <cacheSource type="worksheet">
    <worksheetSource ref="A1:Q1001" sheet="Cleaned_Data"/>
  </cacheSource>
  <cacheFields count="17">
    <cacheField name="customer_id" numFmtId="0">
      <sharedItems/>
    </cacheField>
    <cacheField name="age" numFmtId="0">
      <sharedItems containsSemiMixedTypes="0" containsString="0" containsNumber="1" containsInteger="1" minValue="18" maxValue="75"/>
    </cacheField>
    <cacheField name="senior_citizen" numFmtId="0">
      <sharedItems/>
    </cacheField>
    <cacheField name="partner" numFmtId="0">
      <sharedItems/>
    </cacheField>
    <cacheField name="dependents" numFmtId="0">
      <sharedItems/>
    </cacheField>
    <cacheField name="tenure_months" numFmtId="0">
      <sharedItems containsSemiMixedTypes="0" containsString="0" containsNumber="1" containsInteger="1" minValue="1" maxValue="72" count="72">
        <n v="36"/>
        <n v="29"/>
        <n v="12"/>
        <n v="25"/>
        <n v="46"/>
        <n v="8"/>
        <n v="19"/>
        <n v="15"/>
        <n v="69"/>
        <n v="39"/>
        <n v="28"/>
        <n v="1"/>
        <n v="61"/>
        <n v="44"/>
        <n v="70"/>
        <n v="34"/>
        <n v="7"/>
        <n v="54"/>
        <n v="10"/>
        <n v="68"/>
        <n v="27"/>
        <n v="43"/>
        <n v="48"/>
        <n v="23"/>
        <n v="5"/>
        <n v="9"/>
        <n v="14"/>
        <n v="52"/>
        <n v="37"/>
        <n v="66"/>
        <n v="65"/>
        <n v="63"/>
        <n v="11"/>
        <n v="31"/>
        <n v="16"/>
        <n v="59"/>
        <n v="32"/>
        <n v="58"/>
        <n v="30"/>
        <n v="4"/>
        <n v="67"/>
        <n v="38"/>
        <n v="6"/>
        <n v="13"/>
        <n v="51"/>
        <n v="60"/>
        <n v="55"/>
        <n v="3"/>
        <n v="62"/>
        <n v="17"/>
        <n v="21"/>
        <n v="22"/>
        <n v="41"/>
        <n v="47"/>
        <n v="33"/>
        <n v="72"/>
        <n v="20"/>
        <n v="50"/>
        <n v="18"/>
        <n v="64"/>
        <n v="71"/>
        <n v="35"/>
        <n v="45"/>
        <n v="49"/>
        <n v="42"/>
        <n v="2"/>
        <n v="24"/>
        <n v="53"/>
        <n v="56"/>
        <n v="26"/>
        <n v="40"/>
        <n v="57"/>
      </sharedItems>
    </cacheField>
    <cacheField name="phone_service" numFmtId="0">
      <sharedItems/>
    </cacheField>
    <cacheField name="multiple_lines" numFmtId="0">
      <sharedItems/>
    </cacheField>
    <cacheField name="internet_service" numFmtId="0">
      <sharedItems count="3">
        <s v="Fiber optic"/>
        <s v="DSL"/>
        <s v="No internet"/>
      </sharedItems>
    </cacheField>
    <cacheField name="contract" numFmtId="0">
      <sharedItems count="3">
        <s v="One year"/>
        <s v="Two year"/>
        <s v="Month-to-month"/>
      </sharedItems>
    </cacheField>
    <cacheField name="paperless_billing" numFmtId="0">
      <sharedItems/>
    </cacheField>
    <cacheField name="payment_method" numFmtId="0">
      <sharedItems count="4">
        <s v="Credit card"/>
        <s v="Bank Transfer"/>
        <s v="Mailed check"/>
        <s v="Electronic check"/>
      </sharedItems>
    </cacheField>
    <cacheField name="monthly_charges" numFmtId="0">
      <sharedItems containsSemiMixedTypes="0" containsString="0" containsNumber="1" minValue="18.09" maxValue="119.89"/>
    </cacheField>
    <cacheField name="total_charges" numFmtId="0">
      <sharedItems containsSemiMixedTypes="0" containsString="0" containsNumber="1" minValue="26.06" maxValue="8568.59"/>
    </cacheField>
    <cacheField name="city" numFmtId="0">
      <sharedItems/>
    </cacheField>
    <cacheField name="churn" numFmtId="0">
      <sharedItems/>
    </cacheField>
    <cacheField name="Churn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qlain" refreshedDate="46286.983402893522" createdVersion="8" refreshedVersion="8" minRefreshableVersion="3" recordCount="1000" xr:uid="{BA56C5B1-F2AC-45CC-A724-FE7AA5ABF167}">
  <cacheSource type="worksheet">
    <worksheetSource ref="A1:R1001" sheet="Cleaned_Data"/>
  </cacheSource>
  <cacheFields count="18">
    <cacheField name="customer_id" numFmtId="0">
      <sharedItems/>
    </cacheField>
    <cacheField name="age" numFmtId="0">
      <sharedItems containsSemiMixedTypes="0" containsString="0" containsNumber="1" containsInteger="1" minValue="18" maxValue="75"/>
    </cacheField>
    <cacheField name="senior_citizen" numFmtId="0">
      <sharedItems/>
    </cacheField>
    <cacheField name="partner" numFmtId="0">
      <sharedItems/>
    </cacheField>
    <cacheField name="dependents" numFmtId="0">
      <sharedItems/>
    </cacheField>
    <cacheField name="tenure_months" numFmtId="0">
      <sharedItems containsSemiMixedTypes="0" containsString="0" containsNumber="1" containsInteger="1" minValue="1" maxValue="72"/>
    </cacheField>
    <cacheField name="phone_service" numFmtId="0">
      <sharedItems/>
    </cacheField>
    <cacheField name="multiple_lines" numFmtId="0">
      <sharedItems/>
    </cacheField>
    <cacheField name="internet_service" numFmtId="0">
      <sharedItems/>
    </cacheField>
    <cacheField name="contract" numFmtId="0">
      <sharedItems count="3">
        <s v="One year"/>
        <s v="Two year"/>
        <s v="Month-to-month"/>
      </sharedItems>
    </cacheField>
    <cacheField name="paperless_billing" numFmtId="0">
      <sharedItems/>
    </cacheField>
    <cacheField name="payment_method" numFmtId="0">
      <sharedItems/>
    </cacheField>
    <cacheField name="monthly_charges" numFmtId="0">
      <sharedItems containsSemiMixedTypes="0" containsString="0" containsNumber="1" minValue="18.09" maxValue="119.89" count="945">
        <n v="71.59"/>
        <n v="77.98"/>
        <n v="106.49"/>
        <n v="74.66"/>
        <n v="78.56"/>
        <n v="117.15"/>
        <n v="89.97"/>
        <n v="99.79"/>
        <n v="40.130000000000003"/>
        <n v="23.86"/>
        <n v="96.64"/>
        <n v="24.21"/>
        <n v="81.900000000000006"/>
        <n v="23.6"/>
        <n v="20.2"/>
        <n v="23.78"/>
        <n v="21.56"/>
        <n v="42.72"/>
        <n v="52.57"/>
        <n v="87.45"/>
        <n v="76.709999999999994"/>
        <n v="76.33"/>
        <n v="57.11"/>
        <n v="71.84"/>
        <n v="49.47"/>
        <n v="74.56"/>
        <n v="27.54"/>
        <n v="28.12"/>
        <n v="79.37"/>
        <n v="66.540000000000006"/>
        <n v="76.11"/>
        <n v="95.56"/>
        <n v="48.99"/>
        <n v="25.87"/>
        <n v="76.069999999999993"/>
        <n v="107.59"/>
        <n v="97.01"/>
        <n v="89.47"/>
        <n v="26.82"/>
        <n v="112.03"/>
        <n v="48.47"/>
        <n v="66.069999999999993"/>
        <n v="78.39"/>
        <n v="68.599999999999994"/>
        <n v="65.900000000000006"/>
        <n v="76.78"/>
        <n v="26.02"/>
        <n v="60.67"/>
        <n v="99.08"/>
        <n v="107.14"/>
        <n v="40.57"/>
        <n v="118.27"/>
        <n v="82.41"/>
        <n v="25.45"/>
        <n v="99.69"/>
        <n v="27.92"/>
        <n v="59.75"/>
        <n v="108.16"/>
        <n v="19.260000000000002"/>
        <n v="111.25"/>
        <n v="97.46"/>
        <n v="79.69"/>
        <n v="49.75"/>
        <n v="51.31"/>
        <n v="52.87"/>
        <n v="103.18"/>
        <n v="19.73"/>
        <n v="65.069999999999993"/>
        <n v="26.33"/>
        <n v="73.95"/>
        <n v="58.61"/>
        <n v="74.13"/>
        <n v="26.94"/>
        <n v="76.14"/>
        <n v="27.44"/>
        <n v="23.62"/>
        <n v="66.89"/>
        <n v="65.42"/>
        <n v="28.65"/>
        <n v="54.82"/>
        <n v="19.47"/>
        <n v="110.65"/>
        <n v="18.309999999999999"/>
        <n v="108.9"/>
        <n v="44.32"/>
        <n v="100.27"/>
        <n v="26.76"/>
        <n v="97.82"/>
        <n v="25.2"/>
        <n v="110.36"/>
        <n v="113.49"/>
        <n v="106.08"/>
        <n v="57.68"/>
        <n v="55.81"/>
        <n v="105.18"/>
        <n v="98.67"/>
        <n v="28.13"/>
        <n v="87.47"/>
        <n v="108.64"/>
        <n v="87.6"/>
        <n v="78.17"/>
        <n v="43.37"/>
        <n v="72.62"/>
        <n v="52.41"/>
        <n v="91.17"/>
        <n v="96.99"/>
        <n v="81.88"/>
        <n v="117.36"/>
        <n v="24.65"/>
        <n v="114.23"/>
        <n v="28.07"/>
        <n v="40.76"/>
        <n v="111.83"/>
        <n v="103.41"/>
        <n v="87.85"/>
        <n v="104.23"/>
        <n v="85.5"/>
        <n v="91.85"/>
        <n v="100.12"/>
        <n v="72.12"/>
        <n v="73.36"/>
        <n v="24.35"/>
        <n v="64.48"/>
        <n v="105.48"/>
        <n v="41.05"/>
        <n v="73.69"/>
        <n v="60.72"/>
        <n v="74.67"/>
        <n v="27.2"/>
        <n v="77.900000000000006"/>
        <n v="60.6"/>
        <n v="113.27"/>
        <n v="43.6"/>
        <n v="91.55"/>
        <n v="108.22"/>
        <n v="79.95"/>
        <n v="52.74"/>
        <n v="71.87"/>
        <n v="67.23"/>
        <n v="100.57"/>
        <n v="92.98"/>
        <n v="29.79"/>
        <n v="89.73"/>
        <n v="111.4"/>
        <n v="93.62"/>
        <n v="43.58"/>
        <n v="20.239999999999998"/>
        <n v="61.73"/>
        <n v="26.62"/>
        <n v="19.690000000000001"/>
        <n v="22.31"/>
        <n v="20.65"/>
        <n v="24.34"/>
        <n v="94.44"/>
        <n v="55.84"/>
        <n v="56.35"/>
        <n v="87.39"/>
        <n v="27.88"/>
        <n v="66.88"/>
        <n v="106.58"/>
        <n v="23.13"/>
        <n v="81.27"/>
        <n v="43.16"/>
        <n v="113.47"/>
        <n v="22.57"/>
        <n v="22.45"/>
        <n v="55.19"/>
        <n v="26.64"/>
        <n v="19.809999999999999"/>
        <n v="84.33"/>
        <n v="55.88"/>
        <n v="40.380000000000003"/>
        <n v="29.09"/>
        <n v="84.96"/>
        <n v="49.29"/>
        <n v="55.02"/>
        <n v="85.83"/>
        <n v="74.48"/>
        <n v="78.48"/>
        <n v="88.06"/>
        <n v="86.48"/>
        <n v="51.66"/>
        <n v="97.28"/>
        <n v="19.670000000000002"/>
        <n v="109.54"/>
        <n v="65.8"/>
        <n v="89.56"/>
        <n v="117.03"/>
        <n v="52.01"/>
        <n v="56.2"/>
        <n v="70.09"/>
        <n v="54.93"/>
        <n v="73.680000000000007"/>
        <n v="28.08"/>
        <n v="108.63"/>
        <n v="19.23"/>
        <n v="106.88"/>
        <n v="46.74"/>
        <n v="19.59"/>
        <n v="65.349999999999994"/>
        <n v="23.5"/>
        <n v="24.94"/>
        <n v="40.03"/>
        <n v="102.45"/>
        <n v="57.8"/>
        <n v="88.38"/>
        <n v="65.12"/>
        <n v="76.989999999999995"/>
        <n v="109.69"/>
        <n v="26.2"/>
        <n v="101.43"/>
        <n v="89.54"/>
        <n v="64.489999999999995"/>
        <n v="45.08"/>
        <n v="95.54"/>
        <n v="18.149999999999999"/>
        <n v="73.89"/>
        <n v="97.65"/>
        <n v="97.33"/>
        <n v="24.36"/>
        <n v="26.97"/>
        <n v="89.65"/>
        <n v="76.040000000000006"/>
        <n v="112.83"/>
        <n v="24.6"/>
        <n v="29.25"/>
        <n v="27.95"/>
        <n v="90.96"/>
        <n v="47.19"/>
        <n v="72.650000000000006"/>
        <n v="71.41"/>
        <n v="80.94"/>
        <n v="29.01"/>
        <n v="69.290000000000006"/>
        <n v="69.36"/>
        <n v="69.81"/>
        <n v="106.02"/>
        <n v="98.9"/>
        <n v="73.75"/>
        <n v="20.47"/>
        <n v="88.04"/>
        <n v="85.42"/>
        <n v="91.99"/>
        <n v="73.63"/>
        <n v="115.02"/>
        <n v="18.940000000000001"/>
        <n v="24.24"/>
        <n v="113.37"/>
        <n v="114.48"/>
        <n v="104.24"/>
        <n v="70.38"/>
        <n v="75.010000000000005"/>
        <n v="82.1"/>
        <n v="22.64"/>
        <n v="76.62"/>
        <n v="26.13"/>
        <n v="74.459999999999994"/>
        <n v="66.87"/>
        <n v="75.98"/>
        <n v="113.32"/>
        <n v="48.01"/>
        <n v="70.45"/>
        <n v="41.51"/>
        <n v="55.34"/>
        <n v="76.06"/>
        <n v="68.44"/>
        <n v="61.89"/>
        <n v="75.94"/>
        <n v="56.39"/>
        <n v="74.5"/>
        <n v="20.100000000000001"/>
        <n v="114.73"/>
        <n v="104.5"/>
        <n v="26.14"/>
        <n v="21.77"/>
        <n v="67.05"/>
        <n v="59.67"/>
        <n v="23.98"/>
        <n v="98.12"/>
        <n v="75.7"/>
        <n v="100.54"/>
        <n v="92.53"/>
        <n v="20.079999999999998"/>
        <n v="19.600000000000001"/>
        <n v="45.31"/>
        <n v="56.9"/>
        <n v="104.53"/>
        <n v="18.559999999999999"/>
        <n v="76.459999999999994"/>
        <n v="91.43"/>
        <n v="65.010000000000005"/>
        <n v="61.48"/>
        <n v="87.3"/>
        <n v="24.2"/>
        <n v="29.48"/>
        <n v="77.69"/>
        <n v="57.32"/>
        <n v="116.33"/>
        <n v="75.48"/>
        <n v="107.41"/>
        <n v="98.36"/>
        <n v="103.56"/>
        <n v="54.58"/>
        <n v="93.14"/>
        <n v="28.71"/>
        <n v="48.93"/>
        <n v="77.02"/>
        <n v="72.14"/>
        <n v="83.17"/>
        <n v="94.11"/>
        <n v="64.08"/>
        <n v="56.44"/>
        <n v="98.18"/>
        <n v="90.54"/>
        <n v="24.27"/>
        <n v="25.91"/>
        <n v="70.27"/>
        <n v="66.06"/>
        <n v="62.36"/>
        <n v="60.33"/>
        <n v="23.22"/>
        <n v="72.81"/>
        <n v="40.01"/>
        <n v="69.05"/>
        <n v="60.25"/>
        <n v="23.51"/>
        <n v="87.65"/>
        <n v="54.14"/>
        <n v="111.82"/>
        <n v="29.82"/>
        <n v="41.3"/>
        <n v="64.510000000000005"/>
        <n v="90.03"/>
        <n v="29.51"/>
        <n v="74.34"/>
        <n v="24.69"/>
        <n v="92.35"/>
        <n v="87.18"/>
        <n v="47.36"/>
        <n v="89.85"/>
        <n v="111.93"/>
        <n v="23.48"/>
        <n v="40.42"/>
        <n v="108.29"/>
        <n v="25.75"/>
        <n v="51.58"/>
        <n v="76.25"/>
        <n v="93.18"/>
        <n v="73.13"/>
        <n v="118.06"/>
        <n v="49.44"/>
        <n v="74.47"/>
        <n v="57.55"/>
        <n v="47.47"/>
        <n v="108.8"/>
        <n v="46.17"/>
        <n v="19.190000000000001"/>
        <n v="111.6"/>
        <n v="108.31"/>
        <n v="64"/>
        <n v="29.81"/>
        <n v="99.11"/>
        <n v="52.02"/>
        <n v="20.72"/>
        <n v="67.91"/>
        <n v="98.57"/>
        <n v="79.88"/>
        <n v="87.23"/>
        <n v="72.73"/>
        <n v="61.52"/>
        <n v="100.9"/>
        <n v="76.89"/>
        <n v="101.29"/>
        <n v="96.04"/>
        <n v="76.59"/>
        <n v="62.59"/>
        <n v="21.64"/>
        <n v="100.62"/>
        <n v="55.5"/>
        <n v="29.13"/>
        <n v="116.96"/>
        <n v="41.57"/>
        <n v="29.03"/>
        <n v="99.52"/>
        <n v="68.290000000000006"/>
        <n v="45.78"/>
        <n v="94.88"/>
        <n v="111.9"/>
        <n v="43.73"/>
        <n v="90.69"/>
        <n v="100.71"/>
        <n v="20.49"/>
        <n v="60.27"/>
        <n v="27.57"/>
        <n v="18.22"/>
        <n v="22.67"/>
        <n v="117.54"/>
        <n v="116.18"/>
        <n v="60.89"/>
        <n v="27.1"/>
        <n v="83.68"/>
        <n v="85.57"/>
        <n v="85.62"/>
        <n v="105.51"/>
        <n v="71.510000000000005"/>
        <n v="65.98"/>
        <n v="67.760000000000005"/>
        <n v="63.84"/>
        <n v="72.680000000000007"/>
        <n v="67.260000000000005"/>
        <n v="22.87"/>
        <n v="113.64"/>
        <n v="28.72"/>
        <n v="18.09"/>
        <n v="59.26"/>
        <n v="96.96"/>
        <n v="78.42"/>
        <n v="64.97"/>
        <n v="64.150000000000006"/>
        <n v="43.38"/>
        <n v="106.72"/>
        <n v="68.22"/>
        <n v="96.56"/>
        <n v="107.45"/>
        <n v="67.42"/>
        <n v="100.23"/>
        <n v="116.13"/>
        <n v="79.84"/>
        <n v="65.73"/>
        <n v="66.58"/>
        <n v="96.77"/>
        <n v="51.6"/>
        <n v="19.68"/>
        <n v="40.659999999999997"/>
        <n v="20.8"/>
        <n v="74.86"/>
        <n v="79.290000000000006"/>
        <n v="46.72"/>
        <n v="43.23"/>
        <n v="77.52"/>
        <n v="113.14"/>
        <n v="77.989999999999995"/>
        <n v="78.790000000000006"/>
        <n v="74.900000000000006"/>
        <n v="54.94"/>
        <n v="111.85"/>
        <n v="114.91"/>
        <n v="90.33"/>
        <n v="58.55"/>
        <n v="27.03"/>
        <n v="44.44"/>
        <n v="69.5"/>
        <n v="23.43"/>
        <n v="75.92"/>
        <n v="67.3"/>
        <n v="87.14"/>
        <n v="54.88"/>
        <n v="67.709999999999994"/>
        <n v="118.9"/>
        <n v="77.8"/>
        <n v="19.350000000000001"/>
        <n v="79.760000000000005"/>
        <n v="55.78"/>
        <n v="53.8"/>
        <n v="22.97"/>
        <n v="22.91"/>
        <n v="21.62"/>
        <n v="103.3"/>
        <n v="54.47"/>
        <n v="58.44"/>
        <n v="108.32"/>
        <n v="70.64"/>
        <n v="115.8"/>
        <n v="85.23"/>
        <n v="108.73"/>
        <n v="29.04"/>
        <n v="112.76"/>
        <n v="43.95"/>
        <n v="60.57"/>
        <n v="94.69"/>
        <n v="110.12"/>
        <n v="114.62"/>
        <n v="108.3"/>
        <n v="58.19"/>
        <n v="67.17"/>
        <n v="110.47"/>
        <n v="62.27"/>
        <n v="94.53"/>
        <n v="84.22"/>
        <n v="54.29"/>
        <n v="25.89"/>
        <n v="27.7"/>
        <n v="96.79"/>
        <n v="53.89"/>
        <n v="97.38"/>
        <n v="69.06"/>
        <n v="28.15"/>
        <n v="97.99"/>
        <n v="72.11"/>
        <n v="25.01"/>
        <n v="72.8"/>
        <n v="29.6"/>
        <n v="67.41"/>
        <n v="101.57"/>
        <n v="21.99"/>
        <n v="71.37"/>
        <n v="82.48"/>
        <n v="47.95"/>
        <n v="28.22"/>
        <n v="94.71"/>
        <n v="84.15"/>
        <n v="25.77"/>
        <n v="77.239999999999995"/>
        <n v="45.29"/>
        <n v="19.399999999999999"/>
        <n v="91.79"/>
        <n v="93.36"/>
        <n v="43.74"/>
        <n v="75.489999999999995"/>
        <n v="29.46"/>
        <n v="97.36"/>
        <n v="117.72"/>
        <n v="55.52"/>
        <n v="103.82"/>
        <n v="85.02"/>
        <n v="98.42"/>
        <n v="84.88"/>
        <n v="70.900000000000006"/>
        <n v="74.38"/>
        <n v="70.790000000000006"/>
        <n v="73.180000000000007"/>
        <n v="63.64"/>
        <n v="65.930000000000007"/>
        <n v="81.61"/>
        <n v="71.989999999999995"/>
        <n v="76.03"/>
        <n v="28.93"/>
        <n v="57.56"/>
        <n v="66.599999999999994"/>
        <n v="92.13"/>
        <n v="102.07"/>
        <n v="28.57"/>
        <n v="114.52"/>
        <n v="107.83"/>
        <n v="91.24"/>
        <n v="56.68"/>
        <n v="29.33"/>
        <n v="85.25"/>
        <n v="106.98"/>
        <n v="68.8"/>
        <n v="115.01"/>
        <n v="19.489999999999998"/>
        <n v="51"/>
        <n v="40.93"/>
        <n v="75.72"/>
        <n v="58.59"/>
        <n v="56.27"/>
        <n v="27.75"/>
        <n v="112.12"/>
        <n v="80.540000000000006"/>
        <n v="86.42"/>
        <n v="61.53"/>
        <n v="111.96"/>
        <n v="110.81"/>
        <n v="83.87"/>
        <n v="69.16"/>
        <n v="26.16"/>
        <n v="18.98"/>
        <n v="91.6"/>
        <n v="73.099999999999994"/>
        <n v="53.13"/>
        <n v="57.78"/>
        <n v="21.7"/>
        <n v="48.05"/>
        <n v="71.569999999999993"/>
        <n v="55.04"/>
        <n v="71.48"/>
        <n v="103.87"/>
        <n v="73.27"/>
        <n v="108.15"/>
        <n v="74.069999999999993"/>
        <n v="59.79"/>
        <n v="23.1"/>
        <n v="41.65"/>
        <n v="20.81"/>
        <n v="86.46"/>
        <n v="22.16"/>
        <n v="24.19"/>
        <n v="92.5"/>
        <n v="70.11"/>
        <n v="80.209999999999994"/>
        <n v="47.11"/>
        <n v="95.93"/>
        <n v="74.63"/>
        <n v="57.83"/>
        <n v="73.709999999999994"/>
        <n v="74.78"/>
        <n v="43.06"/>
        <n v="107.3"/>
        <n v="66.28"/>
        <n v="26.06"/>
        <n v="20.309999999999999"/>
        <n v="116.72"/>
        <n v="92.94"/>
        <n v="19.22"/>
        <n v="65.41"/>
        <n v="105.23"/>
        <n v="48.08"/>
        <n v="81.45"/>
        <n v="40.24"/>
        <n v="46.11"/>
        <n v="47.83"/>
        <n v="21.69"/>
        <n v="59.54"/>
        <n v="65.81"/>
        <n v="118.71"/>
        <n v="76.97"/>
        <n v="72.66"/>
        <n v="79.099999999999994"/>
        <n v="76.52"/>
        <n v="103.64"/>
        <n v="58.93"/>
        <n v="28.48"/>
        <n v="64.73"/>
        <n v="81.680000000000007"/>
        <n v="28.44"/>
        <n v="57.85"/>
        <n v="81.02"/>
        <n v="55.08"/>
        <n v="99.61"/>
        <n v="79.19"/>
        <n v="94.99"/>
        <n v="48.63"/>
        <n v="26.73"/>
        <n v="96.39"/>
        <n v="98.86"/>
        <n v="119.14"/>
        <n v="25.52"/>
        <n v="74.599999999999994"/>
        <n v="98.65"/>
        <n v="18.760000000000002"/>
        <n v="102.63"/>
        <n v="72.31"/>
        <n v="66.5"/>
        <n v="82.75"/>
        <n v="26.36"/>
        <n v="76.23"/>
        <n v="79.180000000000007"/>
        <n v="100.37"/>
        <n v="67.47"/>
        <n v="79.45"/>
        <n v="18.920000000000002"/>
        <n v="24.18"/>
        <n v="26.87"/>
        <n v="78.099999999999994"/>
        <n v="26.86"/>
        <n v="87.49"/>
        <n v="102.83"/>
        <n v="22.24"/>
        <n v="76.94"/>
        <n v="99.85"/>
        <n v="49.89"/>
        <n v="65.75"/>
        <n v="23.66"/>
        <n v="107.06"/>
        <n v="107.13"/>
        <n v="29.88"/>
        <n v="44.7"/>
        <n v="67.75"/>
        <n v="50.86"/>
        <n v="50.74"/>
        <n v="18.62"/>
        <n v="56.33"/>
        <n v="79.150000000000006"/>
        <n v="101.49"/>
        <n v="23.89"/>
        <n v="108.51"/>
        <n v="59.22"/>
        <n v="72.23"/>
        <n v="81.290000000000006"/>
        <n v="22"/>
        <n v="103.36"/>
        <n v="78.38"/>
        <n v="65.459999999999994"/>
        <n v="71.06"/>
        <n v="18.71"/>
        <n v="88.26"/>
        <n v="68.900000000000006"/>
        <n v="27.99"/>
        <n v="76.260000000000005"/>
        <n v="54.86"/>
        <n v="85.46"/>
        <n v="52.34"/>
        <n v="60.14"/>
        <n v="81.58"/>
        <n v="68.510000000000005"/>
        <n v="92.74"/>
        <n v="24.15"/>
        <n v="24.73"/>
        <n v="102.12"/>
        <n v="94.31"/>
        <n v="110.43"/>
        <n v="113.69"/>
        <n v="87.46"/>
        <n v="26.67"/>
        <n v="80.81"/>
        <n v="19.95"/>
        <n v="27"/>
        <n v="93.48"/>
        <n v="117.96"/>
        <n v="85.91"/>
        <n v="20.45"/>
        <n v="25.61"/>
        <n v="66.37"/>
        <n v="23.93"/>
        <n v="92.54"/>
        <n v="26.9"/>
        <n v="77.849999999999994"/>
        <n v="59.51"/>
        <n v="114.47"/>
        <n v="62.47"/>
        <n v="52.8"/>
        <n v="84.25"/>
        <n v="110.13"/>
        <n v="79.36"/>
        <n v="74.400000000000006"/>
        <n v="26.26"/>
        <n v="68.459999999999994"/>
        <n v="20.260000000000002"/>
        <n v="58.1"/>
        <n v="113.81"/>
        <n v="43.36"/>
        <n v="79.47"/>
        <n v="49.55"/>
        <n v="87.38"/>
        <n v="26.18"/>
        <n v="112.65"/>
        <n v="78.37"/>
        <n v="40.54"/>
        <n v="45.67"/>
        <n v="75.09"/>
        <n v="18.489999999999998"/>
        <n v="96.16"/>
        <n v="52.23"/>
        <n v="20.36"/>
        <n v="84.87"/>
        <n v="43.39"/>
        <n v="60.65"/>
        <n v="40"/>
        <n v="94.19"/>
        <n v="107.08"/>
        <n v="72.540000000000006"/>
        <n v="93.4"/>
        <n v="112.93"/>
        <n v="116.37"/>
        <n v="94.97"/>
        <n v="42.48"/>
        <n v="29.87"/>
        <n v="71.209999999999994"/>
        <n v="48.3"/>
        <n v="95.86"/>
        <n v="22.29"/>
        <n v="41.29"/>
        <n v="18.87"/>
        <n v="18.5"/>
        <n v="74.41"/>
        <n v="44.72"/>
        <n v="70.739999999999995"/>
        <n v="76.489999999999995"/>
        <n v="85.14"/>
        <n v="48.14"/>
        <n v="58.15"/>
        <n v="28.35"/>
        <n v="115.5"/>
        <n v="62.13"/>
        <n v="70.760000000000005"/>
        <n v="110.51"/>
        <n v="112.22"/>
        <n v="101.52"/>
        <n v="49.12"/>
        <n v="86.29"/>
        <n v="88.74"/>
        <n v="27.37"/>
        <n v="119.89"/>
        <n v="51.72"/>
        <n v="54.08"/>
        <n v="113.82"/>
        <n v="100.83"/>
        <n v="69.34"/>
        <n v="57.54"/>
        <n v="78.92"/>
        <n v="84.39"/>
        <n v="76.099999999999994"/>
        <n v="72.150000000000006"/>
        <n v="77.290000000000006"/>
        <n v="83.26"/>
        <n v="42.69"/>
        <n v="57.89"/>
        <n v="67.489999999999995"/>
        <n v="108.98"/>
        <n v="24.63"/>
        <n v="80.78"/>
        <n v="81.5"/>
        <n v="106.11"/>
        <n v="71.17"/>
        <n v="105.14"/>
        <n v="49.28"/>
        <n v="90.16"/>
        <n v="104.45"/>
        <n v="57.03"/>
        <n v="96.23"/>
        <n v="100.76"/>
        <n v="68.81"/>
        <n v="79.38"/>
        <n v="111.04"/>
        <n v="50.52"/>
        <n v="86.35"/>
        <n v="117.27"/>
        <n v="54.63"/>
        <n v="85.52"/>
        <n v="42.29"/>
        <n v="47.08"/>
        <n v="47.77"/>
        <n v="73"/>
        <n v="62.42"/>
        <n v="118.29"/>
        <n v="91.98"/>
        <n v="23.21"/>
        <n v="60.68"/>
        <n v="40.32"/>
        <n v="78.83"/>
        <n v="29.07"/>
        <n v="58.35"/>
        <n v="97.77"/>
        <n v="70.52"/>
        <n v="26.04"/>
        <n v="76.900000000000006"/>
        <n v="117.93"/>
        <n v="76.44"/>
        <n v="43.2"/>
        <n v="19.46"/>
        <n v="78.94"/>
        <n v="45.04"/>
        <n v="68.95"/>
        <n v="91.67"/>
        <n v="66.86"/>
        <n v="99.95"/>
        <n v="101.74"/>
        <n v="104.89"/>
        <n v="27.01"/>
        <n v="88.76"/>
        <n v="119.22"/>
        <n v="96.63"/>
        <n v="106.61"/>
        <n v="78.069999999999993"/>
        <n v="92.18"/>
        <n v="119.78"/>
        <n v="68.66"/>
        <n v="20.92"/>
        <n v="58.02"/>
        <n v="105.79"/>
        <n v="71.400000000000006"/>
        <n v="29.36"/>
        <n v="112.29"/>
        <n v="96.74"/>
        <n v="105.87"/>
        <n v="49.1"/>
        <n v="80.75"/>
        <n v="64.05"/>
        <n v="19.34"/>
        <n v="92.16"/>
        <n v="85"/>
        <n v="71.55"/>
        <n v="91.26"/>
        <n v="48.09"/>
        <n v="64.7"/>
        <n v="22.68"/>
        <n v="84.21"/>
        <n v="70.510000000000005"/>
        <n v="23.35"/>
        <n v="102.11"/>
        <n v="59.68"/>
        <n v="108.36"/>
        <n v="90.07"/>
        <n v="102.68"/>
        <n v="97"/>
        <n v="71.36"/>
        <n v="27.25"/>
        <n v="85.84"/>
        <n v="56.01"/>
        <n v="118.21"/>
        <n v="116.25"/>
        <n v="74.88"/>
        <n v="93.22"/>
        <n v="66.739999999999995"/>
        <n v="51.29"/>
        <n v="54.99"/>
        <n v="21.87"/>
        <n v="66.22"/>
        <n v="54.62"/>
        <n v="91.81"/>
        <n v="109"/>
        <n v="107.56"/>
        <n v="19.920000000000002"/>
        <n v="56.06"/>
        <n v="60.97"/>
        <n v="19.059999999999999"/>
        <n v="102.01"/>
        <n v="57.35"/>
        <n v="27.52"/>
        <n v="72.08"/>
        <n v="78.03"/>
        <n v="21.67"/>
        <n v="107.74"/>
        <n v="43.62"/>
        <n v="78.239999999999995"/>
        <n v="81.22"/>
        <n v="97.56"/>
        <n v="27.41"/>
        <n v="23.25"/>
        <n v="77.89"/>
        <n v="62.79"/>
        <n v="61.19"/>
        <n v="105.36"/>
        <n v="100.31"/>
        <n v="98.4"/>
        <n v="98.7"/>
        <n v="67.319999999999993"/>
        <n v="18.79"/>
        <n v="74.55"/>
        <n v="91.32"/>
        <n v="67.959999999999994"/>
        <n v="42.1"/>
        <n v="18.88"/>
        <n v="115.76"/>
        <n v="91.14"/>
        <n v="94.43"/>
        <n v="114.28"/>
        <n v="28"/>
        <n v="106.25"/>
        <n v="49.01"/>
        <n v="21.81"/>
        <n v="98.14"/>
        <n v="100.8"/>
        <n v="65.48"/>
      </sharedItems>
    </cacheField>
    <cacheField name="total_charges" numFmtId="0">
      <sharedItems containsSemiMixedTypes="0" containsString="0" containsNumber="1" minValue="26.06" maxValue="8568.59"/>
    </cacheField>
    <cacheField name="city" numFmtId="0">
      <sharedItems/>
    </cacheField>
    <cacheField name="churn" numFmtId="0">
      <sharedItems/>
    </cacheField>
    <cacheField name="Churn_Flag" numFmtId="0">
      <sharedItems containsSemiMixedTypes="0" containsString="0" containsNumber="1" containsInteger="1" minValue="0" maxValue="1"/>
    </cacheField>
    <cacheField name="Tenure_Group" numFmtId="0">
      <sharedItems count="3">
        <s v="25-48 months"/>
        <s v="0-12 months"/>
        <s v="49+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qlain" refreshedDate="46286.987396180557" createdVersion="8" refreshedVersion="8" minRefreshableVersion="3" recordCount="1000" xr:uid="{5E9EC14D-E9DB-4936-B133-BB956E956848}">
  <cacheSource type="worksheet">
    <worksheetSource ref="A1:S1001" sheet="Cleaned_Data"/>
  </cacheSource>
  <cacheFields count="19">
    <cacheField name="customer_id" numFmtId="0">
      <sharedItems/>
    </cacheField>
    <cacheField name="age" numFmtId="0">
      <sharedItems containsSemiMixedTypes="0" containsString="0" containsNumber="1" containsInteger="1" minValue="18" maxValue="75"/>
    </cacheField>
    <cacheField name="senior_citizen" numFmtId="0">
      <sharedItems/>
    </cacheField>
    <cacheField name="partner" numFmtId="0">
      <sharedItems/>
    </cacheField>
    <cacheField name="dependents" numFmtId="0">
      <sharedItems/>
    </cacheField>
    <cacheField name="tenure_months" numFmtId="0">
      <sharedItems containsSemiMixedTypes="0" containsString="0" containsNumber="1" containsInteger="1" minValue="1" maxValue="72"/>
    </cacheField>
    <cacheField name="phone_service" numFmtId="0">
      <sharedItems/>
    </cacheField>
    <cacheField name="multiple_lines" numFmtId="0">
      <sharedItems/>
    </cacheField>
    <cacheField name="internet_service" numFmtId="0">
      <sharedItems/>
    </cacheField>
    <cacheField name="contract" numFmtId="0">
      <sharedItems count="3">
        <s v="One year"/>
        <s v="Two year"/>
        <s v="Month-to-month"/>
      </sharedItems>
    </cacheField>
    <cacheField name="paperless_billing" numFmtId="0">
      <sharedItems/>
    </cacheField>
    <cacheField name="payment_method" numFmtId="0">
      <sharedItems/>
    </cacheField>
    <cacheField name="monthly_charges" numFmtId="0">
      <sharedItems containsSemiMixedTypes="0" containsString="0" containsNumber="1" minValue="18.09" maxValue="119.89"/>
    </cacheField>
    <cacheField name="total_charges" numFmtId="0">
      <sharedItems containsSemiMixedTypes="0" containsString="0" containsNumber="1" minValue="26.06" maxValue="8568.59"/>
    </cacheField>
    <cacheField name="city" numFmtId="0">
      <sharedItems/>
    </cacheField>
    <cacheField name="churn" numFmtId="0">
      <sharedItems/>
    </cacheField>
    <cacheField name="Churn_Flag" numFmtId="0">
      <sharedItems containsSemiMixedTypes="0" containsString="0" containsNumber="1" containsInteger="1" minValue="0" maxValue="1"/>
    </cacheField>
    <cacheField name="Tenure_Group" numFmtId="0">
      <sharedItems/>
    </cacheField>
    <cacheField name="Monthly_Charges_Group" numFmtId="0">
      <sharedItems count="4">
        <s v="$50-$75"/>
        <s v="$76-$100"/>
        <s v="&gt; $100"/>
        <s v="&lt; $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UST-00001"/>
    <n v="58"/>
    <s v="No"/>
    <s v="Yes"/>
    <s v="Yes"/>
    <x v="0"/>
    <s v="Yes"/>
    <s v="No"/>
    <x v="0"/>
    <x v="0"/>
    <s v="Yes"/>
    <x v="0"/>
    <n v="71.59"/>
    <n v="2451.58"/>
    <s v="Faisalabad"/>
    <s v="No"/>
    <n v="0"/>
  </r>
  <r>
    <s v="CUST-00002"/>
    <n v="19"/>
    <s v="No"/>
    <s v="Yes"/>
    <s v="No"/>
    <x v="1"/>
    <s v="No"/>
    <s v="No phone service"/>
    <x v="0"/>
    <x v="1"/>
    <s v="Yes"/>
    <x v="1"/>
    <n v="77.98"/>
    <n v="2240.42"/>
    <s v="Karachi"/>
    <s v="No"/>
    <n v="0"/>
  </r>
  <r>
    <s v="CUST-00003"/>
    <n v="66"/>
    <s v="Yes"/>
    <s v="No"/>
    <s v="Yes"/>
    <x v="2"/>
    <s v="No"/>
    <s v="No phone service"/>
    <x v="0"/>
    <x v="1"/>
    <s v="No"/>
    <x v="1"/>
    <n v="106.49"/>
    <n v="1283.44"/>
    <s v="Rawalpindi"/>
    <s v="No"/>
    <n v="0"/>
  </r>
  <r>
    <s v="CUST-00004"/>
    <n v="23"/>
    <s v="No"/>
    <s v="No"/>
    <s v="No"/>
    <x v="3"/>
    <s v="Yes"/>
    <s v="No"/>
    <x v="1"/>
    <x v="0"/>
    <s v="Yes"/>
    <x v="2"/>
    <n v="74.66"/>
    <n v="1839.65"/>
    <s v="Peshawar"/>
    <s v="No"/>
    <n v="0"/>
  </r>
  <r>
    <s v="CUST-00005"/>
    <n v="41"/>
    <s v="No"/>
    <s v="Yes"/>
    <s v="No"/>
    <x v="4"/>
    <s v="No"/>
    <s v="No phone service"/>
    <x v="0"/>
    <x v="0"/>
    <s v="Yes"/>
    <x v="1"/>
    <n v="78.56"/>
    <n v="3713.12"/>
    <s v="Rawalpindi"/>
    <s v="Yes"/>
    <n v="1"/>
  </r>
  <r>
    <s v="CUST-00006"/>
    <n v="35"/>
    <s v="No"/>
    <s v="Yes"/>
    <s v="No"/>
    <x v="5"/>
    <s v="Yes"/>
    <s v="No"/>
    <x v="0"/>
    <x v="2"/>
    <s v="Yes"/>
    <x v="3"/>
    <n v="117.15"/>
    <n v="979.53"/>
    <s v="Multan"/>
    <s v="Yes"/>
    <n v="1"/>
  </r>
  <r>
    <s v="CUST-00007"/>
    <n v="49"/>
    <s v="No"/>
    <s v="No"/>
    <s v="No"/>
    <x v="6"/>
    <s v="Yes"/>
    <s v="No"/>
    <x v="0"/>
    <x v="2"/>
    <s v="No"/>
    <x v="2"/>
    <n v="89.97"/>
    <n v="1651.85"/>
    <s v="Faisalabad"/>
    <s v="No"/>
    <n v="0"/>
  </r>
  <r>
    <s v="CUST-00008"/>
    <n v="49"/>
    <s v="No"/>
    <s v="Yes"/>
    <s v="Yes"/>
    <x v="7"/>
    <s v="Yes"/>
    <s v="No"/>
    <x v="0"/>
    <x v="2"/>
    <s v="Yes"/>
    <x v="0"/>
    <n v="99.79"/>
    <n v="1491.11"/>
    <s v="Faisalabad"/>
    <s v="Yes"/>
    <n v="1"/>
  </r>
  <r>
    <s v="CUST-00009"/>
    <n v="73"/>
    <s v="Yes"/>
    <s v="Yes"/>
    <s v="Yes"/>
    <x v="8"/>
    <s v="No"/>
    <s v="No phone service"/>
    <x v="1"/>
    <x v="2"/>
    <s v="No"/>
    <x v="3"/>
    <n v="40.130000000000003"/>
    <n v="2842.77"/>
    <s v="Faisalabad"/>
    <s v="No"/>
    <n v="0"/>
  </r>
  <r>
    <s v="CUST-00010"/>
    <n v="66"/>
    <s v="Yes"/>
    <s v="Yes"/>
    <s v="Yes"/>
    <x v="9"/>
    <s v="Yes"/>
    <s v="Yes"/>
    <x v="2"/>
    <x v="0"/>
    <s v="Yes"/>
    <x v="0"/>
    <n v="23.86"/>
    <n v="887.2"/>
    <s v="Peshawar"/>
    <s v="No"/>
    <n v="0"/>
  </r>
  <r>
    <s v="CUST-00011"/>
    <n v="69"/>
    <s v="Yes"/>
    <s v="No"/>
    <s v="Yes"/>
    <x v="5"/>
    <s v="Yes"/>
    <s v="Yes"/>
    <x v="0"/>
    <x v="2"/>
    <s v="Yes"/>
    <x v="2"/>
    <n v="96.64"/>
    <n v="738.4"/>
    <s v="Faisalabad"/>
    <s v="No"/>
    <n v="0"/>
  </r>
  <r>
    <s v="CUST-00012"/>
    <n v="28"/>
    <s v="No"/>
    <s v="No"/>
    <s v="No"/>
    <x v="10"/>
    <s v="Yes"/>
    <s v="No"/>
    <x v="2"/>
    <x v="2"/>
    <s v="No"/>
    <x v="0"/>
    <n v="24.21"/>
    <n v="647.04999999999995"/>
    <s v="Islamabad"/>
    <s v="Yes"/>
    <n v="1"/>
  </r>
  <r>
    <s v="CUST-00013"/>
    <n v="19"/>
    <s v="No"/>
    <s v="Yes"/>
    <s v="Yes"/>
    <x v="11"/>
    <s v="Yes"/>
    <s v="Yes"/>
    <x v="0"/>
    <x v="1"/>
    <s v="No"/>
    <x v="3"/>
    <n v="81.900000000000006"/>
    <n v="83.56"/>
    <s v="Karachi"/>
    <s v="Yes"/>
    <n v="1"/>
  </r>
  <r>
    <s v="CUST-00014"/>
    <n v="64"/>
    <s v="Yes"/>
    <s v="No"/>
    <s v="Yes"/>
    <x v="12"/>
    <s v="Yes"/>
    <s v="Yes"/>
    <x v="2"/>
    <x v="0"/>
    <s v="No"/>
    <x v="0"/>
    <n v="23.6"/>
    <n v="1479.17"/>
    <s v="Multan"/>
    <s v="No"/>
    <n v="0"/>
  </r>
  <r>
    <s v="CUST-00015"/>
    <n v="24"/>
    <s v="No"/>
    <s v="Yes"/>
    <s v="No"/>
    <x v="13"/>
    <s v="Yes"/>
    <s v="Yes"/>
    <x v="2"/>
    <x v="2"/>
    <s v="No"/>
    <x v="3"/>
    <n v="20.2"/>
    <n v="884.81"/>
    <s v="Lahore"/>
    <s v="No"/>
    <n v="0"/>
  </r>
  <r>
    <s v="CUST-00016"/>
    <n v="46"/>
    <s v="No"/>
    <s v="Yes"/>
    <s v="Yes"/>
    <x v="14"/>
    <s v="Yes"/>
    <s v="No"/>
    <x v="2"/>
    <x v="1"/>
    <s v="Yes"/>
    <x v="0"/>
    <n v="23.78"/>
    <n v="1737.44"/>
    <s v="Karachi"/>
    <s v="No"/>
    <n v="0"/>
  </r>
  <r>
    <s v="CUST-00017"/>
    <n v="42"/>
    <s v="No"/>
    <s v="Yes"/>
    <s v="No"/>
    <x v="15"/>
    <s v="No"/>
    <s v="No phone service"/>
    <x v="2"/>
    <x v="2"/>
    <s v="No"/>
    <x v="3"/>
    <n v="21.56"/>
    <n v="774.27"/>
    <s v="Faisalabad"/>
    <s v="No"/>
    <n v="0"/>
  </r>
  <r>
    <s v="CUST-00018"/>
    <n v="21"/>
    <s v="No"/>
    <s v="No"/>
    <s v="Yes"/>
    <x v="16"/>
    <s v="Yes"/>
    <s v="Yes"/>
    <x v="1"/>
    <x v="2"/>
    <s v="Yes"/>
    <x v="3"/>
    <n v="42.72"/>
    <n v="312.02"/>
    <s v="Faisalabad"/>
    <s v="Yes"/>
    <n v="1"/>
  </r>
  <r>
    <s v="CUST-00019"/>
    <n v="33"/>
    <s v="No"/>
    <s v="Yes"/>
    <s v="Yes"/>
    <x v="17"/>
    <s v="No"/>
    <s v="No phone service"/>
    <x v="1"/>
    <x v="1"/>
    <s v="Yes"/>
    <x v="1"/>
    <n v="52.57"/>
    <n v="2758.94"/>
    <s v="Multan"/>
    <s v="No"/>
    <n v="0"/>
  </r>
  <r>
    <s v="CUST-00020"/>
    <n v="37"/>
    <s v="No"/>
    <s v="No"/>
    <s v="No"/>
    <x v="18"/>
    <s v="Yes"/>
    <s v="Yes"/>
    <x v="0"/>
    <x v="2"/>
    <s v="No"/>
    <x v="3"/>
    <n v="87.45"/>
    <n v="829.25"/>
    <s v="Islamabad"/>
    <s v="Yes"/>
    <n v="1"/>
  </r>
  <r>
    <s v="CUST-00021"/>
    <n v="28"/>
    <s v="No"/>
    <s v="No"/>
    <s v="No"/>
    <x v="19"/>
    <s v="No"/>
    <s v="No phone service"/>
    <x v="0"/>
    <x v="1"/>
    <s v="Yes"/>
    <x v="2"/>
    <n v="76.709999999999994"/>
    <n v="4975.5600000000004"/>
    <s v="Faisalabad"/>
    <s v="Yes"/>
    <n v="1"/>
  </r>
  <r>
    <s v="CUST-00022"/>
    <n v="27"/>
    <s v="No"/>
    <s v="No"/>
    <s v="No"/>
    <x v="20"/>
    <s v="Yes"/>
    <s v="No"/>
    <x v="1"/>
    <x v="1"/>
    <s v="No"/>
    <x v="3"/>
    <n v="76.33"/>
    <n v="1949.82"/>
    <s v="Peshawar"/>
    <s v="No"/>
    <n v="0"/>
  </r>
  <r>
    <s v="CUST-00023"/>
    <n v="35"/>
    <s v="No"/>
    <s v="Yes"/>
    <s v="Yes"/>
    <x v="21"/>
    <s v="No"/>
    <s v="No phone service"/>
    <x v="1"/>
    <x v="2"/>
    <s v="No"/>
    <x v="0"/>
    <n v="57.11"/>
    <n v="2311.2399999999998"/>
    <s v="Multan"/>
    <s v="Yes"/>
    <n v="1"/>
  </r>
  <r>
    <s v="CUST-00024"/>
    <n v="75"/>
    <s v="Yes"/>
    <s v="Yes"/>
    <s v="Yes"/>
    <x v="22"/>
    <s v="Yes"/>
    <s v="No"/>
    <x v="1"/>
    <x v="2"/>
    <s v="No"/>
    <x v="2"/>
    <n v="71.84"/>
    <n v="3597.58"/>
    <s v="Karachi"/>
    <s v="No"/>
    <n v="0"/>
  </r>
  <r>
    <s v="CUST-00025"/>
    <n v="61"/>
    <s v="Yes"/>
    <s v="Yes"/>
    <s v="Yes"/>
    <x v="4"/>
    <s v="No"/>
    <s v="No phone service"/>
    <x v="1"/>
    <x v="1"/>
    <s v="Yes"/>
    <x v="2"/>
    <n v="49.47"/>
    <n v="2183.46"/>
    <s v="Karachi"/>
    <s v="No"/>
    <n v="0"/>
  </r>
  <r>
    <s v="CUST-00026"/>
    <n v="74"/>
    <s v="Yes"/>
    <s v="No"/>
    <s v="Yes"/>
    <x v="23"/>
    <s v="No"/>
    <s v="No phone service"/>
    <x v="1"/>
    <x v="0"/>
    <s v="No"/>
    <x v="1"/>
    <n v="74.56"/>
    <n v="1778.83"/>
    <s v="Peshawar"/>
    <s v="No"/>
    <n v="0"/>
  </r>
  <r>
    <s v="CUST-00027"/>
    <n v="62"/>
    <s v="Yes"/>
    <s v="Yes"/>
    <s v="No"/>
    <x v="24"/>
    <s v="Yes"/>
    <s v="Yes"/>
    <x v="2"/>
    <x v="1"/>
    <s v="No"/>
    <x v="3"/>
    <n v="27.54"/>
    <n v="133.19999999999999"/>
    <s v="Karachi"/>
    <s v="Yes"/>
    <n v="1"/>
  </r>
  <r>
    <s v="CUST-00028"/>
    <n v="43"/>
    <s v="No"/>
    <s v="No"/>
    <s v="No"/>
    <x v="25"/>
    <s v="No"/>
    <s v="No phone service"/>
    <x v="2"/>
    <x v="2"/>
    <s v="No"/>
    <x v="1"/>
    <n v="28.12"/>
    <n v="247.95"/>
    <s v="Islamabad"/>
    <s v="Yes"/>
    <n v="1"/>
  </r>
  <r>
    <s v="CUST-00029"/>
    <n v="29"/>
    <s v="No"/>
    <s v="No"/>
    <s v="Yes"/>
    <x v="26"/>
    <s v="No"/>
    <s v="No phone service"/>
    <x v="1"/>
    <x v="0"/>
    <s v="No"/>
    <x v="0"/>
    <n v="79.37"/>
    <n v="1059.93"/>
    <s v="Karachi"/>
    <s v="No"/>
    <n v="0"/>
  </r>
  <r>
    <s v="CUST-00030"/>
    <n v="34"/>
    <s v="No"/>
    <s v="Yes"/>
    <s v="No"/>
    <x v="11"/>
    <s v="Yes"/>
    <s v="No"/>
    <x v="1"/>
    <x v="2"/>
    <s v="No"/>
    <x v="1"/>
    <n v="66.540000000000006"/>
    <n v="63.54"/>
    <s v="Faisalabad"/>
    <s v="No"/>
    <n v="0"/>
  </r>
  <r>
    <s v="CUST-00031"/>
    <n v="37"/>
    <s v="No"/>
    <s v="No"/>
    <s v="No"/>
    <x v="27"/>
    <s v="Yes"/>
    <s v="Yes"/>
    <x v="1"/>
    <x v="0"/>
    <s v="No"/>
    <x v="1"/>
    <n v="76.11"/>
    <n v="4012.58"/>
    <s v="Faisalabad"/>
    <s v="No"/>
    <n v="0"/>
  </r>
  <r>
    <s v="CUST-00032"/>
    <n v="71"/>
    <s v="Yes"/>
    <s v="Yes"/>
    <s v="No"/>
    <x v="28"/>
    <s v="No"/>
    <s v="No phone service"/>
    <x v="0"/>
    <x v="2"/>
    <s v="No"/>
    <x v="1"/>
    <n v="95.56"/>
    <n v="3660.35"/>
    <s v="Multan"/>
    <s v="No"/>
    <n v="0"/>
  </r>
  <r>
    <s v="CUST-00033"/>
    <n v="28"/>
    <s v="No"/>
    <s v="Yes"/>
    <s v="No"/>
    <x v="29"/>
    <s v="No"/>
    <s v="No phone service"/>
    <x v="1"/>
    <x v="2"/>
    <s v="Yes"/>
    <x v="1"/>
    <n v="48.99"/>
    <n v="3116.6"/>
    <s v="Karachi"/>
    <s v="Yes"/>
    <n v="1"/>
  </r>
  <r>
    <s v="CUST-00034"/>
    <n v="48"/>
    <s v="No"/>
    <s v="Yes"/>
    <s v="No"/>
    <x v="17"/>
    <s v="Yes"/>
    <s v="No"/>
    <x v="2"/>
    <x v="2"/>
    <s v="No"/>
    <x v="3"/>
    <n v="25.87"/>
    <n v="1314.09"/>
    <s v="Peshawar"/>
    <s v="No"/>
    <n v="0"/>
  </r>
  <r>
    <s v="CUST-00035"/>
    <n v="74"/>
    <s v="Yes"/>
    <s v="Yes"/>
    <s v="No"/>
    <x v="1"/>
    <s v="No"/>
    <s v="No phone service"/>
    <x v="0"/>
    <x v="2"/>
    <s v="Yes"/>
    <x v="2"/>
    <n v="76.069999999999993"/>
    <n v="2108.9699999999998"/>
    <s v="Faisalabad"/>
    <s v="No"/>
    <n v="0"/>
  </r>
  <r>
    <s v="CUST-00036"/>
    <n v="53"/>
    <s v="No"/>
    <s v="No"/>
    <s v="No"/>
    <x v="30"/>
    <s v="No"/>
    <s v="No phone service"/>
    <x v="0"/>
    <x v="1"/>
    <s v="No"/>
    <x v="0"/>
    <n v="107.59"/>
    <n v="7278.56"/>
    <s v="Peshawar"/>
    <s v="No"/>
    <n v="0"/>
  </r>
  <r>
    <s v="CUST-00037"/>
    <n v="51"/>
    <s v="No"/>
    <s v="No"/>
    <s v="Yes"/>
    <x v="0"/>
    <s v="No"/>
    <s v="No phone service"/>
    <x v="0"/>
    <x v="2"/>
    <s v="No"/>
    <x v="3"/>
    <n v="97.01"/>
    <n v="3340.81"/>
    <s v="Multan"/>
    <s v="Yes"/>
    <n v="1"/>
  </r>
  <r>
    <s v="CUST-00038"/>
    <n v="27"/>
    <s v="No"/>
    <s v="Yes"/>
    <s v="Yes"/>
    <x v="17"/>
    <s v="No"/>
    <s v="No phone service"/>
    <x v="0"/>
    <x v="2"/>
    <s v="Yes"/>
    <x v="1"/>
    <n v="89.47"/>
    <n v="4987.8"/>
    <s v="Lahore"/>
    <s v="No"/>
    <n v="0"/>
  </r>
  <r>
    <s v="CUST-00039"/>
    <n v="72"/>
    <s v="Yes"/>
    <s v="No"/>
    <s v="No"/>
    <x v="11"/>
    <s v="No"/>
    <s v="No phone service"/>
    <x v="2"/>
    <x v="0"/>
    <s v="No"/>
    <x v="0"/>
    <n v="26.82"/>
    <n v="27.79"/>
    <s v="Rawalpindi"/>
    <s v="No"/>
    <n v="0"/>
  </r>
  <r>
    <s v="CUST-00040"/>
    <n v="32"/>
    <s v="No"/>
    <s v="No"/>
    <s v="No"/>
    <x v="31"/>
    <s v="No"/>
    <s v="No phone service"/>
    <x v="0"/>
    <x v="0"/>
    <s v="No"/>
    <x v="1"/>
    <n v="112.03"/>
    <n v="7413.22"/>
    <s v="Faisalabad"/>
    <s v="No"/>
    <n v="0"/>
  </r>
  <r>
    <s v="CUST-00041"/>
    <n v="19"/>
    <s v="No"/>
    <s v="No"/>
    <s v="Yes"/>
    <x v="32"/>
    <s v="Yes"/>
    <s v="No"/>
    <x v="1"/>
    <x v="2"/>
    <s v="No"/>
    <x v="0"/>
    <n v="48.47"/>
    <n v="522.09"/>
    <s v="Rawalpindi"/>
    <s v="No"/>
    <n v="0"/>
  </r>
  <r>
    <s v="CUST-00042"/>
    <n v="35"/>
    <s v="No"/>
    <s v="No"/>
    <s v="No"/>
    <x v="32"/>
    <s v="Yes"/>
    <s v="No"/>
    <x v="1"/>
    <x v="2"/>
    <s v="Yes"/>
    <x v="1"/>
    <n v="66.069999999999993"/>
    <n v="748.94"/>
    <s v="Karachi"/>
    <s v="No"/>
    <n v="0"/>
  </r>
  <r>
    <s v="CUST-00043"/>
    <n v="71"/>
    <s v="Yes"/>
    <s v="Yes"/>
    <s v="Yes"/>
    <x v="33"/>
    <s v="Yes"/>
    <s v="No"/>
    <x v="0"/>
    <x v="2"/>
    <s v="No"/>
    <x v="1"/>
    <n v="78.39"/>
    <n v="2461.36"/>
    <s v="Lahore"/>
    <s v="No"/>
    <n v="0"/>
  </r>
  <r>
    <s v="CUST-00044"/>
    <n v="67"/>
    <s v="Yes"/>
    <s v="Yes"/>
    <s v="No"/>
    <x v="26"/>
    <s v="No"/>
    <s v="No phone service"/>
    <x v="1"/>
    <x v="0"/>
    <s v="No"/>
    <x v="0"/>
    <n v="68.599999999999994"/>
    <n v="911.53"/>
    <s v="Multan"/>
    <s v="No"/>
    <n v="0"/>
  </r>
  <r>
    <s v="CUST-00045"/>
    <n v="33"/>
    <s v="No"/>
    <s v="Yes"/>
    <s v="No"/>
    <x v="34"/>
    <s v="Yes"/>
    <s v="Yes"/>
    <x v="1"/>
    <x v="2"/>
    <s v="No"/>
    <x v="3"/>
    <n v="65.900000000000006"/>
    <n v="992.74"/>
    <s v="Rawalpindi"/>
    <s v="No"/>
    <n v="0"/>
  </r>
  <r>
    <s v="CUST-00046"/>
    <n v="24"/>
    <s v="No"/>
    <s v="No"/>
    <s v="No"/>
    <x v="35"/>
    <s v="No"/>
    <s v="No phone service"/>
    <x v="1"/>
    <x v="2"/>
    <s v="No"/>
    <x v="1"/>
    <n v="76.78"/>
    <n v="4679.32"/>
    <s v="Peshawar"/>
    <s v="No"/>
    <n v="0"/>
  </r>
  <r>
    <s v="CUST-00047"/>
    <n v="64"/>
    <s v="Yes"/>
    <s v="No"/>
    <s v="No"/>
    <x v="36"/>
    <s v="Yes"/>
    <s v="Yes"/>
    <x v="2"/>
    <x v="2"/>
    <s v="No"/>
    <x v="0"/>
    <n v="26.02"/>
    <n v="816.29"/>
    <s v="Islamabad"/>
    <s v="No"/>
    <n v="0"/>
  </r>
  <r>
    <s v="CUST-00048"/>
    <n v="29"/>
    <s v="No"/>
    <s v="No"/>
    <s v="Yes"/>
    <x v="4"/>
    <s v="No"/>
    <s v="No phone service"/>
    <x v="1"/>
    <x v="2"/>
    <s v="No"/>
    <x v="0"/>
    <n v="60.67"/>
    <n v="2687.36"/>
    <s v="Rawalpindi"/>
    <s v="Yes"/>
    <n v="1"/>
  </r>
  <r>
    <s v="CUST-00049"/>
    <n v="49"/>
    <s v="No"/>
    <s v="Yes"/>
    <s v="No"/>
    <x v="31"/>
    <s v="Yes"/>
    <s v="Yes"/>
    <x v="0"/>
    <x v="2"/>
    <s v="Yes"/>
    <x v="3"/>
    <n v="99.08"/>
    <n v="6222.01"/>
    <s v="Rawalpindi"/>
    <s v="No"/>
    <n v="0"/>
  </r>
  <r>
    <s v="CUST-00050"/>
    <n v="65"/>
    <s v="Yes"/>
    <s v="No"/>
    <s v="No"/>
    <x v="35"/>
    <s v="No"/>
    <s v="No phone service"/>
    <x v="0"/>
    <x v="2"/>
    <s v="Yes"/>
    <x v="3"/>
    <n v="107.14"/>
    <n v="6663.27"/>
    <s v="Karachi"/>
    <s v="No"/>
    <n v="0"/>
  </r>
  <r>
    <s v="CUST-00051"/>
    <n v="31"/>
    <s v="No"/>
    <s v="No"/>
    <s v="No"/>
    <x v="19"/>
    <s v="Yes"/>
    <s v="No"/>
    <x v="1"/>
    <x v="2"/>
    <s v="No"/>
    <x v="3"/>
    <n v="40.57"/>
    <n v="2770.06"/>
    <s v="Lahore"/>
    <s v="Yes"/>
    <n v="1"/>
  </r>
  <r>
    <s v="CUST-00052"/>
    <n v="53"/>
    <s v="No"/>
    <s v="No"/>
    <s v="Yes"/>
    <x v="31"/>
    <s v="Yes"/>
    <s v="No"/>
    <x v="0"/>
    <x v="2"/>
    <s v="No"/>
    <x v="3"/>
    <n v="118.27"/>
    <n v="7229.7"/>
    <s v="Lahore"/>
    <s v="No"/>
    <n v="0"/>
  </r>
  <r>
    <s v="CUST-00053"/>
    <n v="70"/>
    <s v="Yes"/>
    <s v="Yes"/>
    <s v="No"/>
    <x v="31"/>
    <s v="Yes"/>
    <s v="Yes"/>
    <x v="0"/>
    <x v="1"/>
    <s v="No"/>
    <x v="3"/>
    <n v="82.41"/>
    <n v="5228.01"/>
    <s v="Faisalabad"/>
    <s v="No"/>
    <n v="0"/>
  </r>
  <r>
    <s v="CUST-00054"/>
    <n v="68"/>
    <s v="Yes"/>
    <s v="Yes"/>
    <s v="No"/>
    <x v="37"/>
    <s v="No"/>
    <s v="No phone service"/>
    <x v="2"/>
    <x v="1"/>
    <s v="No"/>
    <x v="3"/>
    <n v="25.45"/>
    <n v="1495.52"/>
    <s v="Peshawar"/>
    <s v="No"/>
    <n v="0"/>
  </r>
  <r>
    <s v="CUST-00055"/>
    <n v="31"/>
    <s v="No"/>
    <s v="Yes"/>
    <s v="No"/>
    <x v="32"/>
    <s v="Yes"/>
    <s v="No"/>
    <x v="0"/>
    <x v="2"/>
    <s v="No"/>
    <x v="0"/>
    <n v="99.69"/>
    <n v="1069.1199999999999"/>
    <s v="Multan"/>
    <s v="Yes"/>
    <n v="1"/>
  </r>
  <r>
    <s v="CUST-00056"/>
    <n v="36"/>
    <s v="No"/>
    <s v="No"/>
    <s v="Yes"/>
    <x v="38"/>
    <s v="Yes"/>
    <s v="No"/>
    <x v="2"/>
    <x v="2"/>
    <s v="Yes"/>
    <x v="2"/>
    <n v="27.92"/>
    <n v="794.52"/>
    <s v="Islamabad"/>
    <s v="Yes"/>
    <n v="1"/>
  </r>
  <r>
    <s v="CUST-00057"/>
    <n v="56"/>
    <s v="No"/>
    <s v="No"/>
    <s v="No"/>
    <x v="34"/>
    <s v="No"/>
    <s v="No phone service"/>
    <x v="1"/>
    <x v="0"/>
    <s v="No"/>
    <x v="0"/>
    <n v="59.75"/>
    <n v="907.87"/>
    <s v="Rawalpindi"/>
    <s v="Yes"/>
    <n v="1"/>
  </r>
  <r>
    <s v="CUST-00058"/>
    <n v="65"/>
    <s v="Yes"/>
    <s v="No"/>
    <s v="No"/>
    <x v="39"/>
    <s v="Yes"/>
    <s v="No"/>
    <x v="0"/>
    <x v="0"/>
    <s v="No"/>
    <x v="0"/>
    <n v="108.16"/>
    <n v="415.78"/>
    <s v="Rawalpindi"/>
    <s v="No"/>
    <n v="0"/>
  </r>
  <r>
    <s v="CUST-00059"/>
    <n v="35"/>
    <s v="No"/>
    <s v="Yes"/>
    <s v="No"/>
    <x v="31"/>
    <s v="No"/>
    <s v="No phone service"/>
    <x v="2"/>
    <x v="2"/>
    <s v="No"/>
    <x v="3"/>
    <n v="19.260000000000002"/>
    <n v="1163.99"/>
    <s v="Rawalpindi"/>
    <s v="No"/>
    <n v="0"/>
  </r>
  <r>
    <s v="CUST-00060"/>
    <n v="36"/>
    <s v="No"/>
    <s v="No"/>
    <s v="Yes"/>
    <x v="35"/>
    <s v="No"/>
    <s v="No phone service"/>
    <x v="0"/>
    <x v="2"/>
    <s v="No"/>
    <x v="2"/>
    <n v="111.25"/>
    <n v="6170.83"/>
    <s v="Rawalpindi"/>
    <s v="No"/>
    <n v="0"/>
  </r>
  <r>
    <s v="CUST-00061"/>
    <n v="44"/>
    <s v="No"/>
    <s v="Yes"/>
    <s v="Yes"/>
    <x v="40"/>
    <s v="No"/>
    <s v="No phone service"/>
    <x v="0"/>
    <x v="0"/>
    <s v="Yes"/>
    <x v="3"/>
    <n v="97.46"/>
    <n v="6864.94"/>
    <s v="Multan"/>
    <s v="No"/>
    <n v="0"/>
  </r>
  <r>
    <s v="CUST-00062"/>
    <n v="49"/>
    <s v="No"/>
    <s v="Yes"/>
    <s v="Yes"/>
    <x v="33"/>
    <s v="No"/>
    <s v="No phone service"/>
    <x v="1"/>
    <x v="0"/>
    <s v="No"/>
    <x v="3"/>
    <n v="79.69"/>
    <n v="2592.8000000000002"/>
    <s v="Lahore"/>
    <s v="No"/>
    <n v="0"/>
  </r>
  <r>
    <s v="CUST-00063"/>
    <n v="59"/>
    <s v="No"/>
    <s v="Yes"/>
    <s v="No"/>
    <x v="41"/>
    <s v="No"/>
    <s v="No phone service"/>
    <x v="1"/>
    <x v="2"/>
    <s v="No"/>
    <x v="2"/>
    <n v="49.75"/>
    <n v="1902.13"/>
    <s v="Faisalabad"/>
    <s v="No"/>
    <n v="0"/>
  </r>
  <r>
    <s v="CUST-00064"/>
    <n v="50"/>
    <s v="No"/>
    <s v="Yes"/>
    <s v="Yes"/>
    <x v="0"/>
    <s v="No"/>
    <s v="No phone service"/>
    <x v="1"/>
    <x v="2"/>
    <s v="No"/>
    <x v="1"/>
    <n v="51.31"/>
    <n v="1802.51"/>
    <s v="Multan"/>
    <s v="No"/>
    <n v="0"/>
  </r>
  <r>
    <s v="CUST-00065"/>
    <n v="49"/>
    <s v="No"/>
    <s v="Yes"/>
    <s v="No"/>
    <x v="8"/>
    <s v="No"/>
    <s v="No phone service"/>
    <x v="1"/>
    <x v="0"/>
    <s v="No"/>
    <x v="0"/>
    <n v="52.87"/>
    <n v="3511.73"/>
    <s v="Faisalabad"/>
    <s v="No"/>
    <n v="0"/>
  </r>
  <r>
    <s v="CUST-00066"/>
    <n v="42"/>
    <s v="No"/>
    <s v="Yes"/>
    <s v="No"/>
    <x v="42"/>
    <s v="No"/>
    <s v="No phone service"/>
    <x v="0"/>
    <x v="0"/>
    <s v="No"/>
    <x v="0"/>
    <n v="103.18"/>
    <n v="642.91"/>
    <s v="Rawalpindi"/>
    <s v="No"/>
    <n v="0"/>
  </r>
  <r>
    <s v="CUST-00067"/>
    <n v="20"/>
    <s v="No"/>
    <s v="Yes"/>
    <s v="No"/>
    <x v="43"/>
    <s v="No"/>
    <s v="No phone service"/>
    <x v="2"/>
    <x v="2"/>
    <s v="No"/>
    <x v="3"/>
    <n v="19.73"/>
    <n v="267.91000000000003"/>
    <s v="Lahore"/>
    <s v="No"/>
    <n v="0"/>
  </r>
  <r>
    <s v="CUST-00068"/>
    <n v="48"/>
    <s v="No"/>
    <s v="No"/>
    <s v="No"/>
    <x v="44"/>
    <s v="No"/>
    <s v="No phone service"/>
    <x v="1"/>
    <x v="1"/>
    <s v="No"/>
    <x v="2"/>
    <n v="65.069999999999993"/>
    <n v="3472.86"/>
    <s v="Faisalabad"/>
    <s v="No"/>
    <n v="0"/>
  </r>
  <r>
    <s v="CUST-00069"/>
    <n v="20"/>
    <s v="No"/>
    <s v="Yes"/>
    <s v="Yes"/>
    <x v="28"/>
    <s v="Yes"/>
    <s v="No"/>
    <x v="2"/>
    <x v="2"/>
    <s v="Yes"/>
    <x v="0"/>
    <n v="26.33"/>
    <n v="1021.37"/>
    <s v="Peshawar"/>
    <s v="Yes"/>
    <n v="1"/>
  </r>
  <r>
    <s v="CUST-00070"/>
    <n v="21"/>
    <s v="No"/>
    <s v="No"/>
    <s v="No"/>
    <x v="22"/>
    <s v="Yes"/>
    <s v="No"/>
    <x v="0"/>
    <x v="0"/>
    <s v="Yes"/>
    <x v="3"/>
    <n v="73.95"/>
    <n v="3707.56"/>
    <s v="Karachi"/>
    <s v="No"/>
    <n v="0"/>
  </r>
  <r>
    <s v="CUST-00071"/>
    <n v="49"/>
    <s v="No"/>
    <s v="Yes"/>
    <s v="Yes"/>
    <x v="45"/>
    <s v="No"/>
    <s v="No phone service"/>
    <x v="1"/>
    <x v="2"/>
    <s v="Yes"/>
    <x v="2"/>
    <n v="58.61"/>
    <n v="3426.98"/>
    <s v="Lahore"/>
    <s v="No"/>
    <n v="0"/>
  </r>
  <r>
    <s v="CUST-00072"/>
    <n v="46"/>
    <s v="No"/>
    <s v="No"/>
    <s v="No"/>
    <x v="46"/>
    <s v="No"/>
    <s v="No phone service"/>
    <x v="1"/>
    <x v="1"/>
    <s v="Yes"/>
    <x v="2"/>
    <n v="74.13"/>
    <n v="3884.7"/>
    <s v="Islamabad"/>
    <s v="No"/>
    <n v="0"/>
  </r>
  <r>
    <s v="CUST-00073"/>
    <n v="54"/>
    <s v="No"/>
    <s v="No"/>
    <s v="No"/>
    <x v="47"/>
    <s v="No"/>
    <s v="No phone service"/>
    <x v="2"/>
    <x v="2"/>
    <s v="Yes"/>
    <x v="2"/>
    <n v="26.94"/>
    <n v="84.05"/>
    <s v="Peshawar"/>
    <s v="No"/>
    <n v="0"/>
  </r>
  <r>
    <s v="CUST-00074"/>
    <n v="69"/>
    <s v="Yes"/>
    <s v="Yes"/>
    <s v="No"/>
    <x v="1"/>
    <s v="No"/>
    <s v="No phone service"/>
    <x v="1"/>
    <x v="0"/>
    <s v="Yes"/>
    <x v="1"/>
    <n v="76.14"/>
    <n v="2246.84"/>
    <s v="Rawalpindi"/>
    <s v="No"/>
    <n v="0"/>
  </r>
  <r>
    <s v="CUST-00075"/>
    <n v="20"/>
    <s v="No"/>
    <s v="No"/>
    <s v="Yes"/>
    <x v="2"/>
    <s v="No"/>
    <s v="No phone service"/>
    <x v="2"/>
    <x v="0"/>
    <s v="Yes"/>
    <x v="3"/>
    <n v="27.44"/>
    <n v="344.16"/>
    <s v="Faisalabad"/>
    <s v="No"/>
    <n v="0"/>
  </r>
  <r>
    <s v="CUST-00076"/>
    <n v="35"/>
    <s v="No"/>
    <s v="Yes"/>
    <s v="No"/>
    <x v="48"/>
    <s v="No"/>
    <s v="No phone service"/>
    <x v="2"/>
    <x v="0"/>
    <s v="No"/>
    <x v="1"/>
    <n v="23.62"/>
    <n v="1389.81"/>
    <s v="Karachi"/>
    <s v="No"/>
    <n v="0"/>
  </r>
  <r>
    <s v="CUST-00077"/>
    <n v="73"/>
    <s v="Yes"/>
    <s v="No"/>
    <s v="No"/>
    <x v="2"/>
    <s v="Yes"/>
    <s v="Yes"/>
    <x v="1"/>
    <x v="2"/>
    <s v="No"/>
    <x v="1"/>
    <n v="66.89"/>
    <n v="810.82"/>
    <s v="Islamabad"/>
    <s v="No"/>
    <n v="0"/>
  </r>
  <r>
    <s v="CUST-00078"/>
    <n v="24"/>
    <s v="No"/>
    <s v="Yes"/>
    <s v="No"/>
    <x v="39"/>
    <s v="No"/>
    <s v="No phone service"/>
    <x v="1"/>
    <x v="1"/>
    <s v="Yes"/>
    <x v="1"/>
    <n v="65.42"/>
    <n v="260.56"/>
    <s v="Multan"/>
    <s v="No"/>
    <n v="0"/>
  </r>
  <r>
    <s v="CUST-00079"/>
    <n v="44"/>
    <s v="No"/>
    <s v="Yes"/>
    <s v="Yes"/>
    <x v="42"/>
    <s v="No"/>
    <s v="No phone service"/>
    <x v="2"/>
    <x v="1"/>
    <s v="Yes"/>
    <x v="3"/>
    <n v="28.65"/>
    <n v="164.38"/>
    <s v="Multan"/>
    <s v="No"/>
    <n v="0"/>
  </r>
  <r>
    <s v="CUST-00080"/>
    <n v="65"/>
    <s v="Yes"/>
    <s v="No"/>
    <s v="Yes"/>
    <x v="17"/>
    <s v="No"/>
    <s v="No phone service"/>
    <x v="1"/>
    <x v="0"/>
    <s v="No"/>
    <x v="3"/>
    <n v="54.82"/>
    <n v="2940.17"/>
    <s v="Peshawar"/>
    <s v="No"/>
    <n v="0"/>
  </r>
  <r>
    <s v="CUST-00081"/>
    <n v="41"/>
    <s v="No"/>
    <s v="Yes"/>
    <s v="No"/>
    <x v="14"/>
    <s v="No"/>
    <s v="No phone service"/>
    <x v="2"/>
    <x v="2"/>
    <s v="No"/>
    <x v="3"/>
    <n v="19.47"/>
    <n v="1419.82"/>
    <s v="Multan"/>
    <s v="No"/>
    <n v="0"/>
  </r>
  <r>
    <s v="CUST-00082"/>
    <n v="31"/>
    <s v="No"/>
    <s v="Yes"/>
    <s v="Yes"/>
    <x v="21"/>
    <s v="Yes"/>
    <s v="No"/>
    <x v="0"/>
    <x v="2"/>
    <s v="Yes"/>
    <x v="0"/>
    <n v="110.65"/>
    <n v="4605.5"/>
    <s v="Peshawar"/>
    <s v="No"/>
    <n v="0"/>
  </r>
  <r>
    <s v="CUST-00083"/>
    <n v="75"/>
    <s v="Yes"/>
    <s v="Yes"/>
    <s v="No"/>
    <x v="6"/>
    <s v="No"/>
    <s v="No phone service"/>
    <x v="2"/>
    <x v="0"/>
    <s v="Yes"/>
    <x v="1"/>
    <n v="18.309999999999999"/>
    <n v="327.64"/>
    <s v="Karachi"/>
    <s v="No"/>
    <n v="0"/>
  </r>
  <r>
    <s v="CUST-00084"/>
    <n v="55"/>
    <s v="No"/>
    <s v="No"/>
    <s v="Yes"/>
    <x v="23"/>
    <s v="Yes"/>
    <s v="No"/>
    <x v="0"/>
    <x v="2"/>
    <s v="Yes"/>
    <x v="0"/>
    <n v="108.9"/>
    <n v="2508.6799999999998"/>
    <s v="Faisalabad"/>
    <s v="Yes"/>
    <n v="1"/>
  </r>
  <r>
    <s v="CUST-00085"/>
    <n v="32"/>
    <s v="No"/>
    <s v="Yes"/>
    <s v="No"/>
    <x v="35"/>
    <s v="Yes"/>
    <s v="Yes"/>
    <x v="1"/>
    <x v="2"/>
    <s v="No"/>
    <x v="0"/>
    <n v="44.32"/>
    <n v="2681.53"/>
    <s v="Lahore"/>
    <s v="No"/>
    <n v="0"/>
  </r>
  <r>
    <s v="CUST-00086"/>
    <n v="38"/>
    <s v="No"/>
    <s v="Yes"/>
    <s v="Yes"/>
    <x v="49"/>
    <s v="No"/>
    <s v="No phone service"/>
    <x v="0"/>
    <x v="2"/>
    <s v="No"/>
    <x v="0"/>
    <n v="100.27"/>
    <n v="1622.6"/>
    <s v="Peshawar"/>
    <s v="No"/>
    <n v="0"/>
  </r>
  <r>
    <s v="CUST-00087"/>
    <n v="59"/>
    <s v="No"/>
    <s v="Yes"/>
    <s v="No"/>
    <x v="37"/>
    <s v="No"/>
    <s v="No phone service"/>
    <x v="2"/>
    <x v="2"/>
    <s v="No"/>
    <x v="0"/>
    <n v="26.76"/>
    <n v="1517.17"/>
    <s v="Islamabad"/>
    <s v="No"/>
    <n v="0"/>
  </r>
  <r>
    <s v="CUST-00088"/>
    <n v="41"/>
    <s v="No"/>
    <s v="Yes"/>
    <s v="No"/>
    <x v="25"/>
    <s v="Yes"/>
    <s v="Yes"/>
    <x v="0"/>
    <x v="2"/>
    <s v="No"/>
    <x v="1"/>
    <n v="97.82"/>
    <n v="889.51"/>
    <s v="Islamabad"/>
    <s v="No"/>
    <n v="0"/>
  </r>
  <r>
    <s v="CUST-00089"/>
    <n v="60"/>
    <s v="Yes"/>
    <s v="Yes"/>
    <s v="No"/>
    <x v="4"/>
    <s v="No"/>
    <s v="No phone service"/>
    <x v="2"/>
    <x v="1"/>
    <s v="Yes"/>
    <x v="2"/>
    <n v="25.2"/>
    <n v="1138.56"/>
    <s v="Karachi"/>
    <s v="No"/>
    <n v="0"/>
  </r>
  <r>
    <s v="CUST-00090"/>
    <n v="27"/>
    <s v="No"/>
    <s v="No"/>
    <s v="Yes"/>
    <x v="26"/>
    <s v="No"/>
    <s v="No phone service"/>
    <x v="0"/>
    <x v="2"/>
    <s v="No"/>
    <x v="0"/>
    <n v="110.36"/>
    <n v="1609.03"/>
    <s v="Peshawar"/>
    <s v="No"/>
    <n v="0"/>
  </r>
  <r>
    <s v="CUST-00091"/>
    <n v="57"/>
    <s v="No"/>
    <s v="Yes"/>
    <s v="No"/>
    <x v="39"/>
    <s v="No"/>
    <s v="No phone service"/>
    <x v="0"/>
    <x v="1"/>
    <s v="No"/>
    <x v="3"/>
    <n v="113.49"/>
    <n v="457.57"/>
    <s v="Karachi"/>
    <s v="Yes"/>
    <n v="1"/>
  </r>
  <r>
    <s v="CUST-00092"/>
    <n v="65"/>
    <s v="Yes"/>
    <s v="Yes"/>
    <s v="Yes"/>
    <x v="19"/>
    <s v="No"/>
    <s v="No phone service"/>
    <x v="0"/>
    <x v="2"/>
    <s v="Yes"/>
    <x v="0"/>
    <n v="106.08"/>
    <n v="7453.07"/>
    <s v="Lahore"/>
    <s v="No"/>
    <n v="0"/>
  </r>
  <r>
    <s v="CUST-00093"/>
    <n v="74"/>
    <s v="Yes"/>
    <s v="Yes"/>
    <s v="Yes"/>
    <x v="50"/>
    <s v="Yes"/>
    <s v="No"/>
    <x v="1"/>
    <x v="2"/>
    <s v="No"/>
    <x v="0"/>
    <n v="57.68"/>
    <n v="1178.31"/>
    <s v="Lahore"/>
    <s v="No"/>
    <n v="0"/>
  </r>
  <r>
    <s v="CUST-00094"/>
    <n v="40"/>
    <s v="No"/>
    <s v="No"/>
    <s v="Yes"/>
    <x v="28"/>
    <s v="No"/>
    <s v="No phone service"/>
    <x v="1"/>
    <x v="2"/>
    <s v="No"/>
    <x v="3"/>
    <n v="55.81"/>
    <n v="2089.58"/>
    <s v="Islamabad"/>
    <s v="Yes"/>
    <n v="1"/>
  </r>
  <r>
    <s v="CUST-00095"/>
    <n v="31"/>
    <s v="No"/>
    <s v="Yes"/>
    <s v="No"/>
    <x v="41"/>
    <s v="Yes"/>
    <s v="No"/>
    <x v="0"/>
    <x v="2"/>
    <s v="Yes"/>
    <x v="0"/>
    <n v="105.18"/>
    <n v="3996.97"/>
    <s v="Peshawar"/>
    <s v="No"/>
    <n v="0"/>
  </r>
  <r>
    <s v="CUST-00096"/>
    <n v="40"/>
    <s v="No"/>
    <s v="Yes"/>
    <s v="No"/>
    <x v="42"/>
    <s v="No"/>
    <s v="No phone service"/>
    <x v="0"/>
    <x v="1"/>
    <s v="No"/>
    <x v="0"/>
    <n v="98.67"/>
    <n v="606.9"/>
    <s v="Lahore"/>
    <s v="Yes"/>
    <n v="1"/>
  </r>
  <r>
    <s v="CUST-00097"/>
    <n v="43"/>
    <s v="No"/>
    <s v="Yes"/>
    <s v="No"/>
    <x v="51"/>
    <s v="No"/>
    <s v="No phone service"/>
    <x v="2"/>
    <x v="1"/>
    <s v="No"/>
    <x v="3"/>
    <n v="28.13"/>
    <n v="599.79999999999995"/>
    <s v="Faisalabad"/>
    <s v="No"/>
    <n v="0"/>
  </r>
  <r>
    <s v="CUST-00098"/>
    <n v="23"/>
    <s v="No"/>
    <s v="No"/>
    <s v="No"/>
    <x v="13"/>
    <s v="Yes"/>
    <s v="Yes"/>
    <x v="0"/>
    <x v="0"/>
    <s v="Yes"/>
    <x v="2"/>
    <n v="87.47"/>
    <n v="3953.69"/>
    <s v="Peshawar"/>
    <s v="No"/>
    <n v="0"/>
  </r>
  <r>
    <s v="CUST-00099"/>
    <n v="27"/>
    <s v="No"/>
    <s v="Yes"/>
    <s v="Yes"/>
    <x v="6"/>
    <s v="Yes"/>
    <s v="No"/>
    <x v="0"/>
    <x v="0"/>
    <s v="Yes"/>
    <x v="3"/>
    <n v="108.64"/>
    <n v="2062.6999999999998"/>
    <s v="Peshawar"/>
    <s v="No"/>
    <n v="0"/>
  </r>
  <r>
    <s v="CUST-00100"/>
    <n v="55"/>
    <s v="No"/>
    <s v="No"/>
    <s v="No"/>
    <x v="52"/>
    <s v="Yes"/>
    <s v="No"/>
    <x v="0"/>
    <x v="0"/>
    <s v="No"/>
    <x v="0"/>
    <n v="87.6"/>
    <n v="3408.08"/>
    <s v="Lahore"/>
    <s v="No"/>
    <n v="0"/>
  </r>
  <r>
    <s v="CUST-00101"/>
    <n v="21"/>
    <s v="No"/>
    <s v="No"/>
    <s v="No"/>
    <x v="18"/>
    <s v="Yes"/>
    <s v="No"/>
    <x v="1"/>
    <x v="2"/>
    <s v="No"/>
    <x v="0"/>
    <n v="78.17"/>
    <n v="804.11"/>
    <s v="Peshawar"/>
    <s v="Yes"/>
    <n v="1"/>
  </r>
  <r>
    <s v="CUST-00102"/>
    <n v="54"/>
    <s v="No"/>
    <s v="Yes"/>
    <s v="No"/>
    <x v="12"/>
    <s v="Yes"/>
    <s v="No"/>
    <x v="1"/>
    <x v="1"/>
    <s v="No"/>
    <x v="2"/>
    <n v="43.37"/>
    <n v="2691.96"/>
    <s v="Multan"/>
    <s v="Yes"/>
    <n v="1"/>
  </r>
  <r>
    <s v="CUST-00103"/>
    <n v="46"/>
    <s v="No"/>
    <s v="No"/>
    <s v="Yes"/>
    <x v="53"/>
    <s v="No"/>
    <s v="No phone service"/>
    <x v="0"/>
    <x v="2"/>
    <s v="No"/>
    <x v="1"/>
    <n v="72.62"/>
    <n v="3466.75"/>
    <s v="Islamabad"/>
    <s v="Yes"/>
    <n v="1"/>
  </r>
  <r>
    <s v="CUST-00104"/>
    <n v="24"/>
    <s v="No"/>
    <s v="No"/>
    <s v="No"/>
    <x v="54"/>
    <s v="Yes"/>
    <s v="Yes"/>
    <x v="1"/>
    <x v="0"/>
    <s v="Yes"/>
    <x v="2"/>
    <n v="52.41"/>
    <n v="1761.92"/>
    <s v="Karachi"/>
    <s v="No"/>
    <n v="0"/>
  </r>
  <r>
    <s v="CUST-00105"/>
    <n v="56"/>
    <s v="No"/>
    <s v="Yes"/>
    <s v="No"/>
    <x v="55"/>
    <s v="No"/>
    <s v="No phone service"/>
    <x v="0"/>
    <x v="1"/>
    <s v="Yes"/>
    <x v="1"/>
    <n v="91.17"/>
    <n v="6455.4"/>
    <s v="Karachi"/>
    <s v="No"/>
    <n v="0"/>
  </r>
  <r>
    <s v="CUST-00106"/>
    <n v="31"/>
    <s v="No"/>
    <s v="No"/>
    <s v="No"/>
    <x v="3"/>
    <s v="Yes"/>
    <s v="Yes"/>
    <x v="0"/>
    <x v="2"/>
    <s v="Yes"/>
    <x v="0"/>
    <n v="96.99"/>
    <n v="2494.19"/>
    <s v="Multan"/>
    <s v="No"/>
    <n v="0"/>
  </r>
  <r>
    <s v="CUST-00107"/>
    <n v="39"/>
    <s v="No"/>
    <s v="Yes"/>
    <s v="No"/>
    <x v="56"/>
    <s v="Yes"/>
    <s v="No"/>
    <x v="0"/>
    <x v="2"/>
    <s v="No"/>
    <x v="1"/>
    <n v="81.88"/>
    <n v="1626.63"/>
    <s v="Multan"/>
    <s v="Yes"/>
    <n v="1"/>
  </r>
  <r>
    <s v="CUST-00108"/>
    <n v="68"/>
    <s v="Yes"/>
    <s v="No"/>
    <s v="Yes"/>
    <x v="8"/>
    <s v="No"/>
    <s v="No phone service"/>
    <x v="0"/>
    <x v="1"/>
    <s v="Yes"/>
    <x v="0"/>
    <n v="117.36"/>
    <n v="8568.59"/>
    <s v="Islamabad"/>
    <s v="No"/>
    <n v="0"/>
  </r>
  <r>
    <s v="CUST-00109"/>
    <n v="67"/>
    <s v="Yes"/>
    <s v="No"/>
    <s v="No"/>
    <x v="50"/>
    <s v="Yes"/>
    <s v="No"/>
    <x v="2"/>
    <x v="2"/>
    <s v="No"/>
    <x v="2"/>
    <n v="24.65"/>
    <n v="492.96"/>
    <s v="Peshawar"/>
    <s v="No"/>
    <n v="0"/>
  </r>
  <r>
    <s v="CUST-00110"/>
    <n v="25"/>
    <s v="No"/>
    <s v="No"/>
    <s v="Yes"/>
    <x v="50"/>
    <s v="Yes"/>
    <s v="No"/>
    <x v="0"/>
    <x v="2"/>
    <s v="Yes"/>
    <x v="1"/>
    <n v="114.23"/>
    <n v="2522.75"/>
    <s v="Rawalpindi"/>
    <s v="No"/>
    <n v="0"/>
  </r>
  <r>
    <s v="CUST-00111"/>
    <n v="50"/>
    <s v="No"/>
    <s v="No"/>
    <s v="Yes"/>
    <x v="57"/>
    <s v="No"/>
    <s v="No phone service"/>
    <x v="2"/>
    <x v="2"/>
    <s v="No"/>
    <x v="2"/>
    <n v="28.07"/>
    <n v="1428.76"/>
    <s v="Karachi"/>
    <s v="No"/>
    <n v="0"/>
  </r>
  <r>
    <s v="CUST-00112"/>
    <n v="20"/>
    <s v="No"/>
    <s v="No"/>
    <s v="No"/>
    <x v="58"/>
    <s v="No"/>
    <s v="No phone service"/>
    <x v="1"/>
    <x v="2"/>
    <s v="Yes"/>
    <x v="2"/>
    <n v="40.76"/>
    <n v="708.65"/>
    <s v="Multan"/>
    <s v="Yes"/>
    <n v="1"/>
  </r>
  <r>
    <s v="CUST-00113"/>
    <n v="56"/>
    <s v="No"/>
    <s v="No"/>
    <s v="Yes"/>
    <x v="28"/>
    <s v="Yes"/>
    <s v="Yes"/>
    <x v="0"/>
    <x v="2"/>
    <s v="No"/>
    <x v="3"/>
    <n v="111.83"/>
    <n v="4137.63"/>
    <s v="Multan"/>
    <s v="No"/>
    <n v="0"/>
  </r>
  <r>
    <s v="CUST-00114"/>
    <n v="50"/>
    <s v="No"/>
    <s v="Yes"/>
    <s v="Yes"/>
    <x v="41"/>
    <s v="No"/>
    <s v="No phone service"/>
    <x v="0"/>
    <x v="2"/>
    <s v="No"/>
    <x v="3"/>
    <n v="103.41"/>
    <n v="3940.65"/>
    <s v="Faisalabad"/>
    <s v="Yes"/>
    <n v="1"/>
  </r>
  <r>
    <s v="CUST-00115"/>
    <n v="52"/>
    <s v="No"/>
    <s v="Yes"/>
    <s v="No"/>
    <x v="12"/>
    <s v="No"/>
    <s v="No phone service"/>
    <x v="0"/>
    <x v="1"/>
    <s v="No"/>
    <x v="1"/>
    <n v="87.85"/>
    <n v="5080.76"/>
    <s v="Multan"/>
    <s v="No"/>
    <n v="0"/>
  </r>
  <r>
    <s v="CUST-00116"/>
    <n v="58"/>
    <s v="No"/>
    <s v="Yes"/>
    <s v="No"/>
    <x v="58"/>
    <s v="No"/>
    <s v="No phone service"/>
    <x v="0"/>
    <x v="1"/>
    <s v="Yes"/>
    <x v="1"/>
    <n v="104.23"/>
    <n v="1984.39"/>
    <s v="Karachi"/>
    <s v="No"/>
    <n v="0"/>
  </r>
  <r>
    <s v="CUST-00117"/>
    <n v="69"/>
    <s v="Yes"/>
    <s v="Yes"/>
    <s v="Yes"/>
    <x v="35"/>
    <s v="Yes"/>
    <s v="Yes"/>
    <x v="0"/>
    <x v="2"/>
    <s v="Yes"/>
    <x v="3"/>
    <n v="85.5"/>
    <n v="4982.8900000000003"/>
    <s v="Rawalpindi"/>
    <s v="No"/>
    <n v="0"/>
  </r>
  <r>
    <s v="CUST-00118"/>
    <n v="34"/>
    <s v="No"/>
    <s v="Yes"/>
    <s v="Yes"/>
    <x v="28"/>
    <s v="Yes"/>
    <s v="No"/>
    <x v="0"/>
    <x v="2"/>
    <s v="Yes"/>
    <x v="1"/>
    <n v="91.85"/>
    <n v="3357.68"/>
    <s v="Rawalpindi"/>
    <s v="No"/>
    <n v="0"/>
  </r>
  <r>
    <s v="CUST-00119"/>
    <n v="39"/>
    <s v="No"/>
    <s v="Yes"/>
    <s v="No"/>
    <x v="59"/>
    <s v="No"/>
    <s v="No phone service"/>
    <x v="0"/>
    <x v="1"/>
    <s v="No"/>
    <x v="3"/>
    <n v="100.12"/>
    <n v="6655.54"/>
    <s v="Islamabad"/>
    <s v="No"/>
    <n v="0"/>
  </r>
  <r>
    <s v="CUST-00120"/>
    <n v="24"/>
    <s v="No"/>
    <s v="Yes"/>
    <s v="No"/>
    <x v="41"/>
    <s v="No"/>
    <s v="No phone service"/>
    <x v="0"/>
    <x v="2"/>
    <s v="No"/>
    <x v="0"/>
    <n v="72.12"/>
    <n v="2862.25"/>
    <s v="Rawalpindi"/>
    <s v="Yes"/>
    <n v="1"/>
  </r>
  <r>
    <s v="CUST-00121"/>
    <n v="35"/>
    <s v="No"/>
    <s v="Yes"/>
    <s v="Yes"/>
    <x v="27"/>
    <s v="Yes"/>
    <s v="No"/>
    <x v="0"/>
    <x v="2"/>
    <s v="No"/>
    <x v="3"/>
    <n v="73.36"/>
    <n v="3942.21"/>
    <s v="Rawalpindi"/>
    <s v="Yes"/>
    <n v="1"/>
  </r>
  <r>
    <s v="CUST-00122"/>
    <n v="54"/>
    <s v="No"/>
    <s v="Yes"/>
    <s v="Yes"/>
    <x v="37"/>
    <s v="No"/>
    <s v="No phone service"/>
    <x v="2"/>
    <x v="2"/>
    <s v="Yes"/>
    <x v="0"/>
    <n v="24.35"/>
    <n v="1395.02"/>
    <s v="Karachi"/>
    <s v="No"/>
    <n v="0"/>
  </r>
  <r>
    <s v="CUST-00123"/>
    <n v="25"/>
    <s v="No"/>
    <s v="Yes"/>
    <s v="Yes"/>
    <x v="59"/>
    <s v="Yes"/>
    <s v="Yes"/>
    <x v="1"/>
    <x v="2"/>
    <s v="No"/>
    <x v="3"/>
    <n v="64.48"/>
    <n v="4222.78"/>
    <s v="Karachi"/>
    <s v="No"/>
    <n v="0"/>
  </r>
  <r>
    <s v="CUST-00124"/>
    <n v="25"/>
    <s v="No"/>
    <s v="Yes"/>
    <s v="Yes"/>
    <x v="37"/>
    <s v="No"/>
    <s v="No phone service"/>
    <x v="0"/>
    <x v="1"/>
    <s v="No"/>
    <x v="1"/>
    <n v="105.48"/>
    <n v="6154.54"/>
    <s v="Islamabad"/>
    <s v="No"/>
    <n v="0"/>
  </r>
  <r>
    <s v="CUST-00125"/>
    <n v="72"/>
    <s v="Yes"/>
    <s v="Yes"/>
    <s v="Yes"/>
    <x v="53"/>
    <s v="Yes"/>
    <s v="No"/>
    <x v="1"/>
    <x v="0"/>
    <s v="Yes"/>
    <x v="1"/>
    <n v="41.05"/>
    <n v="1941.86"/>
    <s v="Peshawar"/>
    <s v="No"/>
    <n v="0"/>
  </r>
  <r>
    <s v="CUST-00126"/>
    <n v="53"/>
    <s v="No"/>
    <s v="Yes"/>
    <s v="Yes"/>
    <x v="25"/>
    <s v="No"/>
    <s v="No phone service"/>
    <x v="0"/>
    <x v="2"/>
    <s v="No"/>
    <x v="1"/>
    <n v="73.69"/>
    <n v="700.8"/>
    <s v="Rawalpindi"/>
    <s v="No"/>
    <n v="0"/>
  </r>
  <r>
    <s v="CUST-00127"/>
    <n v="47"/>
    <s v="No"/>
    <s v="No"/>
    <s v="Yes"/>
    <x v="60"/>
    <s v="Yes"/>
    <s v="No"/>
    <x v="1"/>
    <x v="2"/>
    <s v="Yes"/>
    <x v="1"/>
    <n v="60.72"/>
    <n v="4209.79"/>
    <s v="Multan"/>
    <s v="Yes"/>
    <n v="1"/>
  </r>
  <r>
    <s v="CUST-00128"/>
    <n v="32"/>
    <s v="No"/>
    <s v="No"/>
    <s v="No"/>
    <x v="32"/>
    <s v="No"/>
    <s v="No phone service"/>
    <x v="0"/>
    <x v="2"/>
    <s v="No"/>
    <x v="1"/>
    <n v="74.67"/>
    <n v="835.27"/>
    <s v="Faisalabad"/>
    <s v="No"/>
    <n v="0"/>
  </r>
  <r>
    <s v="CUST-00129"/>
    <n v="27"/>
    <s v="No"/>
    <s v="Yes"/>
    <s v="No"/>
    <x v="42"/>
    <s v="Yes"/>
    <s v="Yes"/>
    <x v="2"/>
    <x v="1"/>
    <s v="No"/>
    <x v="1"/>
    <n v="27.2"/>
    <n v="161.57"/>
    <s v="Rawalpindi"/>
    <s v="No"/>
    <n v="0"/>
  </r>
  <r>
    <s v="CUST-00130"/>
    <n v="74"/>
    <s v="Yes"/>
    <s v="No"/>
    <s v="No"/>
    <x v="48"/>
    <s v="No"/>
    <s v="No phone service"/>
    <x v="0"/>
    <x v="2"/>
    <s v="Yes"/>
    <x v="1"/>
    <n v="77.900000000000006"/>
    <n v="4780.8999999999996"/>
    <s v="Islamabad"/>
    <s v="No"/>
    <n v="0"/>
  </r>
  <r>
    <s v="CUST-00131"/>
    <n v="56"/>
    <s v="No"/>
    <s v="Yes"/>
    <s v="No"/>
    <x v="52"/>
    <s v="No"/>
    <s v="No phone service"/>
    <x v="1"/>
    <x v="1"/>
    <s v="Yes"/>
    <x v="1"/>
    <n v="60.6"/>
    <n v="2367.1799999999998"/>
    <s v="Lahore"/>
    <s v="No"/>
    <n v="0"/>
  </r>
  <r>
    <s v="CUST-00132"/>
    <n v="35"/>
    <s v="No"/>
    <s v="No"/>
    <s v="Yes"/>
    <x v="6"/>
    <s v="No"/>
    <s v="No phone service"/>
    <x v="0"/>
    <x v="1"/>
    <s v="No"/>
    <x v="3"/>
    <n v="113.27"/>
    <n v="2064.25"/>
    <s v="Faisalabad"/>
    <s v="No"/>
    <n v="0"/>
  </r>
  <r>
    <s v="CUST-00133"/>
    <n v="64"/>
    <s v="Yes"/>
    <s v="No"/>
    <s v="Yes"/>
    <x v="50"/>
    <s v="No"/>
    <s v="No phone service"/>
    <x v="1"/>
    <x v="2"/>
    <s v="No"/>
    <x v="0"/>
    <n v="43.6"/>
    <n v="903.87"/>
    <s v="Karachi"/>
    <s v="No"/>
    <n v="0"/>
  </r>
  <r>
    <s v="CUST-00134"/>
    <n v="31"/>
    <s v="No"/>
    <s v="No"/>
    <s v="Yes"/>
    <x v="16"/>
    <s v="No"/>
    <s v="No phone service"/>
    <x v="0"/>
    <x v="2"/>
    <s v="Yes"/>
    <x v="1"/>
    <n v="91.55"/>
    <n v="670.26"/>
    <s v="Peshawar"/>
    <s v="No"/>
    <n v="0"/>
  </r>
  <r>
    <s v="CUST-00135"/>
    <n v="43"/>
    <s v="No"/>
    <s v="No"/>
    <s v="Yes"/>
    <x v="27"/>
    <s v="Yes"/>
    <s v="No"/>
    <x v="0"/>
    <x v="2"/>
    <s v="No"/>
    <x v="0"/>
    <n v="108.22"/>
    <n v="5478.69"/>
    <s v="Multan"/>
    <s v="No"/>
    <n v="0"/>
  </r>
  <r>
    <s v="CUST-00136"/>
    <n v="57"/>
    <s v="No"/>
    <s v="Yes"/>
    <s v="Yes"/>
    <x v="43"/>
    <s v="No"/>
    <s v="No phone service"/>
    <x v="0"/>
    <x v="0"/>
    <s v="No"/>
    <x v="1"/>
    <n v="79.95"/>
    <n v="1040.49"/>
    <s v="Lahore"/>
    <s v="No"/>
    <n v="0"/>
  </r>
  <r>
    <s v="CUST-00137"/>
    <n v="20"/>
    <s v="No"/>
    <s v="Yes"/>
    <s v="No"/>
    <x v="12"/>
    <s v="Yes"/>
    <s v="No"/>
    <x v="1"/>
    <x v="2"/>
    <s v="No"/>
    <x v="2"/>
    <n v="52.74"/>
    <n v="3175.81"/>
    <s v="Peshawar"/>
    <s v="No"/>
    <n v="0"/>
  </r>
  <r>
    <s v="CUST-00138"/>
    <n v="37"/>
    <s v="No"/>
    <s v="No"/>
    <s v="No"/>
    <x v="9"/>
    <s v="Yes"/>
    <s v="No"/>
    <x v="1"/>
    <x v="0"/>
    <s v="No"/>
    <x v="0"/>
    <n v="71.87"/>
    <n v="2878.72"/>
    <s v="Lahore"/>
    <s v="No"/>
    <n v="0"/>
  </r>
  <r>
    <s v="CUST-00139"/>
    <n v="56"/>
    <s v="No"/>
    <s v="No"/>
    <s v="No"/>
    <x v="38"/>
    <s v="No"/>
    <s v="No phone service"/>
    <x v="1"/>
    <x v="2"/>
    <s v="No"/>
    <x v="3"/>
    <n v="67.23"/>
    <n v="1903.53"/>
    <s v="Lahore"/>
    <s v="No"/>
    <n v="0"/>
  </r>
  <r>
    <s v="CUST-00140"/>
    <n v="30"/>
    <s v="No"/>
    <s v="Yes"/>
    <s v="No"/>
    <x v="52"/>
    <s v="No"/>
    <s v="No phone service"/>
    <x v="0"/>
    <x v="0"/>
    <s v="No"/>
    <x v="0"/>
    <n v="100.57"/>
    <n v="4109.32"/>
    <s v="Multan"/>
    <s v="No"/>
    <n v="0"/>
  </r>
  <r>
    <s v="CUST-00141"/>
    <n v="21"/>
    <s v="No"/>
    <s v="Yes"/>
    <s v="Yes"/>
    <x v="55"/>
    <s v="No"/>
    <s v="No phone service"/>
    <x v="0"/>
    <x v="2"/>
    <s v="No"/>
    <x v="2"/>
    <n v="92.98"/>
    <n v="6721.17"/>
    <s v="Multan"/>
    <s v="No"/>
    <n v="0"/>
  </r>
  <r>
    <s v="CUST-00142"/>
    <n v="67"/>
    <s v="Yes"/>
    <s v="No"/>
    <s v="No"/>
    <x v="3"/>
    <s v="No"/>
    <s v="No phone service"/>
    <x v="2"/>
    <x v="0"/>
    <s v="Yes"/>
    <x v="2"/>
    <n v="29.79"/>
    <n v="768.98"/>
    <s v="Multan"/>
    <s v="No"/>
    <n v="0"/>
  </r>
  <r>
    <s v="CUST-00143"/>
    <n v="63"/>
    <s v="Yes"/>
    <s v="No"/>
    <s v="No"/>
    <x v="48"/>
    <s v="No"/>
    <s v="No phone service"/>
    <x v="0"/>
    <x v="2"/>
    <s v="No"/>
    <x v="2"/>
    <n v="89.73"/>
    <n v="5459.87"/>
    <s v="Karachi"/>
    <s v="No"/>
    <n v="0"/>
  </r>
  <r>
    <s v="CUST-00144"/>
    <n v="36"/>
    <s v="No"/>
    <s v="Yes"/>
    <s v="No"/>
    <x v="32"/>
    <s v="No"/>
    <s v="No phone service"/>
    <x v="0"/>
    <x v="0"/>
    <s v="No"/>
    <x v="3"/>
    <n v="111.4"/>
    <n v="1191.75"/>
    <s v="Islamabad"/>
    <s v="No"/>
    <n v="0"/>
  </r>
  <r>
    <s v="CUST-00145"/>
    <n v="26"/>
    <s v="No"/>
    <s v="Yes"/>
    <s v="Yes"/>
    <x v="36"/>
    <s v="Yes"/>
    <s v="No"/>
    <x v="0"/>
    <x v="2"/>
    <s v="No"/>
    <x v="3"/>
    <n v="93.62"/>
    <n v="3060.98"/>
    <s v="Faisalabad"/>
    <s v="Yes"/>
    <n v="1"/>
  </r>
  <r>
    <s v="CUST-00146"/>
    <n v="28"/>
    <s v="No"/>
    <s v="No"/>
    <s v="No"/>
    <x v="48"/>
    <s v="No"/>
    <s v="No phone service"/>
    <x v="1"/>
    <x v="2"/>
    <s v="Yes"/>
    <x v="2"/>
    <n v="43.58"/>
    <n v="2726"/>
    <s v="Multan"/>
    <s v="No"/>
    <n v="0"/>
  </r>
  <r>
    <s v="CUST-00147"/>
    <n v="72"/>
    <s v="Yes"/>
    <s v="Yes"/>
    <s v="Yes"/>
    <x v="17"/>
    <s v="Yes"/>
    <s v="No"/>
    <x v="2"/>
    <x v="2"/>
    <s v="No"/>
    <x v="1"/>
    <n v="20.239999999999998"/>
    <n v="1125.6199999999999"/>
    <s v="Islamabad"/>
    <s v="No"/>
    <n v="0"/>
  </r>
  <r>
    <s v="CUST-00148"/>
    <n v="74"/>
    <s v="Yes"/>
    <s v="Yes"/>
    <s v="Yes"/>
    <x v="9"/>
    <s v="Yes"/>
    <s v="No"/>
    <x v="1"/>
    <x v="2"/>
    <s v="No"/>
    <x v="2"/>
    <n v="61.73"/>
    <n v="2405.71"/>
    <s v="Peshawar"/>
    <s v="No"/>
    <n v="0"/>
  </r>
  <r>
    <s v="CUST-00149"/>
    <n v="50"/>
    <s v="No"/>
    <s v="No"/>
    <s v="No"/>
    <x v="3"/>
    <s v="No"/>
    <s v="No phone service"/>
    <x v="2"/>
    <x v="2"/>
    <s v="No"/>
    <x v="1"/>
    <n v="26.62"/>
    <n v="626.69000000000005"/>
    <s v="Islamabad"/>
    <s v="No"/>
    <n v="0"/>
  </r>
  <r>
    <s v="CUST-00150"/>
    <n v="54"/>
    <s v="No"/>
    <s v="Yes"/>
    <s v="Yes"/>
    <x v="27"/>
    <s v="No"/>
    <s v="No phone service"/>
    <x v="2"/>
    <x v="2"/>
    <s v="Yes"/>
    <x v="3"/>
    <n v="19.690000000000001"/>
    <n v="1002.21"/>
    <s v="Islamabad"/>
    <s v="Yes"/>
    <n v="1"/>
  </r>
  <r>
    <s v="CUST-00151"/>
    <n v="42"/>
    <s v="No"/>
    <s v="Yes"/>
    <s v="No"/>
    <x v="61"/>
    <s v="No"/>
    <s v="No phone service"/>
    <x v="2"/>
    <x v="0"/>
    <s v="Yes"/>
    <x v="3"/>
    <n v="22.31"/>
    <n v="756.14"/>
    <s v="Rawalpindi"/>
    <s v="No"/>
    <n v="0"/>
  </r>
  <r>
    <s v="CUST-00152"/>
    <n v="37"/>
    <s v="No"/>
    <s v="Yes"/>
    <s v="No"/>
    <x v="30"/>
    <s v="No"/>
    <s v="No phone service"/>
    <x v="2"/>
    <x v="0"/>
    <s v="No"/>
    <x v="0"/>
    <n v="20.65"/>
    <n v="1415.92"/>
    <s v="Rawalpindi"/>
    <s v="No"/>
    <n v="0"/>
  </r>
  <r>
    <s v="CUST-00153"/>
    <n v="65"/>
    <s v="Yes"/>
    <s v="No"/>
    <s v="No"/>
    <x v="60"/>
    <s v="Yes"/>
    <s v="No"/>
    <x v="2"/>
    <x v="0"/>
    <s v="Yes"/>
    <x v="0"/>
    <n v="24.34"/>
    <n v="1699.48"/>
    <s v="Lahore"/>
    <s v="No"/>
    <n v="0"/>
  </r>
  <r>
    <s v="CUST-00154"/>
    <n v="21"/>
    <s v="No"/>
    <s v="Yes"/>
    <s v="Yes"/>
    <x v="51"/>
    <s v="No"/>
    <s v="No phone service"/>
    <x v="0"/>
    <x v="2"/>
    <s v="Yes"/>
    <x v="1"/>
    <n v="94.44"/>
    <n v="2177.13"/>
    <s v="Lahore"/>
    <s v="No"/>
    <n v="0"/>
  </r>
  <r>
    <s v="CUST-00155"/>
    <n v="47"/>
    <s v="No"/>
    <s v="Yes"/>
    <s v="No"/>
    <x v="35"/>
    <s v="No"/>
    <s v="No phone service"/>
    <x v="1"/>
    <x v="0"/>
    <s v="No"/>
    <x v="1"/>
    <n v="55.84"/>
    <n v="3419.67"/>
    <s v="Faisalabad"/>
    <s v="No"/>
    <n v="0"/>
  </r>
  <r>
    <s v="CUST-00156"/>
    <n v="22"/>
    <s v="No"/>
    <s v="Yes"/>
    <s v="No"/>
    <x v="62"/>
    <s v="Yes"/>
    <s v="No"/>
    <x v="1"/>
    <x v="2"/>
    <s v="No"/>
    <x v="3"/>
    <n v="56.35"/>
    <n v="2617.6"/>
    <s v="Multan"/>
    <s v="No"/>
    <n v="0"/>
  </r>
  <r>
    <s v="CUST-00157"/>
    <n v="59"/>
    <s v="No"/>
    <s v="No"/>
    <s v="No"/>
    <x v="63"/>
    <s v="No"/>
    <s v="No phone service"/>
    <x v="0"/>
    <x v="2"/>
    <s v="Yes"/>
    <x v="1"/>
    <n v="87.39"/>
    <n v="4116.8900000000003"/>
    <s v="Faisalabad"/>
    <s v="No"/>
    <n v="0"/>
  </r>
  <r>
    <s v="CUST-00158"/>
    <n v="26"/>
    <s v="No"/>
    <s v="Yes"/>
    <s v="Yes"/>
    <x v="47"/>
    <s v="No"/>
    <s v="No phone service"/>
    <x v="2"/>
    <x v="0"/>
    <s v="No"/>
    <x v="0"/>
    <n v="27.88"/>
    <n v="81.11"/>
    <s v="Islamabad"/>
    <s v="No"/>
    <n v="0"/>
  </r>
  <r>
    <s v="CUST-00159"/>
    <n v="30"/>
    <s v="No"/>
    <s v="Yes"/>
    <s v="Yes"/>
    <x v="17"/>
    <s v="Yes"/>
    <s v="Yes"/>
    <x v="1"/>
    <x v="2"/>
    <s v="Yes"/>
    <x v="0"/>
    <n v="66.88"/>
    <n v="3772.83"/>
    <s v="Lahore"/>
    <s v="Yes"/>
    <n v="1"/>
  </r>
  <r>
    <s v="CUST-00160"/>
    <n v="43"/>
    <s v="No"/>
    <s v="No"/>
    <s v="Yes"/>
    <x v="14"/>
    <s v="Yes"/>
    <s v="Yes"/>
    <x v="0"/>
    <x v="1"/>
    <s v="Yes"/>
    <x v="1"/>
    <n v="106.58"/>
    <n v="7298.47"/>
    <s v="Multan"/>
    <s v="No"/>
    <n v="0"/>
  </r>
  <r>
    <s v="CUST-00161"/>
    <n v="70"/>
    <s v="Yes"/>
    <s v="No"/>
    <s v="Yes"/>
    <x v="9"/>
    <s v="Yes"/>
    <s v="No"/>
    <x v="2"/>
    <x v="2"/>
    <s v="Yes"/>
    <x v="1"/>
    <n v="23.13"/>
    <n v="901.6"/>
    <s v="Multan"/>
    <s v="No"/>
    <n v="0"/>
  </r>
  <r>
    <s v="CUST-00162"/>
    <n v="60"/>
    <s v="Yes"/>
    <s v="No"/>
    <s v="No"/>
    <x v="17"/>
    <s v="No"/>
    <s v="No phone service"/>
    <x v="0"/>
    <x v="2"/>
    <s v="No"/>
    <x v="3"/>
    <n v="81.27"/>
    <n v="4576.87"/>
    <s v="Rawalpindi"/>
    <s v="Yes"/>
    <n v="1"/>
  </r>
  <r>
    <s v="CUST-00163"/>
    <n v="21"/>
    <s v="No"/>
    <s v="No"/>
    <s v="No"/>
    <x v="55"/>
    <s v="No"/>
    <s v="No phone service"/>
    <x v="1"/>
    <x v="2"/>
    <s v="Yes"/>
    <x v="3"/>
    <n v="43.16"/>
    <n v="3088.8"/>
    <s v="Faisalabad"/>
    <s v="Yes"/>
    <n v="1"/>
  </r>
  <r>
    <s v="CUST-00164"/>
    <n v="64"/>
    <s v="Yes"/>
    <s v="Yes"/>
    <s v="Yes"/>
    <x v="61"/>
    <s v="Yes"/>
    <s v="No"/>
    <x v="0"/>
    <x v="2"/>
    <s v="Yes"/>
    <x v="0"/>
    <n v="113.47"/>
    <n v="3891.85"/>
    <s v="Lahore"/>
    <s v="No"/>
    <n v="0"/>
  </r>
  <r>
    <s v="CUST-00165"/>
    <n v="31"/>
    <s v="No"/>
    <s v="Yes"/>
    <s v="Yes"/>
    <x v="48"/>
    <s v="Yes"/>
    <s v="No"/>
    <x v="2"/>
    <x v="2"/>
    <s v="No"/>
    <x v="1"/>
    <n v="22.57"/>
    <n v="1404.99"/>
    <s v="Islamabad"/>
    <s v="No"/>
    <n v="0"/>
  </r>
  <r>
    <s v="CUST-00166"/>
    <n v="41"/>
    <s v="No"/>
    <s v="No"/>
    <s v="No"/>
    <x v="43"/>
    <s v="No"/>
    <s v="No phone service"/>
    <x v="2"/>
    <x v="0"/>
    <s v="No"/>
    <x v="2"/>
    <n v="22.45"/>
    <n v="288.83999999999997"/>
    <s v="Karachi"/>
    <s v="No"/>
    <n v="0"/>
  </r>
  <r>
    <s v="CUST-00167"/>
    <n v="65"/>
    <s v="Yes"/>
    <s v="Yes"/>
    <s v="Yes"/>
    <x v="15"/>
    <s v="No"/>
    <s v="No phone service"/>
    <x v="1"/>
    <x v="2"/>
    <s v="Yes"/>
    <x v="3"/>
    <n v="55.19"/>
    <n v="1951.53"/>
    <s v="Multan"/>
    <s v="No"/>
    <n v="0"/>
  </r>
  <r>
    <s v="CUST-00168"/>
    <n v="61"/>
    <s v="Yes"/>
    <s v="No"/>
    <s v="No"/>
    <x v="31"/>
    <s v="No"/>
    <s v="No phone service"/>
    <x v="2"/>
    <x v="2"/>
    <s v="No"/>
    <x v="3"/>
    <n v="26.64"/>
    <n v="1675.97"/>
    <s v="Faisalabad"/>
    <s v="No"/>
    <n v="0"/>
  </r>
  <r>
    <s v="CUST-00169"/>
    <n v="59"/>
    <s v="No"/>
    <s v="Yes"/>
    <s v="Yes"/>
    <x v="18"/>
    <s v="Yes"/>
    <s v="No"/>
    <x v="2"/>
    <x v="2"/>
    <s v="Yes"/>
    <x v="3"/>
    <n v="19.809999999999999"/>
    <n v="191.41"/>
    <s v="Lahore"/>
    <s v="No"/>
    <n v="0"/>
  </r>
  <r>
    <s v="CUST-00170"/>
    <n v="57"/>
    <s v="No"/>
    <s v="No"/>
    <s v="No"/>
    <x v="47"/>
    <s v="No"/>
    <s v="No phone service"/>
    <x v="0"/>
    <x v="2"/>
    <s v="No"/>
    <x v="0"/>
    <n v="84.33"/>
    <n v="253.06"/>
    <s v="Rawalpindi"/>
    <s v="No"/>
    <n v="0"/>
  </r>
  <r>
    <s v="CUST-00171"/>
    <n v="69"/>
    <s v="Yes"/>
    <s v="Yes"/>
    <s v="Yes"/>
    <x v="43"/>
    <s v="Yes"/>
    <s v="Yes"/>
    <x v="1"/>
    <x v="2"/>
    <s v="No"/>
    <x v="3"/>
    <n v="55.88"/>
    <n v="715.37"/>
    <s v="Faisalabad"/>
    <s v="No"/>
    <n v="0"/>
  </r>
  <r>
    <s v="CUST-00172"/>
    <n v="33"/>
    <s v="No"/>
    <s v="Yes"/>
    <s v="No"/>
    <x v="32"/>
    <s v="Yes"/>
    <s v="Yes"/>
    <x v="1"/>
    <x v="2"/>
    <s v="No"/>
    <x v="3"/>
    <n v="40.380000000000003"/>
    <n v="426.66"/>
    <s v="Rawalpindi"/>
    <s v="No"/>
    <n v="0"/>
  </r>
  <r>
    <s v="CUST-00173"/>
    <n v="59"/>
    <s v="No"/>
    <s v="No"/>
    <s v="Yes"/>
    <x v="19"/>
    <s v="Yes"/>
    <s v="Yes"/>
    <x v="2"/>
    <x v="1"/>
    <s v="No"/>
    <x v="3"/>
    <n v="29.09"/>
    <n v="2021.9"/>
    <s v="Faisalabad"/>
    <s v="No"/>
    <n v="0"/>
  </r>
  <r>
    <s v="CUST-00174"/>
    <n v="54"/>
    <s v="No"/>
    <s v="Yes"/>
    <s v="Yes"/>
    <x v="52"/>
    <s v="Yes"/>
    <s v="No"/>
    <x v="0"/>
    <x v="0"/>
    <s v="No"/>
    <x v="2"/>
    <n v="84.96"/>
    <n v="3510.09"/>
    <s v="Peshawar"/>
    <s v="No"/>
    <n v="0"/>
  </r>
  <r>
    <s v="CUST-00175"/>
    <n v="42"/>
    <s v="No"/>
    <s v="No"/>
    <s v="No"/>
    <x v="58"/>
    <s v="Yes"/>
    <s v="No"/>
    <x v="1"/>
    <x v="1"/>
    <s v="Yes"/>
    <x v="3"/>
    <n v="49.29"/>
    <n v="842.08"/>
    <s v="Faisalabad"/>
    <s v="No"/>
    <n v="0"/>
  </r>
  <r>
    <s v="CUST-00176"/>
    <n v="56"/>
    <s v="No"/>
    <s v="No"/>
    <s v="No"/>
    <x v="39"/>
    <s v="No"/>
    <s v="No phone service"/>
    <x v="1"/>
    <x v="2"/>
    <s v="No"/>
    <x v="0"/>
    <n v="55.02"/>
    <n v="211.78"/>
    <s v="Rawalpindi"/>
    <s v="No"/>
    <n v="0"/>
  </r>
  <r>
    <s v="CUST-00177"/>
    <n v="23"/>
    <s v="No"/>
    <s v="No"/>
    <s v="Yes"/>
    <x v="18"/>
    <s v="Yes"/>
    <s v="No"/>
    <x v="0"/>
    <x v="0"/>
    <s v="Yes"/>
    <x v="1"/>
    <n v="85.83"/>
    <n v="817.78"/>
    <s v="Islamabad"/>
    <s v="Yes"/>
    <n v="1"/>
  </r>
  <r>
    <s v="CUST-00178"/>
    <n v="46"/>
    <s v="No"/>
    <s v="No"/>
    <s v="No"/>
    <x v="26"/>
    <s v="Yes"/>
    <s v="No"/>
    <x v="0"/>
    <x v="0"/>
    <s v="No"/>
    <x v="3"/>
    <n v="74.48"/>
    <n v="1049.5"/>
    <s v="Peshawar"/>
    <s v="No"/>
    <n v="0"/>
  </r>
  <r>
    <s v="CUST-00179"/>
    <n v="38"/>
    <s v="No"/>
    <s v="No"/>
    <s v="Yes"/>
    <x v="41"/>
    <s v="Yes"/>
    <s v="No"/>
    <x v="0"/>
    <x v="0"/>
    <s v="Yes"/>
    <x v="0"/>
    <n v="78.48"/>
    <n v="2939.56"/>
    <s v="Islamabad"/>
    <s v="Yes"/>
    <n v="1"/>
  </r>
  <r>
    <s v="CUST-00180"/>
    <n v="35"/>
    <s v="No"/>
    <s v="No"/>
    <s v="Yes"/>
    <x v="25"/>
    <s v="No"/>
    <s v="No phone service"/>
    <x v="0"/>
    <x v="2"/>
    <s v="No"/>
    <x v="1"/>
    <n v="88.06"/>
    <n v="834.79"/>
    <s v="Rawalpindi"/>
    <s v="No"/>
    <n v="0"/>
  </r>
  <r>
    <s v="CUST-00181"/>
    <n v="56"/>
    <s v="No"/>
    <s v="Yes"/>
    <s v="No"/>
    <x v="26"/>
    <s v="Yes"/>
    <s v="No"/>
    <x v="0"/>
    <x v="2"/>
    <s v="No"/>
    <x v="1"/>
    <n v="86.48"/>
    <n v="1186.71"/>
    <s v="Peshawar"/>
    <s v="No"/>
    <n v="0"/>
  </r>
  <r>
    <s v="CUST-00182"/>
    <n v="59"/>
    <s v="No"/>
    <s v="Yes"/>
    <s v="No"/>
    <x v="64"/>
    <s v="Yes"/>
    <s v="No"/>
    <x v="1"/>
    <x v="2"/>
    <s v="No"/>
    <x v="2"/>
    <n v="51.66"/>
    <n v="2220.48"/>
    <s v="Faisalabad"/>
    <s v="No"/>
    <n v="0"/>
  </r>
  <r>
    <s v="CUST-00183"/>
    <n v="68"/>
    <s v="Yes"/>
    <s v="Yes"/>
    <s v="No"/>
    <x v="63"/>
    <s v="No"/>
    <s v="No phone service"/>
    <x v="0"/>
    <x v="2"/>
    <s v="Yes"/>
    <x v="0"/>
    <n v="97.28"/>
    <n v="4870.66"/>
    <s v="Multan"/>
    <s v="No"/>
    <n v="0"/>
  </r>
  <r>
    <s v="CUST-00184"/>
    <n v="47"/>
    <s v="No"/>
    <s v="Yes"/>
    <s v="No"/>
    <x v="41"/>
    <s v="Yes"/>
    <s v="No"/>
    <x v="2"/>
    <x v="0"/>
    <s v="No"/>
    <x v="1"/>
    <n v="19.670000000000002"/>
    <n v="729.78"/>
    <s v="Karachi"/>
    <s v="No"/>
    <n v="0"/>
  </r>
  <r>
    <s v="CUST-00185"/>
    <n v="63"/>
    <s v="Yes"/>
    <s v="No"/>
    <s v="No"/>
    <x v="18"/>
    <s v="No"/>
    <s v="No phone service"/>
    <x v="0"/>
    <x v="0"/>
    <s v="No"/>
    <x v="0"/>
    <n v="109.54"/>
    <n v="1076.94"/>
    <s v="Faisalabad"/>
    <s v="No"/>
    <n v="0"/>
  </r>
  <r>
    <s v="CUST-00186"/>
    <n v="56"/>
    <s v="No"/>
    <s v="Yes"/>
    <s v="Yes"/>
    <x v="36"/>
    <s v="No"/>
    <s v="No phone service"/>
    <x v="1"/>
    <x v="2"/>
    <s v="Yes"/>
    <x v="0"/>
    <n v="65.8"/>
    <n v="2142.6799999999998"/>
    <s v="Islamabad"/>
    <s v="No"/>
    <n v="0"/>
  </r>
  <r>
    <s v="CUST-00187"/>
    <n v="68"/>
    <s v="Yes"/>
    <s v="No"/>
    <s v="Yes"/>
    <x v="65"/>
    <s v="Yes"/>
    <s v="No"/>
    <x v="0"/>
    <x v="2"/>
    <s v="Yes"/>
    <x v="0"/>
    <n v="89.56"/>
    <n v="184.97"/>
    <s v="Faisalabad"/>
    <s v="No"/>
    <n v="0"/>
  </r>
  <r>
    <s v="CUST-00188"/>
    <n v="27"/>
    <s v="No"/>
    <s v="No"/>
    <s v="Yes"/>
    <x v="48"/>
    <s v="No"/>
    <s v="No phone service"/>
    <x v="0"/>
    <x v="1"/>
    <s v="Yes"/>
    <x v="3"/>
    <n v="117.03"/>
    <n v="6943.87"/>
    <s v="Rawalpindi"/>
    <s v="No"/>
    <n v="0"/>
  </r>
  <r>
    <s v="CUST-00189"/>
    <n v="68"/>
    <s v="Yes"/>
    <s v="Yes"/>
    <s v="No"/>
    <x v="62"/>
    <s v="No"/>
    <s v="No phone service"/>
    <x v="1"/>
    <x v="0"/>
    <s v="No"/>
    <x v="3"/>
    <n v="52.01"/>
    <n v="2427.5700000000002"/>
    <s v="Peshawar"/>
    <s v="Yes"/>
    <n v="1"/>
  </r>
  <r>
    <s v="CUST-00190"/>
    <n v="39"/>
    <s v="No"/>
    <s v="Yes"/>
    <s v="Yes"/>
    <x v="36"/>
    <s v="Yes"/>
    <s v="Yes"/>
    <x v="1"/>
    <x v="2"/>
    <s v="No"/>
    <x v="3"/>
    <n v="56.2"/>
    <n v="1730.3"/>
    <s v="Rawalpindi"/>
    <s v="No"/>
    <n v="0"/>
  </r>
  <r>
    <s v="CUST-00191"/>
    <n v="43"/>
    <s v="No"/>
    <s v="Yes"/>
    <s v="Yes"/>
    <x v="37"/>
    <s v="No"/>
    <s v="No phone service"/>
    <x v="1"/>
    <x v="2"/>
    <s v="Yes"/>
    <x v="3"/>
    <n v="70.09"/>
    <n v="4215.83"/>
    <s v="Lahore"/>
    <s v="Yes"/>
    <n v="1"/>
  </r>
  <r>
    <s v="CUST-00192"/>
    <n v="69"/>
    <s v="Yes"/>
    <s v="Yes"/>
    <s v="No"/>
    <x v="64"/>
    <s v="Yes"/>
    <s v="Yes"/>
    <x v="0"/>
    <x v="1"/>
    <s v="No"/>
    <x v="0"/>
    <n v="100.57"/>
    <n v="4268.04"/>
    <s v="Peshawar"/>
    <s v="No"/>
    <n v="0"/>
  </r>
  <r>
    <s v="CUST-00193"/>
    <n v="47"/>
    <s v="No"/>
    <s v="Yes"/>
    <s v="No"/>
    <x v="32"/>
    <s v="No"/>
    <s v="No phone service"/>
    <x v="1"/>
    <x v="2"/>
    <s v="No"/>
    <x v="3"/>
    <n v="54.93"/>
    <n v="578.23"/>
    <s v="Faisalabad"/>
    <s v="Yes"/>
    <n v="1"/>
  </r>
  <r>
    <s v="CUST-00194"/>
    <n v="26"/>
    <s v="No"/>
    <s v="No"/>
    <s v="No"/>
    <x v="66"/>
    <s v="Yes"/>
    <s v="No"/>
    <x v="1"/>
    <x v="2"/>
    <s v="Yes"/>
    <x v="3"/>
    <n v="73.680000000000007"/>
    <n v="1793.66"/>
    <s v="Lahore"/>
    <s v="No"/>
    <n v="0"/>
  </r>
  <r>
    <s v="CUST-00195"/>
    <n v="49"/>
    <s v="No"/>
    <s v="Yes"/>
    <s v="Yes"/>
    <x v="57"/>
    <s v="No"/>
    <s v="No phone service"/>
    <x v="2"/>
    <x v="2"/>
    <s v="No"/>
    <x v="0"/>
    <n v="28.08"/>
    <n v="1402.1"/>
    <s v="Lahore"/>
    <s v="Yes"/>
    <n v="1"/>
  </r>
  <r>
    <s v="CUST-00196"/>
    <n v="68"/>
    <s v="Yes"/>
    <s v="Yes"/>
    <s v="No"/>
    <x v="24"/>
    <s v="No"/>
    <s v="No phone service"/>
    <x v="0"/>
    <x v="2"/>
    <s v="No"/>
    <x v="0"/>
    <n v="108.63"/>
    <n v="542.84"/>
    <s v="Faisalabad"/>
    <s v="Yes"/>
    <n v="1"/>
  </r>
  <r>
    <s v="CUST-00197"/>
    <n v="25"/>
    <s v="No"/>
    <s v="No"/>
    <s v="No"/>
    <x v="14"/>
    <s v="Yes"/>
    <s v="No"/>
    <x v="2"/>
    <x v="2"/>
    <s v="Yes"/>
    <x v="2"/>
    <n v="19.23"/>
    <n v="1399.42"/>
    <s v="Islamabad"/>
    <s v="No"/>
    <n v="0"/>
  </r>
  <r>
    <s v="CUST-00198"/>
    <n v="73"/>
    <s v="Yes"/>
    <s v="Yes"/>
    <s v="No"/>
    <x v="15"/>
    <s v="Yes"/>
    <s v="No"/>
    <x v="0"/>
    <x v="1"/>
    <s v="Yes"/>
    <x v="3"/>
    <n v="106.88"/>
    <n v="3716.4"/>
    <s v="Faisalabad"/>
    <s v="No"/>
    <n v="0"/>
  </r>
  <r>
    <s v="CUST-00199"/>
    <n v="58"/>
    <s v="No"/>
    <s v="No"/>
    <s v="Yes"/>
    <x v="58"/>
    <s v="Yes"/>
    <s v="No"/>
    <x v="1"/>
    <x v="0"/>
    <s v="No"/>
    <x v="0"/>
    <n v="46.74"/>
    <n v="889.68"/>
    <s v="Faisalabad"/>
    <s v="No"/>
    <n v="0"/>
  </r>
  <r>
    <s v="CUST-00200"/>
    <n v="35"/>
    <s v="No"/>
    <s v="Yes"/>
    <s v="Yes"/>
    <x v="67"/>
    <s v="No"/>
    <s v="No phone service"/>
    <x v="2"/>
    <x v="1"/>
    <s v="Yes"/>
    <x v="1"/>
    <n v="19.59"/>
    <n v="994.19"/>
    <s v="Karachi"/>
    <s v="No"/>
    <n v="0"/>
  </r>
  <r>
    <s v="CUST-00201"/>
    <n v="66"/>
    <s v="Yes"/>
    <s v="No"/>
    <s v="No"/>
    <x v="6"/>
    <s v="No"/>
    <s v="No phone service"/>
    <x v="1"/>
    <x v="0"/>
    <s v="No"/>
    <x v="0"/>
    <n v="65.349999999999994"/>
    <n v="1298.29"/>
    <s v="Faisalabad"/>
    <s v="Yes"/>
    <n v="1"/>
  </r>
  <r>
    <s v="CUST-00202"/>
    <n v="65"/>
    <s v="Yes"/>
    <s v="No"/>
    <s v="No"/>
    <x v="35"/>
    <s v="No"/>
    <s v="No phone service"/>
    <x v="2"/>
    <x v="0"/>
    <s v="Yes"/>
    <x v="1"/>
    <n v="23.5"/>
    <n v="1413.81"/>
    <s v="Lahore"/>
    <s v="No"/>
    <n v="0"/>
  </r>
  <r>
    <s v="CUST-00203"/>
    <n v="68"/>
    <s v="Yes"/>
    <s v="No"/>
    <s v="Yes"/>
    <x v="46"/>
    <s v="No"/>
    <s v="No phone service"/>
    <x v="2"/>
    <x v="2"/>
    <s v="No"/>
    <x v="3"/>
    <n v="24.94"/>
    <n v="1382.59"/>
    <s v="Islamabad"/>
    <s v="No"/>
    <n v="0"/>
  </r>
  <r>
    <s v="CUST-00204"/>
    <n v="75"/>
    <s v="Yes"/>
    <s v="Yes"/>
    <s v="Yes"/>
    <x v="43"/>
    <s v="No"/>
    <s v="No phone service"/>
    <x v="1"/>
    <x v="2"/>
    <s v="Yes"/>
    <x v="0"/>
    <n v="40.03"/>
    <n v="548.99"/>
    <s v="Multan"/>
    <s v="Yes"/>
    <n v="1"/>
  </r>
  <r>
    <s v="CUST-00205"/>
    <n v="26"/>
    <s v="No"/>
    <s v="No"/>
    <s v="Yes"/>
    <x v="0"/>
    <s v="No"/>
    <s v="No phone service"/>
    <x v="0"/>
    <x v="2"/>
    <s v="No"/>
    <x v="1"/>
    <n v="102.45"/>
    <n v="3489.83"/>
    <s v="Multan"/>
    <s v="No"/>
    <n v="0"/>
  </r>
  <r>
    <s v="CUST-00206"/>
    <n v="62"/>
    <s v="Yes"/>
    <s v="Yes"/>
    <s v="No"/>
    <x v="2"/>
    <s v="Yes"/>
    <s v="Yes"/>
    <x v="1"/>
    <x v="2"/>
    <s v="Yes"/>
    <x v="0"/>
    <n v="57.8"/>
    <n v="652.66"/>
    <s v="Lahore"/>
    <s v="Yes"/>
    <n v="1"/>
  </r>
  <r>
    <s v="CUST-00207"/>
    <n v="73"/>
    <s v="Yes"/>
    <s v="No"/>
    <s v="Yes"/>
    <x v="48"/>
    <s v="No"/>
    <s v="No phone service"/>
    <x v="0"/>
    <x v="2"/>
    <s v="Yes"/>
    <x v="3"/>
    <n v="88.38"/>
    <n v="5347.56"/>
    <s v="Peshawar"/>
    <s v="Yes"/>
    <n v="1"/>
  </r>
  <r>
    <s v="CUST-00208"/>
    <n v="66"/>
    <s v="Yes"/>
    <s v="Yes"/>
    <s v="Yes"/>
    <x v="25"/>
    <s v="Yes"/>
    <s v="No"/>
    <x v="1"/>
    <x v="2"/>
    <s v="No"/>
    <x v="1"/>
    <n v="65.12"/>
    <n v="561.55999999999995"/>
    <s v="Multan"/>
    <s v="No"/>
    <n v="0"/>
  </r>
  <r>
    <s v="CUST-00209"/>
    <n v="46"/>
    <s v="No"/>
    <s v="Yes"/>
    <s v="Yes"/>
    <x v="43"/>
    <s v="Yes"/>
    <s v="No"/>
    <x v="0"/>
    <x v="2"/>
    <s v="No"/>
    <x v="3"/>
    <n v="76.989999999999995"/>
    <n v="974.08"/>
    <s v="Faisalabad"/>
    <s v="Yes"/>
    <n v="1"/>
  </r>
  <r>
    <s v="CUST-00210"/>
    <n v="56"/>
    <s v="No"/>
    <s v="No"/>
    <s v="Yes"/>
    <x v="9"/>
    <s v="Yes"/>
    <s v="No"/>
    <x v="0"/>
    <x v="2"/>
    <s v="Yes"/>
    <x v="1"/>
    <n v="109.69"/>
    <n v="4144.1000000000004"/>
    <s v="Karachi"/>
    <s v="Yes"/>
    <n v="1"/>
  </r>
  <r>
    <s v="CUST-00211"/>
    <n v="49"/>
    <s v="No"/>
    <s v="Yes"/>
    <s v="Yes"/>
    <x v="53"/>
    <s v="Yes"/>
    <s v="No"/>
    <x v="2"/>
    <x v="1"/>
    <s v="No"/>
    <x v="0"/>
    <n v="26.2"/>
    <n v="1270.22"/>
    <s v="Peshawar"/>
    <s v="No"/>
    <n v="0"/>
  </r>
  <r>
    <s v="CUST-00212"/>
    <n v="22"/>
    <s v="No"/>
    <s v="Yes"/>
    <s v="Yes"/>
    <x v="65"/>
    <s v="Yes"/>
    <s v="No"/>
    <x v="0"/>
    <x v="1"/>
    <s v="No"/>
    <x v="0"/>
    <n v="101.43"/>
    <n v="202.89"/>
    <s v="Multan"/>
    <s v="No"/>
    <n v="0"/>
  </r>
  <r>
    <s v="CUST-00213"/>
    <n v="43"/>
    <s v="No"/>
    <s v="Yes"/>
    <s v="Yes"/>
    <x v="0"/>
    <s v="Yes"/>
    <s v="No"/>
    <x v="0"/>
    <x v="2"/>
    <s v="Yes"/>
    <x v="0"/>
    <n v="89.54"/>
    <n v="3275.39"/>
    <s v="Multan"/>
    <s v="No"/>
    <n v="0"/>
  </r>
  <r>
    <s v="CUST-00214"/>
    <n v="59"/>
    <s v="No"/>
    <s v="Yes"/>
    <s v="No"/>
    <x v="68"/>
    <s v="Yes"/>
    <s v="Yes"/>
    <x v="1"/>
    <x v="2"/>
    <s v="No"/>
    <x v="3"/>
    <n v="64.489999999999995"/>
    <n v="3418.6"/>
    <s v="Multan"/>
    <s v="No"/>
    <n v="0"/>
  </r>
  <r>
    <s v="CUST-00215"/>
    <n v="65"/>
    <s v="Yes"/>
    <s v="Yes"/>
    <s v="Yes"/>
    <x v="65"/>
    <s v="Yes"/>
    <s v="Yes"/>
    <x v="1"/>
    <x v="1"/>
    <s v="No"/>
    <x v="3"/>
    <n v="45.08"/>
    <n v="93.2"/>
    <s v="Lahore"/>
    <s v="Yes"/>
    <n v="1"/>
  </r>
  <r>
    <s v="CUST-00216"/>
    <n v="67"/>
    <s v="Yes"/>
    <s v="Yes"/>
    <s v="No"/>
    <x v="46"/>
    <s v="Yes"/>
    <s v="Yes"/>
    <x v="0"/>
    <x v="1"/>
    <s v="Yes"/>
    <x v="0"/>
    <n v="95.54"/>
    <n v="4974.38"/>
    <s v="Karachi"/>
    <s v="No"/>
    <n v="0"/>
  </r>
  <r>
    <s v="CUST-00217"/>
    <n v="41"/>
    <s v="No"/>
    <s v="Yes"/>
    <s v="No"/>
    <x v="26"/>
    <s v="Yes"/>
    <s v="Yes"/>
    <x v="2"/>
    <x v="2"/>
    <s v="Yes"/>
    <x v="2"/>
    <n v="18.149999999999999"/>
    <n v="240.26"/>
    <s v="Karachi"/>
    <s v="No"/>
    <n v="0"/>
  </r>
  <r>
    <s v="CUST-00218"/>
    <n v="29"/>
    <s v="No"/>
    <s v="Yes"/>
    <s v="No"/>
    <x v="1"/>
    <s v="No"/>
    <s v="No phone service"/>
    <x v="0"/>
    <x v="1"/>
    <s v="No"/>
    <x v="3"/>
    <n v="73.89"/>
    <n v="2110.1"/>
    <s v="Lahore"/>
    <s v="No"/>
    <n v="0"/>
  </r>
  <r>
    <s v="CUST-00219"/>
    <n v="29"/>
    <s v="No"/>
    <s v="Yes"/>
    <s v="Yes"/>
    <x v="27"/>
    <s v="No"/>
    <s v="No phone service"/>
    <x v="0"/>
    <x v="1"/>
    <s v="No"/>
    <x v="3"/>
    <n v="97.65"/>
    <n v="4777.99"/>
    <s v="Faisalabad"/>
    <s v="Yes"/>
    <n v="1"/>
  </r>
  <r>
    <s v="CUST-00220"/>
    <n v="68"/>
    <s v="Yes"/>
    <s v="No"/>
    <s v="Yes"/>
    <x v="45"/>
    <s v="No"/>
    <s v="No phone service"/>
    <x v="0"/>
    <x v="1"/>
    <s v="Yes"/>
    <x v="1"/>
    <n v="97.33"/>
    <n v="6047.21"/>
    <s v="Rawalpindi"/>
    <s v="Yes"/>
    <n v="1"/>
  </r>
  <r>
    <s v="CUST-00221"/>
    <n v="19"/>
    <s v="No"/>
    <s v="Yes"/>
    <s v="No"/>
    <x v="65"/>
    <s v="Yes"/>
    <s v="No"/>
    <x v="2"/>
    <x v="2"/>
    <s v="No"/>
    <x v="3"/>
    <n v="24.36"/>
    <n v="47.19"/>
    <s v="Lahore"/>
    <s v="Yes"/>
    <n v="1"/>
  </r>
  <r>
    <s v="CUST-00222"/>
    <n v="27"/>
    <s v="No"/>
    <s v="No"/>
    <s v="Yes"/>
    <x v="42"/>
    <s v="No"/>
    <s v="No phone service"/>
    <x v="2"/>
    <x v="0"/>
    <s v="No"/>
    <x v="0"/>
    <n v="26.97"/>
    <n v="163.38999999999999"/>
    <s v="Multan"/>
    <s v="No"/>
    <n v="0"/>
  </r>
  <r>
    <s v="CUST-00223"/>
    <n v="70"/>
    <s v="Yes"/>
    <s v="No"/>
    <s v="Yes"/>
    <x v="5"/>
    <s v="Yes"/>
    <s v="Yes"/>
    <x v="0"/>
    <x v="2"/>
    <s v="No"/>
    <x v="2"/>
    <n v="89.65"/>
    <n v="745.76"/>
    <s v="Rawalpindi"/>
    <s v="Yes"/>
    <n v="1"/>
  </r>
  <r>
    <s v="CUST-00224"/>
    <n v="35"/>
    <s v="No"/>
    <s v="Yes"/>
    <s v="Yes"/>
    <x v="69"/>
    <s v="Yes"/>
    <s v="Yes"/>
    <x v="0"/>
    <x v="2"/>
    <s v="No"/>
    <x v="3"/>
    <n v="76.040000000000006"/>
    <n v="1943.42"/>
    <s v="Rawalpindi"/>
    <s v="No"/>
    <n v="0"/>
  </r>
  <r>
    <s v="CUST-00225"/>
    <n v="37"/>
    <s v="No"/>
    <s v="No"/>
    <s v="No"/>
    <x v="34"/>
    <s v="No"/>
    <s v="No phone service"/>
    <x v="0"/>
    <x v="1"/>
    <s v="Yes"/>
    <x v="3"/>
    <n v="112.83"/>
    <n v="1729.1"/>
    <s v="Islamabad"/>
    <s v="No"/>
    <n v="0"/>
  </r>
  <r>
    <s v="CUST-00226"/>
    <n v="43"/>
    <s v="No"/>
    <s v="Yes"/>
    <s v="No"/>
    <x v="15"/>
    <s v="Yes"/>
    <s v="Yes"/>
    <x v="2"/>
    <x v="2"/>
    <s v="No"/>
    <x v="0"/>
    <n v="24.6"/>
    <n v="795.72"/>
    <s v="Peshawar"/>
    <s v="Yes"/>
    <n v="1"/>
  </r>
  <r>
    <s v="CUST-00227"/>
    <n v="26"/>
    <s v="No"/>
    <s v="Yes"/>
    <s v="Yes"/>
    <x v="5"/>
    <s v="Yes"/>
    <s v="Yes"/>
    <x v="2"/>
    <x v="1"/>
    <s v="No"/>
    <x v="1"/>
    <n v="29.25"/>
    <n v="222.32"/>
    <s v="Peshawar"/>
    <s v="No"/>
    <n v="0"/>
  </r>
  <r>
    <s v="CUST-00228"/>
    <n v="22"/>
    <s v="No"/>
    <s v="Yes"/>
    <s v="Yes"/>
    <x v="69"/>
    <s v="No"/>
    <s v="No phone service"/>
    <x v="2"/>
    <x v="1"/>
    <s v="Yes"/>
    <x v="2"/>
    <n v="27.95"/>
    <n v="712.01"/>
    <s v="Rawalpindi"/>
    <s v="Yes"/>
    <n v="1"/>
  </r>
  <r>
    <s v="CUST-00229"/>
    <n v="21"/>
    <s v="No"/>
    <s v="Yes"/>
    <s v="No"/>
    <x v="44"/>
    <s v="No"/>
    <s v="No phone service"/>
    <x v="1"/>
    <x v="0"/>
    <s v="Yes"/>
    <x v="0"/>
    <n v="76.33"/>
    <n v="3787.72"/>
    <s v="Karachi"/>
    <s v="No"/>
    <n v="0"/>
  </r>
  <r>
    <s v="CUST-00230"/>
    <n v="20"/>
    <s v="No"/>
    <s v="Yes"/>
    <s v="No"/>
    <x v="59"/>
    <s v="No"/>
    <s v="No phone service"/>
    <x v="0"/>
    <x v="2"/>
    <s v="No"/>
    <x v="0"/>
    <n v="90.96"/>
    <n v="5921.09"/>
    <s v="Karachi"/>
    <s v="No"/>
    <n v="0"/>
  </r>
  <r>
    <s v="CUST-00231"/>
    <n v="58"/>
    <s v="No"/>
    <s v="Yes"/>
    <s v="No"/>
    <x v="4"/>
    <s v="No"/>
    <s v="No phone service"/>
    <x v="1"/>
    <x v="2"/>
    <s v="No"/>
    <x v="0"/>
    <n v="47.19"/>
    <n v="2123.56"/>
    <s v="Peshawar"/>
    <s v="Yes"/>
    <n v="1"/>
  </r>
  <r>
    <s v="CUST-00232"/>
    <n v="67"/>
    <s v="Yes"/>
    <s v="No"/>
    <s v="Yes"/>
    <x v="12"/>
    <s v="Yes"/>
    <s v="No"/>
    <x v="1"/>
    <x v="2"/>
    <s v="Yes"/>
    <x v="3"/>
    <n v="72.650000000000006"/>
    <n v="4653.55"/>
    <s v="Karachi"/>
    <s v="Yes"/>
    <n v="1"/>
  </r>
  <r>
    <s v="CUST-00233"/>
    <n v="54"/>
    <s v="No"/>
    <s v="No"/>
    <s v="No"/>
    <x v="23"/>
    <s v="No"/>
    <s v="No phone service"/>
    <x v="0"/>
    <x v="1"/>
    <s v="No"/>
    <x v="2"/>
    <n v="71.41"/>
    <n v="1681.96"/>
    <s v="Faisalabad"/>
    <s v="No"/>
    <n v="0"/>
  </r>
  <r>
    <s v="CUST-00234"/>
    <n v="27"/>
    <s v="No"/>
    <s v="Yes"/>
    <s v="No"/>
    <x v="14"/>
    <s v="No"/>
    <s v="No phone service"/>
    <x v="0"/>
    <x v="2"/>
    <s v="Yes"/>
    <x v="3"/>
    <n v="80.94"/>
    <n v="5683.78"/>
    <s v="Faisalabad"/>
    <s v="Yes"/>
    <n v="1"/>
  </r>
  <r>
    <s v="CUST-00235"/>
    <n v="30"/>
    <s v="No"/>
    <s v="Yes"/>
    <s v="No"/>
    <x v="23"/>
    <s v="No"/>
    <s v="No phone service"/>
    <x v="2"/>
    <x v="2"/>
    <s v="Yes"/>
    <x v="0"/>
    <n v="29.01"/>
    <n v="689.2"/>
    <s v="Peshawar"/>
    <s v="No"/>
    <n v="0"/>
  </r>
  <r>
    <s v="CUST-00236"/>
    <n v="41"/>
    <s v="No"/>
    <s v="Yes"/>
    <s v="No"/>
    <x v="44"/>
    <s v="No"/>
    <s v="No phone service"/>
    <x v="1"/>
    <x v="2"/>
    <s v="Yes"/>
    <x v="2"/>
    <n v="69.290000000000006"/>
    <n v="3507.02"/>
    <s v="Rawalpindi"/>
    <s v="No"/>
    <n v="0"/>
  </r>
  <r>
    <s v="CUST-00237"/>
    <n v="59"/>
    <s v="No"/>
    <s v="No"/>
    <s v="Yes"/>
    <x v="55"/>
    <s v="No"/>
    <s v="No phone service"/>
    <x v="1"/>
    <x v="2"/>
    <s v="Yes"/>
    <x v="0"/>
    <n v="69.36"/>
    <n v="4870.78"/>
    <s v="Lahore"/>
    <s v="Yes"/>
    <n v="1"/>
  </r>
  <r>
    <s v="CUST-00238"/>
    <n v="62"/>
    <s v="Yes"/>
    <s v="No"/>
    <s v="Yes"/>
    <x v="66"/>
    <s v="Yes"/>
    <s v="No"/>
    <x v="1"/>
    <x v="2"/>
    <s v="No"/>
    <x v="3"/>
    <n v="69.81"/>
    <n v="1622.76"/>
    <s v="Karachi"/>
    <s v="No"/>
    <n v="0"/>
  </r>
  <r>
    <s v="CUST-00239"/>
    <n v="58"/>
    <s v="No"/>
    <s v="Yes"/>
    <s v="No"/>
    <x v="37"/>
    <s v="Yes"/>
    <s v="Yes"/>
    <x v="0"/>
    <x v="2"/>
    <s v="No"/>
    <x v="1"/>
    <n v="106.02"/>
    <n v="5815.74"/>
    <s v="Rawalpindi"/>
    <s v="Yes"/>
    <n v="1"/>
  </r>
  <r>
    <s v="CUST-00240"/>
    <n v="28"/>
    <s v="No"/>
    <s v="No"/>
    <s v="No"/>
    <x v="63"/>
    <s v="No"/>
    <s v="No phone service"/>
    <x v="0"/>
    <x v="2"/>
    <s v="No"/>
    <x v="1"/>
    <n v="98.9"/>
    <n v="4996.28"/>
    <s v="Rawalpindi"/>
    <s v="Yes"/>
    <n v="1"/>
  </r>
  <r>
    <s v="CUST-00241"/>
    <n v="22"/>
    <s v="No"/>
    <s v="Yes"/>
    <s v="No"/>
    <x v="47"/>
    <s v="Yes"/>
    <s v="Yes"/>
    <x v="0"/>
    <x v="2"/>
    <s v="No"/>
    <x v="3"/>
    <n v="73.75"/>
    <n v="232.98"/>
    <s v="Islamabad"/>
    <s v="No"/>
    <n v="0"/>
  </r>
  <r>
    <s v="CUST-00242"/>
    <n v="56"/>
    <s v="No"/>
    <s v="No"/>
    <s v="Yes"/>
    <x v="68"/>
    <s v="Yes"/>
    <s v="No"/>
    <x v="2"/>
    <x v="2"/>
    <s v="Yes"/>
    <x v="3"/>
    <n v="20.47"/>
    <n v="1103.67"/>
    <s v="Multan"/>
    <s v="No"/>
    <n v="0"/>
  </r>
  <r>
    <s v="CUST-00243"/>
    <n v="64"/>
    <s v="Yes"/>
    <s v="No"/>
    <s v="No"/>
    <x v="9"/>
    <s v="Yes"/>
    <s v="No"/>
    <x v="0"/>
    <x v="2"/>
    <s v="No"/>
    <x v="3"/>
    <n v="88.04"/>
    <n v="3403.73"/>
    <s v="Multan"/>
    <s v="Yes"/>
    <n v="1"/>
  </r>
  <r>
    <s v="CUST-00244"/>
    <n v="58"/>
    <s v="No"/>
    <s v="No"/>
    <s v="Yes"/>
    <x v="43"/>
    <s v="Yes"/>
    <s v="No"/>
    <x v="0"/>
    <x v="1"/>
    <s v="No"/>
    <x v="1"/>
    <n v="85.42"/>
    <n v="1096.8"/>
    <s v="Multan"/>
    <s v="No"/>
    <n v="0"/>
  </r>
  <r>
    <s v="CUST-00245"/>
    <n v="34"/>
    <s v="No"/>
    <s v="Yes"/>
    <s v="No"/>
    <x v="66"/>
    <s v="No"/>
    <s v="No phone service"/>
    <x v="0"/>
    <x v="2"/>
    <s v="No"/>
    <x v="3"/>
    <n v="91.99"/>
    <n v="2145.08"/>
    <s v="Faisalabad"/>
    <s v="No"/>
    <n v="0"/>
  </r>
  <r>
    <s v="CUST-00246"/>
    <n v="21"/>
    <s v="No"/>
    <s v="Yes"/>
    <s v="Yes"/>
    <x v="32"/>
    <s v="No"/>
    <s v="No phone service"/>
    <x v="1"/>
    <x v="1"/>
    <s v="Yes"/>
    <x v="0"/>
    <n v="73.63"/>
    <n v="840.88"/>
    <s v="Faisalabad"/>
    <s v="No"/>
    <n v="0"/>
  </r>
  <r>
    <s v="CUST-00247"/>
    <n v="61"/>
    <s v="Yes"/>
    <s v="No"/>
    <s v="Yes"/>
    <x v="12"/>
    <s v="No"/>
    <s v="No phone service"/>
    <x v="0"/>
    <x v="1"/>
    <s v="Yes"/>
    <x v="0"/>
    <n v="115.02"/>
    <n v="7269.18"/>
    <s v="Faisalabad"/>
    <s v="No"/>
    <n v="0"/>
  </r>
  <r>
    <s v="CUST-00248"/>
    <n v="27"/>
    <s v="No"/>
    <s v="Yes"/>
    <s v="No"/>
    <x v="23"/>
    <s v="Yes"/>
    <s v="No"/>
    <x v="2"/>
    <x v="1"/>
    <s v="Yes"/>
    <x v="3"/>
    <n v="18.940000000000001"/>
    <n v="445.19"/>
    <s v="Peshawar"/>
    <s v="No"/>
    <n v="0"/>
  </r>
  <r>
    <s v="CUST-00249"/>
    <n v="58"/>
    <s v="No"/>
    <s v="Yes"/>
    <s v="No"/>
    <x v="52"/>
    <s v="Yes"/>
    <s v="Yes"/>
    <x v="2"/>
    <x v="0"/>
    <s v="No"/>
    <x v="2"/>
    <n v="24.24"/>
    <n v="1043.5899999999999"/>
    <s v="Multan"/>
    <s v="Yes"/>
    <n v="1"/>
  </r>
  <r>
    <s v="CUST-00250"/>
    <n v="57"/>
    <s v="No"/>
    <s v="No"/>
    <s v="Yes"/>
    <x v="17"/>
    <s v="Yes"/>
    <s v="No"/>
    <x v="0"/>
    <x v="0"/>
    <s v="Yes"/>
    <x v="1"/>
    <n v="113.37"/>
    <n v="6401.24"/>
    <s v="Islamabad"/>
    <s v="No"/>
    <n v="0"/>
  </r>
  <r>
    <s v="CUST-00251"/>
    <n v="42"/>
    <s v="No"/>
    <s v="No"/>
    <s v="No"/>
    <x v="24"/>
    <s v="No"/>
    <s v="No phone service"/>
    <x v="0"/>
    <x v="2"/>
    <s v="No"/>
    <x v="3"/>
    <n v="114.48"/>
    <n v="560.83000000000004"/>
    <s v="Multan"/>
    <s v="Yes"/>
    <n v="1"/>
  </r>
  <r>
    <s v="CUST-00252"/>
    <n v="48"/>
    <s v="No"/>
    <s v="No"/>
    <s v="No"/>
    <x v="47"/>
    <s v="No"/>
    <s v="No phone service"/>
    <x v="0"/>
    <x v="2"/>
    <s v="No"/>
    <x v="2"/>
    <n v="104.24"/>
    <n v="330.45"/>
    <s v="Islamabad"/>
    <s v="Yes"/>
    <n v="1"/>
  </r>
  <r>
    <s v="CUST-00253"/>
    <n v="65"/>
    <s v="Yes"/>
    <s v="No"/>
    <s v="No"/>
    <x v="61"/>
    <s v="Yes"/>
    <s v="Yes"/>
    <x v="1"/>
    <x v="2"/>
    <s v="No"/>
    <x v="1"/>
    <n v="70.38"/>
    <n v="2571.84"/>
    <s v="Faisalabad"/>
    <s v="No"/>
    <n v="0"/>
  </r>
  <r>
    <s v="CUST-00254"/>
    <n v="68"/>
    <s v="Yes"/>
    <s v="Yes"/>
    <s v="Yes"/>
    <x v="70"/>
    <s v="No"/>
    <s v="No phone service"/>
    <x v="1"/>
    <x v="2"/>
    <s v="Yes"/>
    <x v="3"/>
    <n v="75.010000000000005"/>
    <n v="2892.65"/>
    <s v="Lahore"/>
    <s v="Yes"/>
    <n v="1"/>
  </r>
  <r>
    <s v="CUST-00255"/>
    <n v="47"/>
    <s v="No"/>
    <s v="Yes"/>
    <s v="No"/>
    <x v="69"/>
    <s v="No"/>
    <s v="No phone service"/>
    <x v="0"/>
    <x v="2"/>
    <s v="Yes"/>
    <x v="1"/>
    <n v="82.1"/>
    <n v="2131.73"/>
    <s v="Peshawar"/>
    <s v="No"/>
    <n v="0"/>
  </r>
  <r>
    <s v="CUST-00256"/>
    <n v="48"/>
    <s v="No"/>
    <s v="No"/>
    <s v="No"/>
    <x v="50"/>
    <s v="No"/>
    <s v="No phone service"/>
    <x v="2"/>
    <x v="0"/>
    <s v="Yes"/>
    <x v="3"/>
    <n v="22.64"/>
    <n v="456.21"/>
    <s v="Karachi"/>
    <s v="No"/>
    <n v="0"/>
  </r>
  <r>
    <s v="CUST-00257"/>
    <n v="72"/>
    <s v="Yes"/>
    <s v="Yes"/>
    <s v="Yes"/>
    <x v="20"/>
    <s v="No"/>
    <s v="No phone service"/>
    <x v="0"/>
    <x v="2"/>
    <s v="Yes"/>
    <x v="0"/>
    <n v="76.62"/>
    <n v="1987.61"/>
    <s v="Karachi"/>
    <s v="No"/>
    <n v="0"/>
  </r>
  <r>
    <s v="CUST-00258"/>
    <n v="34"/>
    <s v="No"/>
    <s v="No"/>
    <s v="No"/>
    <x v="46"/>
    <s v="No"/>
    <s v="No phone service"/>
    <x v="2"/>
    <x v="2"/>
    <s v="Yes"/>
    <x v="0"/>
    <n v="26.13"/>
    <n v="1493.08"/>
    <s v="Lahore"/>
    <s v="No"/>
    <n v="0"/>
  </r>
  <r>
    <s v="CUST-00259"/>
    <n v="18"/>
    <s v="No"/>
    <s v="No"/>
    <s v="No"/>
    <x v="9"/>
    <s v="No"/>
    <s v="No phone service"/>
    <x v="1"/>
    <x v="2"/>
    <s v="No"/>
    <x v="1"/>
    <n v="74.459999999999994"/>
    <n v="2820.71"/>
    <s v="Multan"/>
    <s v="No"/>
    <n v="0"/>
  </r>
  <r>
    <s v="CUST-00260"/>
    <n v="37"/>
    <s v="No"/>
    <s v="Yes"/>
    <s v="Yes"/>
    <x v="40"/>
    <s v="Yes"/>
    <s v="No"/>
    <x v="1"/>
    <x v="1"/>
    <s v="No"/>
    <x v="1"/>
    <n v="67.23"/>
    <n v="4624.0200000000004"/>
    <s v="Islamabad"/>
    <s v="No"/>
    <n v="0"/>
  </r>
  <r>
    <s v="CUST-00261"/>
    <n v="34"/>
    <s v="No"/>
    <s v="No"/>
    <s v="No"/>
    <x v="57"/>
    <s v="Yes"/>
    <s v="Yes"/>
    <x v="1"/>
    <x v="0"/>
    <s v="No"/>
    <x v="2"/>
    <n v="66.87"/>
    <n v="3346.43"/>
    <s v="Peshawar"/>
    <s v="No"/>
    <n v="0"/>
  </r>
  <r>
    <s v="CUST-00262"/>
    <n v="60"/>
    <s v="Yes"/>
    <s v="Yes"/>
    <s v="No"/>
    <x v="43"/>
    <s v="No"/>
    <s v="No phone service"/>
    <x v="1"/>
    <x v="0"/>
    <s v="Yes"/>
    <x v="2"/>
    <n v="75.98"/>
    <n v="1006.04"/>
    <s v="Karachi"/>
    <s v="No"/>
    <n v="0"/>
  </r>
  <r>
    <s v="CUST-00263"/>
    <n v="65"/>
    <s v="Yes"/>
    <s v="No"/>
    <s v="No"/>
    <x v="21"/>
    <s v="No"/>
    <s v="No phone service"/>
    <x v="0"/>
    <x v="2"/>
    <s v="Yes"/>
    <x v="0"/>
    <n v="113.32"/>
    <n v="4921.63"/>
    <s v="Lahore"/>
    <s v="No"/>
    <n v="0"/>
  </r>
  <r>
    <s v="CUST-00264"/>
    <n v="48"/>
    <s v="No"/>
    <s v="Yes"/>
    <s v="Yes"/>
    <x v="63"/>
    <s v="No"/>
    <s v="No phone service"/>
    <x v="1"/>
    <x v="2"/>
    <s v="Yes"/>
    <x v="3"/>
    <n v="48.01"/>
    <n v="2326.85"/>
    <s v="Rawalpindi"/>
    <s v="No"/>
    <n v="0"/>
  </r>
  <r>
    <s v="CUST-00265"/>
    <n v="27"/>
    <s v="No"/>
    <s v="No"/>
    <s v="Yes"/>
    <x v="32"/>
    <s v="Yes"/>
    <s v="Yes"/>
    <x v="1"/>
    <x v="2"/>
    <s v="No"/>
    <x v="3"/>
    <n v="70.45"/>
    <n v="744.13"/>
    <s v="Rawalpindi"/>
    <s v="No"/>
    <n v="0"/>
  </r>
  <r>
    <s v="CUST-00266"/>
    <n v="68"/>
    <s v="Yes"/>
    <s v="Yes"/>
    <s v="Yes"/>
    <x v="68"/>
    <s v="No"/>
    <s v="No phone service"/>
    <x v="1"/>
    <x v="2"/>
    <s v="No"/>
    <x v="0"/>
    <n v="41.51"/>
    <n v="2240.71"/>
    <s v="Lahore"/>
    <s v="No"/>
    <n v="0"/>
  </r>
  <r>
    <s v="CUST-00267"/>
    <n v="75"/>
    <s v="Yes"/>
    <s v="No"/>
    <s v="Yes"/>
    <x v="47"/>
    <s v="Yes"/>
    <s v="Yes"/>
    <x v="1"/>
    <x v="1"/>
    <s v="No"/>
    <x v="3"/>
    <n v="55.34"/>
    <n v="167.79"/>
    <s v="Peshawar"/>
    <s v="Yes"/>
    <n v="1"/>
  </r>
  <r>
    <s v="CUST-00268"/>
    <n v="20"/>
    <s v="No"/>
    <s v="No"/>
    <s v="No"/>
    <x v="35"/>
    <s v="No"/>
    <s v="No phone service"/>
    <x v="1"/>
    <x v="2"/>
    <s v="Yes"/>
    <x v="3"/>
    <n v="76.06"/>
    <n v="4411.75"/>
    <s v="Peshawar"/>
    <s v="Yes"/>
    <n v="1"/>
  </r>
  <r>
    <s v="CUST-00269"/>
    <n v="43"/>
    <s v="No"/>
    <s v="Yes"/>
    <s v="Yes"/>
    <x v="1"/>
    <s v="Yes"/>
    <s v="Yes"/>
    <x v="1"/>
    <x v="2"/>
    <s v="Yes"/>
    <x v="3"/>
    <n v="68.44"/>
    <n v="2054.34"/>
    <s v="Multan"/>
    <s v="No"/>
    <n v="0"/>
  </r>
  <r>
    <s v="CUST-00270"/>
    <n v="34"/>
    <s v="No"/>
    <s v="Yes"/>
    <s v="Yes"/>
    <x v="26"/>
    <s v="Yes"/>
    <s v="Yes"/>
    <x v="1"/>
    <x v="2"/>
    <s v="No"/>
    <x v="0"/>
    <n v="61.89"/>
    <n v="863.8"/>
    <s v="Multan"/>
    <s v="Yes"/>
    <n v="1"/>
  </r>
  <r>
    <s v="CUST-00271"/>
    <n v="61"/>
    <s v="Yes"/>
    <s v="Yes"/>
    <s v="No"/>
    <x v="17"/>
    <s v="No"/>
    <s v="No phone service"/>
    <x v="1"/>
    <x v="0"/>
    <s v="Yes"/>
    <x v="0"/>
    <n v="75.94"/>
    <n v="4106.46"/>
    <s v="Islamabad"/>
    <s v="No"/>
    <n v="0"/>
  </r>
  <r>
    <s v="CUST-00272"/>
    <n v="25"/>
    <s v="No"/>
    <s v="Yes"/>
    <s v="No"/>
    <x v="69"/>
    <s v="No"/>
    <s v="No phone service"/>
    <x v="1"/>
    <x v="1"/>
    <s v="Yes"/>
    <x v="0"/>
    <n v="56.39"/>
    <n v="1406.39"/>
    <s v="Karachi"/>
    <s v="No"/>
    <n v="0"/>
  </r>
  <r>
    <s v="CUST-00273"/>
    <n v="62"/>
    <s v="Yes"/>
    <s v="No"/>
    <s v="No"/>
    <x v="33"/>
    <s v="Yes"/>
    <s v="No"/>
    <x v="0"/>
    <x v="1"/>
    <s v="No"/>
    <x v="3"/>
    <n v="74.5"/>
    <n v="2312.7399999999998"/>
    <s v="Lahore"/>
    <s v="No"/>
    <n v="0"/>
  </r>
  <r>
    <s v="CUST-00274"/>
    <n v="75"/>
    <s v="Yes"/>
    <s v="No"/>
    <s v="Yes"/>
    <x v="35"/>
    <s v="No"/>
    <s v="No phone service"/>
    <x v="2"/>
    <x v="2"/>
    <s v="Yes"/>
    <x v="3"/>
    <n v="20.100000000000001"/>
    <n v="1120.3599999999999"/>
    <s v="Peshawar"/>
    <s v="Yes"/>
    <n v="1"/>
  </r>
  <r>
    <s v="CUST-00275"/>
    <n v="61"/>
    <s v="Yes"/>
    <s v="No"/>
    <s v="No"/>
    <x v="7"/>
    <s v="Yes"/>
    <s v="Yes"/>
    <x v="0"/>
    <x v="2"/>
    <s v="Yes"/>
    <x v="3"/>
    <n v="114.73"/>
    <n v="1814.93"/>
    <s v="Multan"/>
    <s v="Yes"/>
    <n v="1"/>
  </r>
  <r>
    <s v="CUST-00276"/>
    <n v="23"/>
    <s v="No"/>
    <s v="No"/>
    <s v="No"/>
    <x v="66"/>
    <s v="No"/>
    <s v="No phone service"/>
    <x v="0"/>
    <x v="1"/>
    <s v="No"/>
    <x v="1"/>
    <n v="104.5"/>
    <n v="2501.4499999999998"/>
    <s v="Peshawar"/>
    <s v="No"/>
    <n v="0"/>
  </r>
  <r>
    <s v="CUST-00277"/>
    <n v="28"/>
    <s v="No"/>
    <s v="Yes"/>
    <s v="Yes"/>
    <x v="5"/>
    <s v="Yes"/>
    <s v="Yes"/>
    <x v="2"/>
    <x v="1"/>
    <s v="No"/>
    <x v="1"/>
    <n v="26.14"/>
    <n v="201.12"/>
    <s v="Islamabad"/>
    <s v="No"/>
    <n v="0"/>
  </r>
  <r>
    <s v="CUST-00278"/>
    <n v="57"/>
    <s v="No"/>
    <s v="Yes"/>
    <s v="Yes"/>
    <x v="48"/>
    <s v="Yes"/>
    <s v="No"/>
    <x v="2"/>
    <x v="2"/>
    <s v="Yes"/>
    <x v="3"/>
    <n v="21.77"/>
    <n v="1382.87"/>
    <s v="Peshawar"/>
    <s v="No"/>
    <n v="0"/>
  </r>
  <r>
    <s v="CUST-00279"/>
    <n v="65"/>
    <s v="Yes"/>
    <s v="Yes"/>
    <s v="No"/>
    <x v="40"/>
    <s v="Yes"/>
    <s v="No"/>
    <x v="1"/>
    <x v="0"/>
    <s v="No"/>
    <x v="3"/>
    <n v="67.05"/>
    <n v="4430.29"/>
    <s v="Faisalabad"/>
    <s v="No"/>
    <n v="0"/>
  </r>
  <r>
    <s v="CUST-00280"/>
    <n v="75"/>
    <s v="Yes"/>
    <s v="Yes"/>
    <s v="Yes"/>
    <x v="50"/>
    <s v="No"/>
    <s v="No phone service"/>
    <x v="1"/>
    <x v="1"/>
    <s v="Yes"/>
    <x v="3"/>
    <n v="59.67"/>
    <n v="1214.1099999999999"/>
    <s v="Lahore"/>
    <s v="No"/>
    <n v="0"/>
  </r>
  <r>
    <s v="CUST-00281"/>
    <n v="50"/>
    <s v="No"/>
    <s v="Yes"/>
    <s v="No"/>
    <x v="27"/>
    <s v="Yes"/>
    <s v="No"/>
    <x v="2"/>
    <x v="1"/>
    <s v="No"/>
    <x v="3"/>
    <n v="23.98"/>
    <n v="1219.44"/>
    <s v="Multan"/>
    <s v="No"/>
    <n v="0"/>
  </r>
  <r>
    <s v="CUST-00282"/>
    <n v="59"/>
    <s v="No"/>
    <s v="Yes"/>
    <s v="Yes"/>
    <x v="27"/>
    <s v="Yes"/>
    <s v="No"/>
    <x v="0"/>
    <x v="0"/>
    <s v="No"/>
    <x v="2"/>
    <n v="98.12"/>
    <n v="5196.8900000000003"/>
    <s v="Islamabad"/>
    <s v="No"/>
    <n v="0"/>
  </r>
  <r>
    <s v="CUST-00283"/>
    <n v="41"/>
    <s v="No"/>
    <s v="Yes"/>
    <s v="Yes"/>
    <x v="35"/>
    <s v="No"/>
    <s v="No phone service"/>
    <x v="0"/>
    <x v="0"/>
    <s v="No"/>
    <x v="1"/>
    <n v="75.7"/>
    <n v="4605.28"/>
    <s v="Islamabad"/>
    <s v="No"/>
    <n v="0"/>
  </r>
  <r>
    <s v="CUST-00284"/>
    <n v="40"/>
    <s v="No"/>
    <s v="No"/>
    <s v="No"/>
    <x v="26"/>
    <s v="Yes"/>
    <s v="No"/>
    <x v="0"/>
    <x v="1"/>
    <s v="No"/>
    <x v="3"/>
    <n v="100.54"/>
    <n v="1354.78"/>
    <s v="Rawalpindi"/>
    <s v="No"/>
    <n v="0"/>
  </r>
  <r>
    <s v="CUST-00285"/>
    <n v="31"/>
    <s v="No"/>
    <s v="No"/>
    <s v="Yes"/>
    <x v="13"/>
    <s v="No"/>
    <s v="No phone service"/>
    <x v="0"/>
    <x v="2"/>
    <s v="Yes"/>
    <x v="1"/>
    <n v="92.53"/>
    <n v="4148.74"/>
    <s v="Karachi"/>
    <s v="No"/>
    <n v="0"/>
  </r>
  <r>
    <s v="CUST-00286"/>
    <n v="49"/>
    <s v="No"/>
    <s v="Yes"/>
    <s v="Yes"/>
    <x v="60"/>
    <s v="No"/>
    <s v="No phone service"/>
    <x v="2"/>
    <x v="1"/>
    <s v="Yes"/>
    <x v="1"/>
    <n v="20.079999999999998"/>
    <n v="1479.61"/>
    <s v="Multan"/>
    <s v="No"/>
    <n v="0"/>
  </r>
  <r>
    <s v="CUST-00287"/>
    <n v="56"/>
    <s v="No"/>
    <s v="No"/>
    <s v="No"/>
    <x v="17"/>
    <s v="Yes"/>
    <s v="Yes"/>
    <x v="2"/>
    <x v="1"/>
    <s v="No"/>
    <x v="0"/>
    <n v="19.600000000000001"/>
    <n v="1047.32"/>
    <s v="Multan"/>
    <s v="No"/>
    <n v="0"/>
  </r>
  <r>
    <s v="CUST-00288"/>
    <n v="50"/>
    <s v="No"/>
    <s v="No"/>
    <s v="No"/>
    <x v="60"/>
    <s v="Yes"/>
    <s v="Yes"/>
    <x v="1"/>
    <x v="0"/>
    <s v="No"/>
    <x v="2"/>
    <n v="45.31"/>
    <n v="3298.23"/>
    <s v="Karachi"/>
    <s v="No"/>
    <n v="0"/>
  </r>
  <r>
    <s v="CUST-00289"/>
    <n v="50"/>
    <s v="No"/>
    <s v="No"/>
    <s v="Yes"/>
    <x v="4"/>
    <s v="No"/>
    <s v="No phone service"/>
    <x v="1"/>
    <x v="0"/>
    <s v="No"/>
    <x v="2"/>
    <n v="56.9"/>
    <n v="2464.37"/>
    <s v="Rawalpindi"/>
    <s v="Yes"/>
    <n v="1"/>
  </r>
  <r>
    <s v="CUST-00290"/>
    <n v="27"/>
    <s v="No"/>
    <s v="Yes"/>
    <s v="Yes"/>
    <x v="69"/>
    <s v="Yes"/>
    <s v="No"/>
    <x v="0"/>
    <x v="0"/>
    <s v="Yes"/>
    <x v="1"/>
    <n v="104.53"/>
    <n v="2650.97"/>
    <s v="Lahore"/>
    <s v="No"/>
    <n v="0"/>
  </r>
  <r>
    <s v="CUST-00291"/>
    <n v="40"/>
    <s v="No"/>
    <s v="No"/>
    <s v="Yes"/>
    <x v="55"/>
    <s v="No"/>
    <s v="No phone service"/>
    <x v="2"/>
    <x v="2"/>
    <s v="No"/>
    <x v="1"/>
    <n v="18.559999999999999"/>
    <n v="1317.33"/>
    <s v="Peshawar"/>
    <s v="No"/>
    <n v="0"/>
  </r>
  <r>
    <s v="CUST-00292"/>
    <n v="61"/>
    <s v="Yes"/>
    <s v="No"/>
    <s v="Yes"/>
    <x v="65"/>
    <s v="Yes"/>
    <s v="No"/>
    <x v="1"/>
    <x v="0"/>
    <s v="No"/>
    <x v="1"/>
    <n v="76.459999999999994"/>
    <n v="156.68"/>
    <s v="Peshawar"/>
    <s v="No"/>
    <n v="0"/>
  </r>
  <r>
    <s v="CUST-00293"/>
    <n v="55"/>
    <s v="No"/>
    <s v="Yes"/>
    <s v="Yes"/>
    <x v="41"/>
    <s v="Yes"/>
    <s v="Yes"/>
    <x v="0"/>
    <x v="2"/>
    <s v="Yes"/>
    <x v="0"/>
    <n v="91.43"/>
    <n v="3497.94"/>
    <s v="Faisalabad"/>
    <s v="Yes"/>
    <n v="1"/>
  </r>
  <r>
    <s v="CUST-00294"/>
    <n v="72"/>
    <s v="Yes"/>
    <s v="No"/>
    <s v="Yes"/>
    <x v="21"/>
    <s v="Yes"/>
    <s v="Yes"/>
    <x v="1"/>
    <x v="1"/>
    <s v="Yes"/>
    <x v="1"/>
    <n v="65.010000000000005"/>
    <n v="2910.54"/>
    <s v="Peshawar"/>
    <s v="No"/>
    <n v="0"/>
  </r>
  <r>
    <s v="CUST-00295"/>
    <n v="54"/>
    <s v="No"/>
    <s v="No"/>
    <s v="Yes"/>
    <x v="52"/>
    <s v="Yes"/>
    <s v="No"/>
    <x v="1"/>
    <x v="0"/>
    <s v="Yes"/>
    <x v="0"/>
    <n v="61.48"/>
    <n v="2397.25"/>
    <s v="Karachi"/>
    <s v="No"/>
    <n v="0"/>
  </r>
  <r>
    <s v="CUST-00296"/>
    <n v="60"/>
    <s v="Yes"/>
    <s v="No"/>
    <s v="No"/>
    <x v="53"/>
    <s v="No"/>
    <s v="No phone service"/>
    <x v="0"/>
    <x v="1"/>
    <s v="Yes"/>
    <x v="3"/>
    <n v="87.3"/>
    <n v="3975.25"/>
    <s v="Faisalabad"/>
    <s v="No"/>
    <n v="0"/>
  </r>
  <r>
    <s v="CUST-00297"/>
    <n v="33"/>
    <s v="No"/>
    <s v="Yes"/>
    <s v="No"/>
    <x v="63"/>
    <s v="Yes"/>
    <s v="No"/>
    <x v="2"/>
    <x v="2"/>
    <s v="No"/>
    <x v="3"/>
    <n v="24.2"/>
    <n v="1224.29"/>
    <s v="Faisalabad"/>
    <s v="No"/>
    <n v="0"/>
  </r>
  <r>
    <s v="CUST-00298"/>
    <n v="46"/>
    <s v="No"/>
    <s v="No"/>
    <s v="Yes"/>
    <x v="41"/>
    <s v="Yes"/>
    <s v="Yes"/>
    <x v="2"/>
    <x v="2"/>
    <s v="Yes"/>
    <x v="3"/>
    <n v="29.48"/>
    <n v="1125.3399999999999"/>
    <s v="Lahore"/>
    <s v="Yes"/>
    <n v="1"/>
  </r>
  <r>
    <s v="CUST-00299"/>
    <n v="31"/>
    <s v="No"/>
    <s v="Yes"/>
    <s v="No"/>
    <x v="26"/>
    <s v="No"/>
    <s v="No phone service"/>
    <x v="0"/>
    <x v="0"/>
    <s v="Yes"/>
    <x v="1"/>
    <n v="77.69"/>
    <n v="1082.3399999999999"/>
    <s v="Lahore"/>
    <s v="No"/>
    <n v="0"/>
  </r>
  <r>
    <s v="CUST-00300"/>
    <n v="22"/>
    <s v="No"/>
    <s v="Yes"/>
    <s v="Yes"/>
    <x v="54"/>
    <s v="Yes"/>
    <s v="No"/>
    <x v="1"/>
    <x v="2"/>
    <s v="No"/>
    <x v="1"/>
    <n v="57.32"/>
    <n v="1781.9"/>
    <s v="Faisalabad"/>
    <s v="No"/>
    <n v="0"/>
  </r>
  <r>
    <s v="CUST-00301"/>
    <n v="18"/>
    <s v="No"/>
    <s v="Yes"/>
    <s v="Yes"/>
    <x v="18"/>
    <s v="Yes"/>
    <s v="Yes"/>
    <x v="0"/>
    <x v="0"/>
    <s v="Yes"/>
    <x v="3"/>
    <n v="116.33"/>
    <n v="1146.75"/>
    <s v="Lahore"/>
    <s v="No"/>
    <n v="0"/>
  </r>
  <r>
    <s v="CUST-00302"/>
    <n v="48"/>
    <s v="No"/>
    <s v="Yes"/>
    <s v="Yes"/>
    <x v="58"/>
    <s v="No"/>
    <s v="No phone service"/>
    <x v="1"/>
    <x v="1"/>
    <s v="Yes"/>
    <x v="3"/>
    <n v="75.48"/>
    <n v="1434.51"/>
    <s v="Multan"/>
    <s v="No"/>
    <n v="0"/>
  </r>
  <r>
    <s v="CUST-00303"/>
    <n v="41"/>
    <s v="No"/>
    <s v="Yes"/>
    <s v="Yes"/>
    <x v="34"/>
    <s v="No"/>
    <s v="No phone service"/>
    <x v="0"/>
    <x v="2"/>
    <s v="Yes"/>
    <x v="3"/>
    <n v="107.41"/>
    <n v="1801.78"/>
    <s v="Rawalpindi"/>
    <s v="Yes"/>
    <n v="1"/>
  </r>
  <r>
    <s v="CUST-00304"/>
    <n v="75"/>
    <s v="Yes"/>
    <s v="Yes"/>
    <s v="Yes"/>
    <x v="66"/>
    <s v="No"/>
    <s v="No phone service"/>
    <x v="0"/>
    <x v="2"/>
    <s v="Yes"/>
    <x v="1"/>
    <n v="98.36"/>
    <n v="2234.41"/>
    <s v="Faisalabad"/>
    <s v="No"/>
    <n v="0"/>
  </r>
  <r>
    <s v="CUST-00305"/>
    <n v="47"/>
    <s v="No"/>
    <s v="Yes"/>
    <s v="No"/>
    <x v="25"/>
    <s v="Yes"/>
    <s v="No"/>
    <x v="0"/>
    <x v="2"/>
    <s v="No"/>
    <x v="0"/>
    <n v="103.56"/>
    <n v="902.35"/>
    <s v="Lahore"/>
    <s v="Yes"/>
    <n v="1"/>
  </r>
  <r>
    <s v="CUST-00306"/>
    <n v="75"/>
    <s v="Yes"/>
    <s v="Yes"/>
    <s v="No"/>
    <x v="31"/>
    <s v="No"/>
    <s v="No phone service"/>
    <x v="1"/>
    <x v="0"/>
    <s v="Yes"/>
    <x v="0"/>
    <n v="54.58"/>
    <n v="3362.75"/>
    <s v="Lahore"/>
    <s v="No"/>
    <n v="0"/>
  </r>
  <r>
    <s v="CUST-00307"/>
    <n v="38"/>
    <s v="No"/>
    <s v="Yes"/>
    <s v="Yes"/>
    <x v="68"/>
    <s v="No"/>
    <s v="No phone service"/>
    <x v="0"/>
    <x v="2"/>
    <s v="No"/>
    <x v="2"/>
    <n v="93.14"/>
    <n v="5127.43"/>
    <s v="Faisalabad"/>
    <s v="Yes"/>
    <n v="1"/>
  </r>
  <r>
    <s v="CUST-00308"/>
    <n v="24"/>
    <s v="No"/>
    <s v="Yes"/>
    <s v="Yes"/>
    <x v="0"/>
    <s v="Yes"/>
    <s v="No"/>
    <x v="2"/>
    <x v="2"/>
    <s v="Yes"/>
    <x v="1"/>
    <n v="28.71"/>
    <n v="1076.92"/>
    <s v="Peshawar"/>
    <s v="No"/>
    <n v="0"/>
  </r>
  <r>
    <s v="CUST-00309"/>
    <n v="55"/>
    <s v="No"/>
    <s v="No"/>
    <s v="Yes"/>
    <x v="24"/>
    <s v="No"/>
    <s v="No phone service"/>
    <x v="1"/>
    <x v="0"/>
    <s v="Yes"/>
    <x v="0"/>
    <n v="48.93"/>
    <n v="252.64"/>
    <s v="Islamabad"/>
    <s v="No"/>
    <n v="0"/>
  </r>
  <r>
    <s v="CUST-00310"/>
    <n v="26"/>
    <s v="No"/>
    <s v="No"/>
    <s v="Yes"/>
    <x v="44"/>
    <s v="Yes"/>
    <s v="No"/>
    <x v="0"/>
    <x v="1"/>
    <s v="Yes"/>
    <x v="1"/>
    <n v="77.02"/>
    <n v="3767.39"/>
    <s v="Faisalabad"/>
    <s v="No"/>
    <n v="0"/>
  </r>
  <r>
    <s v="CUST-00311"/>
    <n v="60"/>
    <s v="Yes"/>
    <s v="Yes"/>
    <s v="No"/>
    <x v="4"/>
    <s v="No"/>
    <s v="No phone service"/>
    <x v="0"/>
    <x v="2"/>
    <s v="No"/>
    <x v="0"/>
    <n v="72.14"/>
    <n v="3201.67"/>
    <s v="Islamabad"/>
    <s v="No"/>
    <n v="0"/>
  </r>
  <r>
    <s v="CUST-00312"/>
    <n v="42"/>
    <s v="No"/>
    <s v="No"/>
    <s v="No"/>
    <x v="42"/>
    <s v="No"/>
    <s v="No phone service"/>
    <x v="0"/>
    <x v="2"/>
    <s v="No"/>
    <x v="1"/>
    <n v="83.17"/>
    <n v="501.68"/>
    <s v="Multan"/>
    <s v="Yes"/>
    <n v="1"/>
  </r>
  <r>
    <s v="CUST-00313"/>
    <n v="42"/>
    <s v="No"/>
    <s v="No"/>
    <s v="Yes"/>
    <x v="40"/>
    <s v="Yes"/>
    <s v="No"/>
    <x v="0"/>
    <x v="2"/>
    <s v="No"/>
    <x v="0"/>
    <n v="94.11"/>
    <n v="6384.22"/>
    <s v="Karachi"/>
    <s v="No"/>
    <n v="0"/>
  </r>
  <r>
    <s v="CUST-00314"/>
    <n v="46"/>
    <s v="No"/>
    <s v="Yes"/>
    <s v="Yes"/>
    <x v="18"/>
    <s v="No"/>
    <s v="No phone service"/>
    <x v="1"/>
    <x v="2"/>
    <s v="Yes"/>
    <x v="3"/>
    <n v="64.08"/>
    <n v="665.17"/>
    <s v="Rawalpindi"/>
    <s v="No"/>
    <n v="0"/>
  </r>
  <r>
    <s v="CUST-00315"/>
    <n v="69"/>
    <s v="Yes"/>
    <s v="No"/>
    <s v="Yes"/>
    <x v="48"/>
    <s v="No"/>
    <s v="No phone service"/>
    <x v="1"/>
    <x v="2"/>
    <s v="Yes"/>
    <x v="1"/>
    <n v="56.44"/>
    <n v="3391.64"/>
    <s v="Faisalabad"/>
    <s v="Yes"/>
    <n v="1"/>
  </r>
  <r>
    <s v="CUST-00316"/>
    <n v="28"/>
    <s v="No"/>
    <s v="Yes"/>
    <s v="Yes"/>
    <x v="6"/>
    <s v="No"/>
    <s v="No phone service"/>
    <x v="0"/>
    <x v="1"/>
    <s v="No"/>
    <x v="0"/>
    <n v="98.18"/>
    <n v="1757.66"/>
    <s v="Multan"/>
    <s v="No"/>
    <n v="0"/>
  </r>
  <r>
    <s v="CUST-00317"/>
    <n v="70"/>
    <s v="Yes"/>
    <s v="No"/>
    <s v="Yes"/>
    <x v="10"/>
    <s v="No"/>
    <s v="No phone service"/>
    <x v="0"/>
    <x v="1"/>
    <s v="Yes"/>
    <x v="3"/>
    <n v="90.54"/>
    <n v="2426.4299999999998"/>
    <s v="Peshawar"/>
    <s v="No"/>
    <n v="0"/>
  </r>
  <r>
    <s v="CUST-00318"/>
    <n v="29"/>
    <s v="No"/>
    <s v="No"/>
    <s v="Yes"/>
    <x v="13"/>
    <s v="Yes"/>
    <s v="Yes"/>
    <x v="2"/>
    <x v="2"/>
    <s v="Yes"/>
    <x v="3"/>
    <n v="24.27"/>
    <n v="1120.3399999999999"/>
    <s v="Peshawar"/>
    <s v="No"/>
    <n v="0"/>
  </r>
  <r>
    <s v="CUST-00319"/>
    <n v="27"/>
    <s v="No"/>
    <s v="Yes"/>
    <s v="Yes"/>
    <x v="12"/>
    <s v="Yes"/>
    <s v="No"/>
    <x v="2"/>
    <x v="2"/>
    <s v="Yes"/>
    <x v="3"/>
    <n v="25.91"/>
    <n v="1656.75"/>
    <s v="Lahore"/>
    <s v="No"/>
    <n v="0"/>
  </r>
  <r>
    <s v="CUST-00320"/>
    <n v="75"/>
    <s v="Yes"/>
    <s v="No"/>
    <s v="No"/>
    <x v="22"/>
    <s v="No"/>
    <s v="No phone service"/>
    <x v="2"/>
    <x v="2"/>
    <s v="No"/>
    <x v="1"/>
    <n v="22.57"/>
    <n v="1094.94"/>
    <s v="Peshawar"/>
    <s v="No"/>
    <n v="0"/>
  </r>
  <r>
    <s v="CUST-00321"/>
    <n v="71"/>
    <s v="Yes"/>
    <s v="Yes"/>
    <s v="No"/>
    <x v="58"/>
    <s v="Yes"/>
    <s v="No"/>
    <x v="0"/>
    <x v="2"/>
    <s v="No"/>
    <x v="3"/>
    <n v="70.27"/>
    <n v="1301.8399999999999"/>
    <s v="Faisalabad"/>
    <s v="Yes"/>
    <n v="1"/>
  </r>
  <r>
    <s v="CUST-00322"/>
    <n v="25"/>
    <s v="No"/>
    <s v="Yes"/>
    <s v="No"/>
    <x v="20"/>
    <s v="No"/>
    <s v="No phone service"/>
    <x v="1"/>
    <x v="2"/>
    <s v="Yes"/>
    <x v="3"/>
    <n v="66.06"/>
    <n v="1730.89"/>
    <s v="Rawalpindi"/>
    <s v="No"/>
    <n v="0"/>
  </r>
  <r>
    <s v="CUST-00323"/>
    <n v="54"/>
    <s v="No"/>
    <s v="No"/>
    <s v="No"/>
    <x v="44"/>
    <s v="No"/>
    <s v="No phone service"/>
    <x v="1"/>
    <x v="0"/>
    <s v="No"/>
    <x v="3"/>
    <n v="62.36"/>
    <n v="3174.16"/>
    <s v="Faisalabad"/>
    <s v="No"/>
    <n v="0"/>
  </r>
  <r>
    <s v="CUST-00324"/>
    <n v="40"/>
    <s v="No"/>
    <s v="No"/>
    <s v="Yes"/>
    <x v="34"/>
    <s v="No"/>
    <s v="No phone service"/>
    <x v="1"/>
    <x v="0"/>
    <s v="Yes"/>
    <x v="3"/>
    <n v="60.33"/>
    <n v="998.42"/>
    <s v="Faisalabad"/>
    <s v="No"/>
    <n v="0"/>
  </r>
  <r>
    <s v="CUST-00325"/>
    <n v="62"/>
    <s v="Yes"/>
    <s v="Yes"/>
    <s v="Yes"/>
    <x v="57"/>
    <s v="Yes"/>
    <s v="No"/>
    <x v="2"/>
    <x v="1"/>
    <s v="No"/>
    <x v="2"/>
    <n v="23.22"/>
    <n v="1100.27"/>
    <s v="Lahore"/>
    <s v="No"/>
    <n v="0"/>
  </r>
  <r>
    <s v="CUST-00326"/>
    <n v="56"/>
    <s v="No"/>
    <s v="Yes"/>
    <s v="No"/>
    <x v="27"/>
    <s v="No"/>
    <s v="No phone service"/>
    <x v="1"/>
    <x v="0"/>
    <s v="Yes"/>
    <x v="2"/>
    <n v="72.81"/>
    <n v="3849.86"/>
    <s v="Karachi"/>
    <s v="No"/>
    <n v="0"/>
  </r>
  <r>
    <s v="CUST-00327"/>
    <n v="72"/>
    <s v="Yes"/>
    <s v="No"/>
    <s v="Yes"/>
    <x v="24"/>
    <s v="Yes"/>
    <s v="No"/>
    <x v="1"/>
    <x v="0"/>
    <s v="No"/>
    <x v="3"/>
    <n v="40.01"/>
    <n v="191.83"/>
    <s v="Peshawar"/>
    <s v="No"/>
    <n v="0"/>
  </r>
  <r>
    <s v="CUST-00328"/>
    <n v="43"/>
    <s v="No"/>
    <s v="No"/>
    <s v="No"/>
    <x v="27"/>
    <s v="Yes"/>
    <s v="No"/>
    <x v="1"/>
    <x v="2"/>
    <s v="Yes"/>
    <x v="0"/>
    <n v="69.05"/>
    <n v="3616.07"/>
    <s v="Islamabad"/>
    <s v="No"/>
    <n v="0"/>
  </r>
  <r>
    <s v="CUST-00329"/>
    <n v="70"/>
    <s v="Yes"/>
    <s v="No"/>
    <s v="Yes"/>
    <x v="3"/>
    <s v="No"/>
    <s v="No phone service"/>
    <x v="1"/>
    <x v="0"/>
    <s v="No"/>
    <x v="3"/>
    <n v="60.25"/>
    <n v="1516.85"/>
    <s v="Islamabad"/>
    <s v="No"/>
    <n v="0"/>
  </r>
  <r>
    <s v="CUST-00330"/>
    <n v="25"/>
    <s v="No"/>
    <s v="No"/>
    <s v="No"/>
    <x v="71"/>
    <s v="No"/>
    <s v="No phone service"/>
    <x v="2"/>
    <x v="0"/>
    <s v="No"/>
    <x v="2"/>
    <n v="23.51"/>
    <n v="1333.75"/>
    <s v="Lahore"/>
    <s v="No"/>
    <n v="0"/>
  </r>
  <r>
    <s v="CUST-00331"/>
    <n v="48"/>
    <s v="No"/>
    <s v="Yes"/>
    <s v="No"/>
    <x v="25"/>
    <s v="Yes"/>
    <s v="No"/>
    <x v="0"/>
    <x v="2"/>
    <s v="No"/>
    <x v="0"/>
    <n v="87.65"/>
    <n v="792.22"/>
    <s v="Islamabad"/>
    <s v="No"/>
    <n v="0"/>
  </r>
  <r>
    <s v="CUST-00332"/>
    <n v="33"/>
    <s v="No"/>
    <s v="No"/>
    <s v="Yes"/>
    <x v="27"/>
    <s v="No"/>
    <s v="No phone service"/>
    <x v="1"/>
    <x v="2"/>
    <s v="Yes"/>
    <x v="0"/>
    <n v="54.14"/>
    <n v="2948.49"/>
    <s v="Multan"/>
    <s v="Yes"/>
    <n v="1"/>
  </r>
  <r>
    <s v="CUST-00333"/>
    <n v="61"/>
    <s v="Yes"/>
    <s v="Yes"/>
    <s v="No"/>
    <x v="69"/>
    <s v="Yes"/>
    <s v="No"/>
    <x v="0"/>
    <x v="2"/>
    <s v="Yes"/>
    <x v="1"/>
    <n v="111.82"/>
    <n v="2857.09"/>
    <s v="Lahore"/>
    <s v="No"/>
    <n v="0"/>
  </r>
  <r>
    <s v="CUST-00334"/>
    <n v="23"/>
    <s v="No"/>
    <s v="No"/>
    <s v="Yes"/>
    <x v="14"/>
    <s v="No"/>
    <s v="No phone service"/>
    <x v="2"/>
    <x v="2"/>
    <s v="No"/>
    <x v="0"/>
    <n v="29.82"/>
    <n v="2186.84"/>
    <s v="Rawalpindi"/>
    <s v="No"/>
    <n v="0"/>
  </r>
  <r>
    <s v="CUST-00335"/>
    <n v="29"/>
    <s v="No"/>
    <s v="No"/>
    <s v="No"/>
    <x v="1"/>
    <s v="Yes"/>
    <s v="Yes"/>
    <x v="1"/>
    <x v="0"/>
    <s v="No"/>
    <x v="2"/>
    <n v="41.3"/>
    <n v="1175.75"/>
    <s v="Peshawar"/>
    <s v="No"/>
    <n v="0"/>
  </r>
  <r>
    <s v="CUST-00336"/>
    <n v="29"/>
    <s v="No"/>
    <s v="No"/>
    <s v="Yes"/>
    <x v="40"/>
    <s v="Yes"/>
    <s v="Yes"/>
    <x v="1"/>
    <x v="2"/>
    <s v="Yes"/>
    <x v="3"/>
    <n v="64.510000000000005"/>
    <n v="4197.54"/>
    <s v="Karachi"/>
    <s v="No"/>
    <n v="0"/>
  </r>
  <r>
    <s v="CUST-00337"/>
    <n v="35"/>
    <s v="No"/>
    <s v="No"/>
    <s v="No"/>
    <x v="53"/>
    <s v="No"/>
    <s v="No phone service"/>
    <x v="0"/>
    <x v="2"/>
    <s v="No"/>
    <x v="0"/>
    <n v="90.03"/>
    <n v="4206.3900000000003"/>
    <s v="Faisalabad"/>
    <s v="No"/>
    <n v="0"/>
  </r>
  <r>
    <s v="CUST-00338"/>
    <n v="61"/>
    <s v="Yes"/>
    <s v="Yes"/>
    <s v="Yes"/>
    <x v="61"/>
    <s v="No"/>
    <s v="No phone service"/>
    <x v="2"/>
    <x v="1"/>
    <s v="Yes"/>
    <x v="3"/>
    <n v="29.51"/>
    <n v="989.41"/>
    <s v="Karachi"/>
    <s v="No"/>
    <n v="0"/>
  </r>
  <r>
    <s v="CUST-00339"/>
    <n v="44"/>
    <s v="No"/>
    <s v="No"/>
    <s v="Yes"/>
    <x v="40"/>
    <s v="No"/>
    <s v="No phone service"/>
    <x v="1"/>
    <x v="0"/>
    <s v="No"/>
    <x v="3"/>
    <n v="74.34"/>
    <n v="4710.45"/>
    <s v="Karachi"/>
    <s v="Yes"/>
    <n v="1"/>
  </r>
  <r>
    <s v="CUST-00340"/>
    <n v="21"/>
    <s v="No"/>
    <s v="Yes"/>
    <s v="No"/>
    <x v="12"/>
    <s v="Yes"/>
    <s v="No"/>
    <x v="2"/>
    <x v="2"/>
    <s v="No"/>
    <x v="0"/>
    <n v="24.69"/>
    <n v="1562.12"/>
    <s v="Rawalpindi"/>
    <s v="No"/>
    <n v="0"/>
  </r>
  <r>
    <s v="CUST-00341"/>
    <n v="25"/>
    <s v="No"/>
    <s v="No"/>
    <s v="Yes"/>
    <x v="8"/>
    <s v="No"/>
    <s v="No phone service"/>
    <x v="0"/>
    <x v="2"/>
    <s v="No"/>
    <x v="1"/>
    <n v="92.35"/>
    <n v="6049.78"/>
    <s v="Rawalpindi"/>
    <s v="No"/>
    <n v="0"/>
  </r>
  <r>
    <s v="CUST-00342"/>
    <n v="58"/>
    <s v="No"/>
    <s v="Yes"/>
    <s v="Yes"/>
    <x v="13"/>
    <s v="No"/>
    <s v="No phone service"/>
    <x v="0"/>
    <x v="1"/>
    <s v="Yes"/>
    <x v="3"/>
    <n v="87.18"/>
    <n v="3750.06"/>
    <s v="Multan"/>
    <s v="No"/>
    <n v="0"/>
  </r>
  <r>
    <s v="CUST-00343"/>
    <n v="35"/>
    <s v="No"/>
    <s v="No"/>
    <s v="No"/>
    <x v="71"/>
    <s v="No"/>
    <s v="No phone service"/>
    <x v="1"/>
    <x v="0"/>
    <s v="No"/>
    <x v="0"/>
    <n v="47.36"/>
    <n v="2545.0300000000002"/>
    <s v="Multan"/>
    <s v="No"/>
    <n v="0"/>
  </r>
  <r>
    <s v="CUST-00344"/>
    <n v="34"/>
    <s v="No"/>
    <s v="Yes"/>
    <s v="Yes"/>
    <x v="51"/>
    <s v="Yes"/>
    <s v="Yes"/>
    <x v="0"/>
    <x v="1"/>
    <s v="Yes"/>
    <x v="3"/>
    <n v="89.85"/>
    <n v="2039.56"/>
    <s v="Islamabad"/>
    <s v="Yes"/>
    <n v="1"/>
  </r>
  <r>
    <s v="CUST-00345"/>
    <n v="57"/>
    <s v="No"/>
    <s v="Yes"/>
    <s v="Yes"/>
    <x v="57"/>
    <s v="Yes"/>
    <s v="No"/>
    <x v="0"/>
    <x v="2"/>
    <s v="Yes"/>
    <x v="3"/>
    <n v="111.93"/>
    <n v="5279.9"/>
    <s v="Peshawar"/>
    <s v="No"/>
    <n v="0"/>
  </r>
  <r>
    <s v="CUST-00346"/>
    <n v="38"/>
    <s v="No"/>
    <s v="No"/>
    <s v="No"/>
    <x v="14"/>
    <s v="No"/>
    <s v="No phone service"/>
    <x v="2"/>
    <x v="2"/>
    <s v="Yes"/>
    <x v="0"/>
    <n v="23.48"/>
    <n v="1692.69"/>
    <s v="Rawalpindi"/>
    <s v="No"/>
    <n v="0"/>
  </r>
  <r>
    <s v="CUST-00347"/>
    <n v="51"/>
    <s v="No"/>
    <s v="No"/>
    <s v="No"/>
    <x v="48"/>
    <s v="Yes"/>
    <s v="No"/>
    <x v="1"/>
    <x v="2"/>
    <s v="No"/>
    <x v="3"/>
    <n v="40.42"/>
    <n v="2513.0500000000002"/>
    <s v="Karachi"/>
    <s v="No"/>
    <n v="0"/>
  </r>
  <r>
    <s v="CUST-00348"/>
    <n v="40"/>
    <s v="No"/>
    <s v="No"/>
    <s v="No"/>
    <x v="8"/>
    <s v="No"/>
    <s v="No phone service"/>
    <x v="0"/>
    <x v="1"/>
    <s v="No"/>
    <x v="3"/>
    <n v="108.29"/>
    <n v="7739.18"/>
    <s v="Peshawar"/>
    <s v="No"/>
    <n v="0"/>
  </r>
  <r>
    <s v="CUST-00349"/>
    <n v="18"/>
    <s v="No"/>
    <s v="No"/>
    <s v="Yes"/>
    <x v="67"/>
    <s v="No"/>
    <s v="No phone service"/>
    <x v="2"/>
    <x v="2"/>
    <s v="Yes"/>
    <x v="1"/>
    <n v="25.75"/>
    <n v="1418.54"/>
    <s v="Lahore"/>
    <s v="Yes"/>
    <n v="1"/>
  </r>
  <r>
    <s v="CUST-00350"/>
    <n v="45"/>
    <s v="No"/>
    <s v="Yes"/>
    <s v="No"/>
    <x v="28"/>
    <s v="No"/>
    <s v="No phone service"/>
    <x v="1"/>
    <x v="2"/>
    <s v="Yes"/>
    <x v="3"/>
    <n v="51.58"/>
    <n v="1939.81"/>
    <s v="Islamabad"/>
    <s v="No"/>
    <n v="0"/>
  </r>
  <r>
    <s v="CUST-00351"/>
    <n v="62"/>
    <s v="Yes"/>
    <s v="No"/>
    <s v="Yes"/>
    <x v="64"/>
    <s v="Yes"/>
    <s v="No"/>
    <x v="0"/>
    <x v="2"/>
    <s v="Yes"/>
    <x v="3"/>
    <n v="76.25"/>
    <n v="3178.83"/>
    <s v="Lahore"/>
    <s v="Yes"/>
    <n v="1"/>
  </r>
  <r>
    <s v="CUST-00352"/>
    <n v="27"/>
    <s v="No"/>
    <s v="Yes"/>
    <s v="No"/>
    <x v="10"/>
    <s v="No"/>
    <s v="No phone service"/>
    <x v="0"/>
    <x v="0"/>
    <s v="No"/>
    <x v="2"/>
    <n v="93.18"/>
    <n v="2700.28"/>
    <s v="Peshawar"/>
    <s v="No"/>
    <n v="0"/>
  </r>
  <r>
    <s v="CUST-00353"/>
    <n v="66"/>
    <s v="Yes"/>
    <s v="Yes"/>
    <s v="Yes"/>
    <x v="61"/>
    <s v="Yes"/>
    <s v="No"/>
    <x v="1"/>
    <x v="2"/>
    <s v="No"/>
    <x v="1"/>
    <n v="73.13"/>
    <n v="2443.44"/>
    <s v="Karachi"/>
    <s v="No"/>
    <n v="0"/>
  </r>
  <r>
    <s v="CUST-00354"/>
    <n v="42"/>
    <s v="No"/>
    <s v="No"/>
    <s v="Yes"/>
    <x v="24"/>
    <s v="Yes"/>
    <s v="No"/>
    <x v="0"/>
    <x v="1"/>
    <s v="No"/>
    <x v="0"/>
    <n v="118.06"/>
    <n v="621.20000000000005"/>
    <s v="Multan"/>
    <s v="Yes"/>
    <n v="1"/>
  </r>
  <r>
    <s v="CUST-00355"/>
    <n v="20"/>
    <s v="No"/>
    <s v="Yes"/>
    <s v="No"/>
    <x v="48"/>
    <s v="Yes"/>
    <s v="No"/>
    <x v="1"/>
    <x v="2"/>
    <s v="Yes"/>
    <x v="2"/>
    <n v="49.44"/>
    <n v="3041.06"/>
    <s v="Peshawar"/>
    <s v="Yes"/>
    <n v="1"/>
  </r>
  <r>
    <s v="CUST-00356"/>
    <n v="35"/>
    <s v="No"/>
    <s v="Yes"/>
    <s v="No"/>
    <x v="36"/>
    <s v="Yes"/>
    <s v="No"/>
    <x v="0"/>
    <x v="0"/>
    <s v="Yes"/>
    <x v="0"/>
    <n v="74.47"/>
    <n v="2285.15"/>
    <s v="Faisalabad"/>
    <s v="Yes"/>
    <n v="1"/>
  </r>
  <r>
    <s v="CUST-00357"/>
    <n v="39"/>
    <s v="No"/>
    <s v="Yes"/>
    <s v="Yes"/>
    <x v="4"/>
    <s v="Yes"/>
    <s v="Yes"/>
    <x v="1"/>
    <x v="2"/>
    <s v="No"/>
    <x v="1"/>
    <n v="57.55"/>
    <n v="2549.7600000000002"/>
    <s v="Islamabad"/>
    <s v="No"/>
    <n v="0"/>
  </r>
  <r>
    <s v="CUST-00358"/>
    <n v="64"/>
    <s v="Yes"/>
    <s v="Yes"/>
    <s v="No"/>
    <x v="42"/>
    <s v="No"/>
    <s v="No phone service"/>
    <x v="1"/>
    <x v="0"/>
    <s v="No"/>
    <x v="3"/>
    <n v="47.47"/>
    <n v="279.61"/>
    <s v="Islamabad"/>
    <s v="No"/>
    <n v="0"/>
  </r>
  <r>
    <s v="CUST-00359"/>
    <n v="73"/>
    <s v="Yes"/>
    <s v="Yes"/>
    <s v="Yes"/>
    <x v="19"/>
    <s v="No"/>
    <s v="No phone service"/>
    <x v="0"/>
    <x v="1"/>
    <s v="No"/>
    <x v="0"/>
    <n v="108.8"/>
    <n v="7403.69"/>
    <s v="Lahore"/>
    <s v="No"/>
    <n v="0"/>
  </r>
  <r>
    <s v="CUST-00360"/>
    <n v="57"/>
    <s v="No"/>
    <s v="No"/>
    <s v="Yes"/>
    <x v="64"/>
    <s v="No"/>
    <s v="No phone service"/>
    <x v="1"/>
    <x v="2"/>
    <s v="No"/>
    <x v="1"/>
    <n v="46.17"/>
    <n v="1888.67"/>
    <s v="Islamabad"/>
    <s v="No"/>
    <n v="0"/>
  </r>
  <r>
    <s v="CUST-00361"/>
    <n v="25"/>
    <s v="No"/>
    <s v="Yes"/>
    <s v="Yes"/>
    <x v="42"/>
    <s v="Yes"/>
    <s v="Yes"/>
    <x v="2"/>
    <x v="2"/>
    <s v="Yes"/>
    <x v="0"/>
    <n v="19.190000000000001"/>
    <n v="116.12"/>
    <s v="Multan"/>
    <s v="No"/>
    <n v="0"/>
  </r>
  <r>
    <s v="CUST-00362"/>
    <n v="49"/>
    <s v="No"/>
    <s v="No"/>
    <s v="Yes"/>
    <x v="53"/>
    <s v="Yes"/>
    <s v="Yes"/>
    <x v="0"/>
    <x v="1"/>
    <s v="No"/>
    <x v="2"/>
    <n v="111.6"/>
    <n v="5225.1000000000004"/>
    <s v="Islamabad"/>
    <s v="No"/>
    <n v="0"/>
  </r>
  <r>
    <s v="CUST-00363"/>
    <n v="53"/>
    <s v="No"/>
    <s v="No"/>
    <s v="No"/>
    <x v="5"/>
    <s v="No"/>
    <s v="No phone service"/>
    <x v="2"/>
    <x v="2"/>
    <s v="Yes"/>
    <x v="1"/>
    <n v="18.940000000000001"/>
    <n v="146.35"/>
    <s v="Lahore"/>
    <s v="No"/>
    <n v="0"/>
  </r>
  <r>
    <s v="CUST-00364"/>
    <n v="64"/>
    <s v="Yes"/>
    <s v="Yes"/>
    <s v="No"/>
    <x v="3"/>
    <s v="Yes"/>
    <s v="No"/>
    <x v="0"/>
    <x v="1"/>
    <s v="No"/>
    <x v="1"/>
    <n v="108.31"/>
    <n v="2732.63"/>
    <s v="Multan"/>
    <s v="No"/>
    <n v="0"/>
  </r>
  <r>
    <s v="CUST-00365"/>
    <n v="60"/>
    <s v="Yes"/>
    <s v="No"/>
    <s v="Yes"/>
    <x v="51"/>
    <s v="No"/>
    <s v="No phone service"/>
    <x v="1"/>
    <x v="2"/>
    <s v="Yes"/>
    <x v="0"/>
    <n v="64"/>
    <n v="1481.25"/>
    <s v="Faisalabad"/>
    <s v="No"/>
    <n v="0"/>
  </r>
  <r>
    <s v="CUST-00366"/>
    <n v="38"/>
    <s v="No"/>
    <s v="No"/>
    <s v="No"/>
    <x v="68"/>
    <s v="No"/>
    <s v="No phone service"/>
    <x v="2"/>
    <x v="0"/>
    <s v="Yes"/>
    <x v="0"/>
    <n v="24.6"/>
    <n v="1418.03"/>
    <s v="Rawalpindi"/>
    <s v="No"/>
    <n v="0"/>
  </r>
  <r>
    <s v="CUST-00367"/>
    <n v="46"/>
    <s v="No"/>
    <s v="No"/>
    <s v="Yes"/>
    <x v="24"/>
    <s v="Yes"/>
    <s v="No"/>
    <x v="2"/>
    <x v="1"/>
    <s v="No"/>
    <x v="3"/>
    <n v="29.81"/>
    <n v="143.94999999999999"/>
    <s v="Peshawar"/>
    <s v="Yes"/>
    <n v="1"/>
  </r>
  <r>
    <s v="CUST-00368"/>
    <n v="70"/>
    <s v="Yes"/>
    <s v="No"/>
    <s v="Yes"/>
    <x v="43"/>
    <s v="No"/>
    <s v="No phone service"/>
    <x v="0"/>
    <x v="2"/>
    <s v="No"/>
    <x v="0"/>
    <n v="99.11"/>
    <n v="1247.1500000000001"/>
    <s v="Lahore"/>
    <s v="No"/>
    <n v="0"/>
  </r>
  <r>
    <s v="CUST-00369"/>
    <n v="54"/>
    <s v="No"/>
    <s v="No"/>
    <s v="Yes"/>
    <x v="18"/>
    <s v="No"/>
    <s v="No phone service"/>
    <x v="1"/>
    <x v="2"/>
    <s v="Yes"/>
    <x v="0"/>
    <n v="52.02"/>
    <n v="534.61"/>
    <s v="Lahore"/>
    <s v="No"/>
    <n v="0"/>
  </r>
  <r>
    <s v="CUST-00370"/>
    <n v="67"/>
    <s v="Yes"/>
    <s v="Yes"/>
    <s v="No"/>
    <x v="62"/>
    <s v="No"/>
    <s v="No phone service"/>
    <x v="2"/>
    <x v="2"/>
    <s v="Yes"/>
    <x v="2"/>
    <n v="20.72"/>
    <n v="949.49"/>
    <s v="Lahore"/>
    <s v="No"/>
    <n v="0"/>
  </r>
  <r>
    <s v="CUST-00371"/>
    <n v="58"/>
    <s v="No"/>
    <s v="No"/>
    <s v="Yes"/>
    <x v="70"/>
    <s v="No"/>
    <s v="No phone service"/>
    <x v="1"/>
    <x v="2"/>
    <s v="Yes"/>
    <x v="3"/>
    <n v="67.91"/>
    <n v="2603.35"/>
    <s v="Rawalpindi"/>
    <s v="No"/>
    <n v="0"/>
  </r>
  <r>
    <s v="CUST-00372"/>
    <n v="46"/>
    <s v="No"/>
    <s v="Yes"/>
    <s v="Yes"/>
    <x v="68"/>
    <s v="No"/>
    <s v="No phone service"/>
    <x v="0"/>
    <x v="2"/>
    <s v="No"/>
    <x v="3"/>
    <n v="98.57"/>
    <n v="5221.3900000000003"/>
    <s v="Lahore"/>
    <s v="Yes"/>
    <n v="1"/>
  </r>
  <r>
    <s v="CUST-00373"/>
    <n v="43"/>
    <s v="No"/>
    <s v="No"/>
    <s v="Yes"/>
    <x v="58"/>
    <s v="Yes"/>
    <s v="No"/>
    <x v="1"/>
    <x v="0"/>
    <s v="Yes"/>
    <x v="0"/>
    <n v="79.88"/>
    <n v="1442.02"/>
    <s v="Islamabad"/>
    <s v="No"/>
    <n v="0"/>
  </r>
  <r>
    <s v="CUST-00374"/>
    <n v="67"/>
    <s v="Yes"/>
    <s v="No"/>
    <s v="No"/>
    <x v="2"/>
    <s v="No"/>
    <s v="No phone service"/>
    <x v="0"/>
    <x v="2"/>
    <s v="No"/>
    <x v="3"/>
    <n v="87.23"/>
    <n v="1066.28"/>
    <s v="Karachi"/>
    <s v="No"/>
    <n v="0"/>
  </r>
  <r>
    <s v="CUST-00375"/>
    <n v="40"/>
    <s v="No"/>
    <s v="No"/>
    <s v="Yes"/>
    <x v="71"/>
    <s v="Yes"/>
    <s v="Yes"/>
    <x v="0"/>
    <x v="2"/>
    <s v="Yes"/>
    <x v="3"/>
    <n v="72.73"/>
    <n v="4368.95"/>
    <s v="Peshawar"/>
    <s v="No"/>
    <n v="0"/>
  </r>
  <r>
    <s v="CUST-00376"/>
    <n v="71"/>
    <s v="Yes"/>
    <s v="No"/>
    <s v="Yes"/>
    <x v="13"/>
    <s v="Yes"/>
    <s v="Yes"/>
    <x v="1"/>
    <x v="2"/>
    <s v="No"/>
    <x v="3"/>
    <n v="61.52"/>
    <n v="2610.67"/>
    <s v="Islamabad"/>
    <s v="No"/>
    <n v="0"/>
  </r>
  <r>
    <s v="CUST-00377"/>
    <n v="53"/>
    <s v="No"/>
    <s v="No"/>
    <s v="Yes"/>
    <x v="47"/>
    <s v="Yes"/>
    <s v="Yes"/>
    <x v="0"/>
    <x v="2"/>
    <s v="Yes"/>
    <x v="1"/>
    <n v="100.9"/>
    <n v="286.47000000000003"/>
    <s v="Lahore"/>
    <s v="No"/>
    <n v="0"/>
  </r>
  <r>
    <s v="CUST-00378"/>
    <n v="22"/>
    <s v="No"/>
    <s v="No"/>
    <s v="No"/>
    <x v="53"/>
    <s v="Yes"/>
    <s v="Yes"/>
    <x v="2"/>
    <x v="1"/>
    <s v="No"/>
    <x v="3"/>
    <n v="22.57"/>
    <n v="1121.46"/>
    <s v="Islamabad"/>
    <s v="Yes"/>
    <n v="1"/>
  </r>
  <r>
    <s v="CUST-00379"/>
    <n v="49"/>
    <s v="No"/>
    <s v="Yes"/>
    <s v="Yes"/>
    <x v="69"/>
    <s v="No"/>
    <s v="No phone service"/>
    <x v="1"/>
    <x v="0"/>
    <s v="Yes"/>
    <x v="3"/>
    <n v="76.89"/>
    <n v="1952.34"/>
    <s v="Multan"/>
    <s v="No"/>
    <n v="0"/>
  </r>
  <r>
    <s v="CUST-00380"/>
    <n v="28"/>
    <s v="No"/>
    <s v="Yes"/>
    <s v="No"/>
    <x v="4"/>
    <s v="No"/>
    <s v="No phone service"/>
    <x v="0"/>
    <x v="2"/>
    <s v="No"/>
    <x v="1"/>
    <n v="101.29"/>
    <n v="4871.07"/>
    <s v="Peshawar"/>
    <s v="No"/>
    <n v="0"/>
  </r>
  <r>
    <s v="CUST-00381"/>
    <n v="19"/>
    <s v="No"/>
    <s v="No"/>
    <s v="Yes"/>
    <x v="56"/>
    <s v="No"/>
    <s v="No phone service"/>
    <x v="0"/>
    <x v="0"/>
    <s v="Yes"/>
    <x v="1"/>
    <n v="96.04"/>
    <n v="1961.83"/>
    <s v="Multan"/>
    <s v="No"/>
    <n v="0"/>
  </r>
  <r>
    <s v="CUST-00382"/>
    <n v="32"/>
    <s v="No"/>
    <s v="No"/>
    <s v="Yes"/>
    <x v="56"/>
    <s v="No"/>
    <s v="No phone service"/>
    <x v="0"/>
    <x v="1"/>
    <s v="No"/>
    <x v="0"/>
    <n v="76.59"/>
    <n v="1559.83"/>
    <s v="Multan"/>
    <s v="No"/>
    <n v="0"/>
  </r>
  <r>
    <s v="CUST-00383"/>
    <n v="69"/>
    <s v="Yes"/>
    <s v="Yes"/>
    <s v="Yes"/>
    <x v="70"/>
    <s v="Yes"/>
    <s v="No"/>
    <x v="1"/>
    <x v="1"/>
    <s v="Yes"/>
    <x v="1"/>
    <n v="62.59"/>
    <n v="2400.87"/>
    <s v="Faisalabad"/>
    <s v="Yes"/>
    <n v="1"/>
  </r>
  <r>
    <s v="CUST-00384"/>
    <n v="64"/>
    <s v="Yes"/>
    <s v="Yes"/>
    <s v="Yes"/>
    <x v="52"/>
    <s v="Yes"/>
    <s v="No"/>
    <x v="2"/>
    <x v="0"/>
    <s v="No"/>
    <x v="2"/>
    <n v="21.64"/>
    <n v="913.39"/>
    <s v="Multan"/>
    <s v="No"/>
    <n v="0"/>
  </r>
  <r>
    <s v="CUST-00385"/>
    <n v="65"/>
    <s v="Yes"/>
    <s v="No"/>
    <s v="Yes"/>
    <x v="3"/>
    <s v="Yes"/>
    <s v="Yes"/>
    <x v="0"/>
    <x v="1"/>
    <s v="No"/>
    <x v="1"/>
    <n v="100.62"/>
    <n v="2544.59"/>
    <s v="Lahore"/>
    <s v="Yes"/>
    <n v="1"/>
  </r>
  <r>
    <s v="CUST-00386"/>
    <n v="40"/>
    <s v="No"/>
    <s v="Yes"/>
    <s v="No"/>
    <x v="58"/>
    <s v="No"/>
    <s v="No phone service"/>
    <x v="1"/>
    <x v="0"/>
    <s v="No"/>
    <x v="3"/>
    <n v="55.5"/>
    <n v="995.86"/>
    <s v="Karachi"/>
    <s v="Yes"/>
    <n v="1"/>
  </r>
  <r>
    <s v="CUST-00387"/>
    <n v="20"/>
    <s v="No"/>
    <s v="No"/>
    <s v="Yes"/>
    <x v="61"/>
    <s v="Yes"/>
    <s v="No"/>
    <x v="2"/>
    <x v="1"/>
    <s v="Yes"/>
    <x v="3"/>
    <n v="29.13"/>
    <n v="1078.96"/>
    <s v="Rawalpindi"/>
    <s v="No"/>
    <n v="0"/>
  </r>
  <r>
    <s v="CUST-00388"/>
    <n v="62"/>
    <s v="Yes"/>
    <s v="No"/>
    <s v="No"/>
    <x v="36"/>
    <s v="Yes"/>
    <s v="No"/>
    <x v="0"/>
    <x v="1"/>
    <s v="No"/>
    <x v="0"/>
    <n v="116.96"/>
    <n v="3775.03"/>
    <s v="Multan"/>
    <s v="No"/>
    <n v="0"/>
  </r>
  <r>
    <s v="CUST-00389"/>
    <n v="74"/>
    <s v="Yes"/>
    <s v="Yes"/>
    <s v="Yes"/>
    <x v="37"/>
    <s v="Yes"/>
    <s v="No"/>
    <x v="1"/>
    <x v="2"/>
    <s v="No"/>
    <x v="2"/>
    <n v="41.57"/>
    <n v="2378.48"/>
    <s v="Lahore"/>
    <s v="No"/>
    <n v="0"/>
  </r>
  <r>
    <s v="CUST-00390"/>
    <n v="30"/>
    <s v="No"/>
    <s v="No"/>
    <s v="No"/>
    <x v="44"/>
    <s v="No"/>
    <s v="No phone service"/>
    <x v="2"/>
    <x v="2"/>
    <s v="No"/>
    <x v="3"/>
    <n v="29.03"/>
    <n v="1514.28"/>
    <s v="Rawalpindi"/>
    <s v="No"/>
    <n v="0"/>
  </r>
  <r>
    <s v="CUST-00391"/>
    <n v="71"/>
    <s v="Yes"/>
    <s v="No"/>
    <s v="Yes"/>
    <x v="30"/>
    <s v="Yes"/>
    <s v="No"/>
    <x v="0"/>
    <x v="2"/>
    <s v="Yes"/>
    <x v="3"/>
    <n v="99.52"/>
    <n v="6633.86"/>
    <s v="Rawalpindi"/>
    <s v="Yes"/>
    <n v="1"/>
  </r>
  <r>
    <s v="CUST-00392"/>
    <n v="23"/>
    <s v="No"/>
    <s v="No"/>
    <s v="No"/>
    <x v="50"/>
    <s v="Yes"/>
    <s v="Yes"/>
    <x v="1"/>
    <x v="0"/>
    <s v="No"/>
    <x v="3"/>
    <n v="68.290000000000006"/>
    <n v="1473.13"/>
    <s v="Faisalabad"/>
    <s v="No"/>
    <n v="0"/>
  </r>
  <r>
    <s v="CUST-00393"/>
    <n v="28"/>
    <s v="No"/>
    <s v="No"/>
    <s v="No"/>
    <x v="42"/>
    <s v="No"/>
    <s v="No phone service"/>
    <x v="1"/>
    <x v="0"/>
    <s v="Yes"/>
    <x v="3"/>
    <n v="45.78"/>
    <n v="283.55"/>
    <s v="Islamabad"/>
    <s v="Yes"/>
    <n v="1"/>
  </r>
  <r>
    <s v="CUST-00394"/>
    <n v="37"/>
    <s v="No"/>
    <s v="No"/>
    <s v="No"/>
    <x v="66"/>
    <s v="Yes"/>
    <s v="No"/>
    <x v="0"/>
    <x v="2"/>
    <s v="No"/>
    <x v="3"/>
    <n v="94.88"/>
    <n v="2276.75"/>
    <s v="Faisalabad"/>
    <s v="No"/>
    <n v="0"/>
  </r>
  <r>
    <s v="CUST-00395"/>
    <n v="74"/>
    <s v="Yes"/>
    <s v="No"/>
    <s v="Yes"/>
    <x v="10"/>
    <s v="No"/>
    <s v="No phone service"/>
    <x v="1"/>
    <x v="2"/>
    <s v="No"/>
    <x v="3"/>
    <n v="64"/>
    <n v="1737.1"/>
    <s v="Faisalabad"/>
    <s v="No"/>
    <n v="0"/>
  </r>
  <r>
    <s v="CUST-00396"/>
    <n v="58"/>
    <s v="No"/>
    <s v="Yes"/>
    <s v="Yes"/>
    <x v="66"/>
    <s v="No"/>
    <s v="No phone service"/>
    <x v="0"/>
    <x v="2"/>
    <s v="Yes"/>
    <x v="1"/>
    <n v="111.9"/>
    <n v="2620.64"/>
    <s v="Lahore"/>
    <s v="No"/>
    <n v="0"/>
  </r>
  <r>
    <s v="CUST-00397"/>
    <n v="24"/>
    <s v="No"/>
    <s v="No"/>
    <s v="Yes"/>
    <x v="50"/>
    <s v="Yes"/>
    <s v="No"/>
    <x v="1"/>
    <x v="0"/>
    <s v="No"/>
    <x v="2"/>
    <n v="43.73"/>
    <n v="896.21"/>
    <s v="Rawalpindi"/>
    <s v="No"/>
    <n v="0"/>
  </r>
  <r>
    <s v="CUST-00398"/>
    <n v="70"/>
    <s v="Yes"/>
    <s v="Yes"/>
    <s v="No"/>
    <x v="60"/>
    <s v="No"/>
    <s v="No phone service"/>
    <x v="0"/>
    <x v="2"/>
    <s v="No"/>
    <x v="3"/>
    <n v="90.69"/>
    <n v="6214.79"/>
    <s v="Lahore"/>
    <s v="Yes"/>
    <n v="1"/>
  </r>
  <r>
    <s v="CUST-00399"/>
    <n v="24"/>
    <s v="No"/>
    <s v="Yes"/>
    <s v="No"/>
    <x v="28"/>
    <s v="No"/>
    <s v="No phone service"/>
    <x v="0"/>
    <x v="2"/>
    <s v="No"/>
    <x v="2"/>
    <n v="100.71"/>
    <n v="3724.66"/>
    <s v="Rawalpindi"/>
    <s v="No"/>
    <n v="0"/>
  </r>
  <r>
    <s v="CUST-00400"/>
    <n v="49"/>
    <s v="No"/>
    <s v="Yes"/>
    <s v="Yes"/>
    <x v="41"/>
    <s v="Yes"/>
    <s v="Yes"/>
    <x v="2"/>
    <x v="2"/>
    <s v="Yes"/>
    <x v="1"/>
    <n v="20.49"/>
    <n v="789.39"/>
    <s v="Lahore"/>
    <s v="No"/>
    <n v="0"/>
  </r>
  <r>
    <s v="CUST-00401"/>
    <n v="39"/>
    <s v="No"/>
    <s v="No"/>
    <s v="Yes"/>
    <x v="65"/>
    <s v="No"/>
    <s v="No phone service"/>
    <x v="1"/>
    <x v="2"/>
    <s v="Yes"/>
    <x v="3"/>
    <n v="60.27"/>
    <n v="117.99"/>
    <s v="Multan"/>
    <s v="Yes"/>
    <n v="1"/>
  </r>
  <r>
    <s v="CUST-00402"/>
    <n v="39"/>
    <s v="No"/>
    <s v="No"/>
    <s v="No"/>
    <x v="39"/>
    <s v="Yes"/>
    <s v="Yes"/>
    <x v="2"/>
    <x v="2"/>
    <s v="No"/>
    <x v="2"/>
    <n v="27.57"/>
    <n v="112.21"/>
    <s v="Multan"/>
    <s v="Yes"/>
    <n v="1"/>
  </r>
  <r>
    <s v="CUST-00403"/>
    <n v="47"/>
    <s v="No"/>
    <s v="No"/>
    <s v="No"/>
    <x v="67"/>
    <s v="Yes"/>
    <s v="No"/>
    <x v="2"/>
    <x v="2"/>
    <s v="No"/>
    <x v="0"/>
    <n v="18.22"/>
    <n v="974.63"/>
    <s v="Peshawar"/>
    <s v="No"/>
    <n v="0"/>
  </r>
  <r>
    <s v="CUST-00404"/>
    <n v="40"/>
    <s v="No"/>
    <s v="Yes"/>
    <s v="Yes"/>
    <x v="0"/>
    <s v="No"/>
    <s v="No phone service"/>
    <x v="2"/>
    <x v="1"/>
    <s v="Yes"/>
    <x v="0"/>
    <n v="22.67"/>
    <n v="825.44"/>
    <s v="Peshawar"/>
    <s v="No"/>
    <n v="0"/>
  </r>
  <r>
    <s v="CUST-00405"/>
    <n v="37"/>
    <s v="No"/>
    <s v="No"/>
    <s v="Yes"/>
    <x v="61"/>
    <s v="No"/>
    <s v="No phone service"/>
    <x v="0"/>
    <x v="1"/>
    <s v="No"/>
    <x v="0"/>
    <n v="117.54"/>
    <n v="3973.77"/>
    <s v="Lahore"/>
    <s v="No"/>
    <n v="0"/>
  </r>
  <r>
    <s v="CUST-00406"/>
    <n v="41"/>
    <s v="No"/>
    <s v="Yes"/>
    <s v="Yes"/>
    <x v="2"/>
    <s v="Yes"/>
    <s v="No"/>
    <x v="0"/>
    <x v="1"/>
    <s v="Yes"/>
    <x v="3"/>
    <n v="116.18"/>
    <n v="1433.05"/>
    <s v="Peshawar"/>
    <s v="No"/>
    <n v="0"/>
  </r>
  <r>
    <s v="CUST-00407"/>
    <n v="38"/>
    <s v="No"/>
    <s v="Yes"/>
    <s v="Yes"/>
    <x v="40"/>
    <s v="Yes"/>
    <s v="Yes"/>
    <x v="1"/>
    <x v="2"/>
    <s v="No"/>
    <x v="1"/>
    <n v="60.89"/>
    <n v="3836.86"/>
    <s v="Multan"/>
    <s v="No"/>
    <n v="0"/>
  </r>
  <r>
    <s v="CUST-00408"/>
    <n v="72"/>
    <s v="Yes"/>
    <s v="Yes"/>
    <s v="No"/>
    <x v="45"/>
    <s v="Yes"/>
    <s v="No"/>
    <x v="2"/>
    <x v="0"/>
    <s v="No"/>
    <x v="3"/>
    <n v="27.1"/>
    <n v="1653.09"/>
    <s v="Karachi"/>
    <s v="Yes"/>
    <n v="1"/>
  </r>
  <r>
    <s v="CUST-00409"/>
    <n v="30"/>
    <s v="No"/>
    <s v="No"/>
    <s v="No"/>
    <x v="8"/>
    <s v="No"/>
    <s v="No phone service"/>
    <x v="0"/>
    <x v="0"/>
    <s v="No"/>
    <x v="3"/>
    <n v="83.68"/>
    <n v="5438.06"/>
    <s v="Faisalabad"/>
    <s v="No"/>
    <n v="0"/>
  </r>
  <r>
    <s v="CUST-00410"/>
    <n v="24"/>
    <s v="No"/>
    <s v="Yes"/>
    <s v="No"/>
    <x v="60"/>
    <s v="Yes"/>
    <s v="No"/>
    <x v="0"/>
    <x v="1"/>
    <s v="Yes"/>
    <x v="3"/>
    <n v="85.57"/>
    <n v="6361.44"/>
    <s v="Lahore"/>
    <s v="No"/>
    <n v="0"/>
  </r>
  <r>
    <s v="CUST-00411"/>
    <n v="26"/>
    <s v="No"/>
    <s v="Yes"/>
    <s v="No"/>
    <x v="16"/>
    <s v="Yes"/>
    <s v="Yes"/>
    <x v="0"/>
    <x v="2"/>
    <s v="No"/>
    <x v="1"/>
    <n v="85.62"/>
    <n v="622.16999999999996"/>
    <s v="Multan"/>
    <s v="No"/>
    <n v="0"/>
  </r>
  <r>
    <s v="CUST-00412"/>
    <n v="69"/>
    <s v="Yes"/>
    <s v="Yes"/>
    <s v="No"/>
    <x v="49"/>
    <s v="No"/>
    <s v="No phone service"/>
    <x v="0"/>
    <x v="2"/>
    <s v="No"/>
    <x v="1"/>
    <n v="105.51"/>
    <n v="1786.22"/>
    <s v="Karachi"/>
    <s v="Yes"/>
    <n v="1"/>
  </r>
  <r>
    <s v="CUST-00413"/>
    <n v="27"/>
    <s v="No"/>
    <s v="No"/>
    <s v="No"/>
    <x v="44"/>
    <s v="No"/>
    <s v="No phone service"/>
    <x v="0"/>
    <x v="0"/>
    <s v="No"/>
    <x v="0"/>
    <n v="71.510000000000005"/>
    <n v="3636.22"/>
    <s v="Rawalpindi"/>
    <s v="No"/>
    <n v="0"/>
  </r>
  <r>
    <s v="CUST-00414"/>
    <n v="72"/>
    <s v="Yes"/>
    <s v="Yes"/>
    <s v="No"/>
    <x v="62"/>
    <s v="Yes"/>
    <s v="No"/>
    <x v="1"/>
    <x v="2"/>
    <s v="Yes"/>
    <x v="3"/>
    <n v="65.98"/>
    <n v="3073.29"/>
    <s v="Rawalpindi"/>
    <s v="No"/>
    <n v="0"/>
  </r>
  <r>
    <s v="CUST-00415"/>
    <n v="55"/>
    <s v="No"/>
    <s v="No"/>
    <s v="Yes"/>
    <x v="36"/>
    <s v="No"/>
    <s v="No phone service"/>
    <x v="1"/>
    <x v="2"/>
    <s v="No"/>
    <x v="3"/>
    <n v="67.760000000000005"/>
    <n v="2150.4"/>
    <s v="Faisalabad"/>
    <s v="No"/>
    <n v="0"/>
  </r>
  <r>
    <s v="CUST-00416"/>
    <n v="68"/>
    <s v="Yes"/>
    <s v="No"/>
    <s v="Yes"/>
    <x v="23"/>
    <s v="Yes"/>
    <s v="No"/>
    <x v="1"/>
    <x v="0"/>
    <s v="No"/>
    <x v="3"/>
    <n v="63.84"/>
    <n v="1437.55"/>
    <s v="Rawalpindi"/>
    <s v="Yes"/>
    <n v="1"/>
  </r>
  <r>
    <s v="CUST-00417"/>
    <n v="29"/>
    <s v="No"/>
    <s v="No"/>
    <s v="No"/>
    <x v="25"/>
    <s v="No"/>
    <s v="No phone service"/>
    <x v="1"/>
    <x v="2"/>
    <s v="Yes"/>
    <x v="3"/>
    <n v="72.680000000000007"/>
    <n v="684.52"/>
    <s v="Multan"/>
    <s v="No"/>
    <n v="0"/>
  </r>
  <r>
    <s v="CUST-00418"/>
    <n v="69"/>
    <s v="Yes"/>
    <s v="Yes"/>
    <s v="Yes"/>
    <x v="56"/>
    <s v="No"/>
    <s v="No phone service"/>
    <x v="1"/>
    <x v="2"/>
    <s v="No"/>
    <x v="3"/>
    <n v="67.260000000000005"/>
    <n v="1315.59"/>
    <s v="Multan"/>
    <s v="No"/>
    <n v="0"/>
  </r>
  <r>
    <s v="CUST-00419"/>
    <n v="37"/>
    <s v="No"/>
    <s v="No"/>
    <s v="No"/>
    <x v="2"/>
    <s v="No"/>
    <s v="No phone service"/>
    <x v="1"/>
    <x v="1"/>
    <s v="No"/>
    <x v="3"/>
    <n v="76.040000000000006"/>
    <n v="963.71"/>
    <s v="Faisalabad"/>
    <s v="Yes"/>
    <n v="1"/>
  </r>
  <r>
    <s v="CUST-00420"/>
    <n v="70"/>
    <s v="Yes"/>
    <s v="No"/>
    <s v="Yes"/>
    <x v="28"/>
    <s v="Yes"/>
    <s v="No"/>
    <x v="2"/>
    <x v="0"/>
    <s v="No"/>
    <x v="1"/>
    <n v="22.87"/>
    <n v="839.61"/>
    <s v="Karachi"/>
    <s v="No"/>
    <n v="0"/>
  </r>
  <r>
    <s v="CUST-00421"/>
    <n v="48"/>
    <s v="No"/>
    <s v="Yes"/>
    <s v="Yes"/>
    <x v="55"/>
    <s v="No"/>
    <s v="No phone service"/>
    <x v="0"/>
    <x v="1"/>
    <s v="Yes"/>
    <x v="3"/>
    <n v="113.64"/>
    <n v="7814.43"/>
    <s v="Multan"/>
    <s v="Yes"/>
    <n v="1"/>
  </r>
  <r>
    <s v="CUST-00422"/>
    <n v="19"/>
    <s v="No"/>
    <s v="Yes"/>
    <s v="No"/>
    <x v="68"/>
    <s v="Yes"/>
    <s v="Yes"/>
    <x v="2"/>
    <x v="0"/>
    <s v="No"/>
    <x v="2"/>
    <n v="28.72"/>
    <n v="1646.03"/>
    <s v="Faisalabad"/>
    <s v="No"/>
    <n v="0"/>
  </r>
  <r>
    <s v="CUST-00423"/>
    <n v="29"/>
    <s v="No"/>
    <s v="No"/>
    <s v="No"/>
    <x v="60"/>
    <s v="No"/>
    <s v="No phone service"/>
    <x v="2"/>
    <x v="2"/>
    <s v="Yes"/>
    <x v="0"/>
    <n v="18.09"/>
    <n v="1284.1099999999999"/>
    <s v="Multan"/>
    <s v="No"/>
    <n v="0"/>
  </r>
  <r>
    <s v="CUST-00424"/>
    <n v="50"/>
    <s v="No"/>
    <s v="No"/>
    <s v="No"/>
    <x v="14"/>
    <s v="Yes"/>
    <s v="No"/>
    <x v="1"/>
    <x v="0"/>
    <s v="No"/>
    <x v="3"/>
    <n v="59.26"/>
    <n v="4243.03"/>
    <s v="Multan"/>
    <s v="Yes"/>
    <n v="1"/>
  </r>
  <r>
    <s v="CUST-00425"/>
    <n v="51"/>
    <s v="No"/>
    <s v="No"/>
    <s v="No"/>
    <x v="40"/>
    <s v="Yes"/>
    <s v="Yes"/>
    <x v="0"/>
    <x v="0"/>
    <s v="Yes"/>
    <x v="1"/>
    <n v="96.96"/>
    <n v="6558.4"/>
    <s v="Islamabad"/>
    <s v="No"/>
    <n v="0"/>
  </r>
  <r>
    <s v="CUST-00426"/>
    <n v="52"/>
    <s v="No"/>
    <s v="Yes"/>
    <s v="No"/>
    <x v="35"/>
    <s v="No"/>
    <s v="No phone service"/>
    <x v="1"/>
    <x v="0"/>
    <s v="No"/>
    <x v="0"/>
    <n v="78.42"/>
    <n v="4792.3599999999997"/>
    <s v="Lahore"/>
    <s v="No"/>
    <n v="0"/>
  </r>
  <r>
    <s v="CUST-00427"/>
    <n v="62"/>
    <s v="Yes"/>
    <s v="No"/>
    <s v="No"/>
    <x v="5"/>
    <s v="Yes"/>
    <s v="No"/>
    <x v="1"/>
    <x v="0"/>
    <s v="No"/>
    <x v="1"/>
    <n v="64.97"/>
    <n v="506.46"/>
    <s v="Faisalabad"/>
    <s v="Yes"/>
    <n v="1"/>
  </r>
  <r>
    <s v="CUST-00428"/>
    <n v="22"/>
    <s v="No"/>
    <s v="No"/>
    <s v="No"/>
    <x v="49"/>
    <s v="No"/>
    <s v="No phone service"/>
    <x v="1"/>
    <x v="1"/>
    <s v="Yes"/>
    <x v="1"/>
    <n v="64.150000000000006"/>
    <n v="1144.22"/>
    <s v="Multan"/>
    <s v="No"/>
    <n v="0"/>
  </r>
  <r>
    <s v="CUST-00429"/>
    <n v="46"/>
    <s v="No"/>
    <s v="No"/>
    <s v="Yes"/>
    <x v="15"/>
    <s v="Yes"/>
    <s v="No"/>
    <x v="1"/>
    <x v="0"/>
    <s v="Yes"/>
    <x v="3"/>
    <n v="43.38"/>
    <n v="1412.1"/>
    <s v="Karachi"/>
    <s v="No"/>
    <n v="0"/>
  </r>
  <r>
    <s v="CUST-00430"/>
    <n v="71"/>
    <s v="Yes"/>
    <s v="No"/>
    <s v="No"/>
    <x v="57"/>
    <s v="No"/>
    <s v="No phone service"/>
    <x v="0"/>
    <x v="0"/>
    <s v="Yes"/>
    <x v="3"/>
    <n v="106.72"/>
    <n v="5236.8"/>
    <s v="Peshawar"/>
    <s v="No"/>
    <n v="0"/>
  </r>
  <r>
    <s v="CUST-00431"/>
    <n v="70"/>
    <s v="Yes"/>
    <s v="Yes"/>
    <s v="Yes"/>
    <x v="51"/>
    <s v="No"/>
    <s v="No phone service"/>
    <x v="1"/>
    <x v="2"/>
    <s v="Yes"/>
    <x v="0"/>
    <n v="68.22"/>
    <n v="1496.26"/>
    <s v="Peshawar"/>
    <s v="Yes"/>
    <n v="1"/>
  </r>
  <r>
    <s v="CUST-00432"/>
    <n v="45"/>
    <s v="No"/>
    <s v="Yes"/>
    <s v="No"/>
    <x v="37"/>
    <s v="No"/>
    <s v="No phone service"/>
    <x v="0"/>
    <x v="1"/>
    <s v="Yes"/>
    <x v="3"/>
    <n v="96.56"/>
    <n v="5502.24"/>
    <s v="Faisalabad"/>
    <s v="No"/>
    <n v="0"/>
  </r>
  <r>
    <s v="CUST-00433"/>
    <n v="59"/>
    <s v="No"/>
    <s v="No"/>
    <s v="No"/>
    <x v="61"/>
    <s v="Yes"/>
    <s v="Yes"/>
    <x v="0"/>
    <x v="0"/>
    <s v="No"/>
    <x v="1"/>
    <n v="107.45"/>
    <n v="3866.49"/>
    <s v="Karachi"/>
    <s v="No"/>
    <n v="0"/>
  </r>
  <r>
    <s v="CUST-00434"/>
    <n v="51"/>
    <s v="No"/>
    <s v="No"/>
    <s v="Yes"/>
    <x v="52"/>
    <s v="Yes"/>
    <s v="No"/>
    <x v="1"/>
    <x v="2"/>
    <s v="Yes"/>
    <x v="0"/>
    <n v="67.42"/>
    <n v="2714.97"/>
    <s v="Islamabad"/>
    <s v="No"/>
    <n v="0"/>
  </r>
  <r>
    <s v="CUST-00435"/>
    <n v="30"/>
    <s v="No"/>
    <s v="Yes"/>
    <s v="Yes"/>
    <x v="2"/>
    <s v="Yes"/>
    <s v="No"/>
    <x v="0"/>
    <x v="0"/>
    <s v="Yes"/>
    <x v="3"/>
    <n v="100.23"/>
    <n v="1184.8599999999999"/>
    <s v="Multan"/>
    <s v="No"/>
    <n v="0"/>
  </r>
  <r>
    <s v="CUST-00436"/>
    <n v="54"/>
    <s v="No"/>
    <s v="Yes"/>
    <s v="Yes"/>
    <x v="66"/>
    <s v="No"/>
    <s v="No phone service"/>
    <x v="0"/>
    <x v="0"/>
    <s v="Yes"/>
    <x v="1"/>
    <n v="116.13"/>
    <n v="2712.33"/>
    <s v="Multan"/>
    <s v="No"/>
    <n v="0"/>
  </r>
  <r>
    <s v="CUST-00437"/>
    <n v="67"/>
    <s v="Yes"/>
    <s v="No"/>
    <s v="No"/>
    <x v="50"/>
    <s v="No"/>
    <s v="No phone service"/>
    <x v="1"/>
    <x v="0"/>
    <s v="No"/>
    <x v="0"/>
    <n v="79.84"/>
    <n v="1628"/>
    <s v="Karachi"/>
    <s v="No"/>
    <n v="0"/>
  </r>
  <r>
    <s v="CUST-00438"/>
    <n v="46"/>
    <s v="No"/>
    <s v="Yes"/>
    <s v="No"/>
    <x v="69"/>
    <s v="Yes"/>
    <s v="No"/>
    <x v="1"/>
    <x v="2"/>
    <s v="No"/>
    <x v="3"/>
    <n v="65.73"/>
    <n v="1793.6"/>
    <s v="Lahore"/>
    <s v="No"/>
    <n v="0"/>
  </r>
  <r>
    <s v="CUST-00439"/>
    <n v="20"/>
    <s v="No"/>
    <s v="Yes"/>
    <s v="Yes"/>
    <x v="54"/>
    <s v="Yes"/>
    <s v="No"/>
    <x v="1"/>
    <x v="2"/>
    <s v="Yes"/>
    <x v="2"/>
    <n v="66.58"/>
    <n v="2135.56"/>
    <s v="Rawalpindi"/>
    <s v="No"/>
    <n v="0"/>
  </r>
  <r>
    <s v="CUST-00440"/>
    <n v="54"/>
    <s v="No"/>
    <s v="Yes"/>
    <s v="No"/>
    <x v="48"/>
    <s v="Yes"/>
    <s v="No"/>
    <x v="0"/>
    <x v="2"/>
    <s v="No"/>
    <x v="3"/>
    <n v="96.77"/>
    <n v="6353.68"/>
    <s v="Islamabad"/>
    <s v="Yes"/>
    <n v="1"/>
  </r>
  <r>
    <s v="CUST-00441"/>
    <n v="43"/>
    <s v="No"/>
    <s v="Yes"/>
    <s v="Yes"/>
    <x v="53"/>
    <s v="No"/>
    <s v="No phone service"/>
    <x v="1"/>
    <x v="2"/>
    <s v="No"/>
    <x v="1"/>
    <n v="51.6"/>
    <n v="2338.8000000000002"/>
    <s v="Rawalpindi"/>
    <s v="No"/>
    <n v="0"/>
  </r>
  <r>
    <s v="CUST-00442"/>
    <n v="60"/>
    <s v="Yes"/>
    <s v="Yes"/>
    <s v="No"/>
    <x v="57"/>
    <s v="No"/>
    <s v="No phone service"/>
    <x v="2"/>
    <x v="2"/>
    <s v="No"/>
    <x v="1"/>
    <n v="19.68"/>
    <n v="947.76"/>
    <s v="Faisalabad"/>
    <s v="No"/>
    <n v="0"/>
  </r>
  <r>
    <s v="CUST-00443"/>
    <n v="33"/>
    <s v="No"/>
    <s v="No"/>
    <s v="No"/>
    <x v="25"/>
    <s v="No"/>
    <s v="No phone service"/>
    <x v="1"/>
    <x v="2"/>
    <s v="No"/>
    <x v="2"/>
    <n v="40.659999999999997"/>
    <n v="358.88"/>
    <s v="Multan"/>
    <s v="Yes"/>
    <n v="1"/>
  </r>
  <r>
    <s v="CUST-00444"/>
    <n v="20"/>
    <s v="No"/>
    <s v="No"/>
    <s v="Yes"/>
    <x v="10"/>
    <s v="No"/>
    <s v="No phone service"/>
    <x v="2"/>
    <x v="1"/>
    <s v="Yes"/>
    <x v="1"/>
    <n v="20.8"/>
    <n v="552.49"/>
    <s v="Rawalpindi"/>
    <s v="No"/>
    <n v="0"/>
  </r>
  <r>
    <s v="CUST-00445"/>
    <n v="59"/>
    <s v="No"/>
    <s v="Yes"/>
    <s v="No"/>
    <x v="42"/>
    <s v="Yes"/>
    <s v="Yes"/>
    <x v="0"/>
    <x v="0"/>
    <s v="No"/>
    <x v="1"/>
    <n v="74.86"/>
    <n v="455.15"/>
    <s v="Lahore"/>
    <s v="No"/>
    <n v="0"/>
  </r>
  <r>
    <s v="CUST-00446"/>
    <n v="70"/>
    <s v="Yes"/>
    <s v="Yes"/>
    <s v="Yes"/>
    <x v="59"/>
    <s v="Yes"/>
    <s v="Yes"/>
    <x v="1"/>
    <x v="2"/>
    <s v="No"/>
    <x v="1"/>
    <n v="79.290000000000006"/>
    <n v="5183.1899999999996"/>
    <s v="Multan"/>
    <s v="No"/>
    <n v="0"/>
  </r>
  <r>
    <s v="CUST-00447"/>
    <n v="54"/>
    <s v="No"/>
    <s v="Yes"/>
    <s v="No"/>
    <x v="10"/>
    <s v="Yes"/>
    <s v="Yes"/>
    <x v="1"/>
    <x v="2"/>
    <s v="Yes"/>
    <x v="1"/>
    <n v="46.72"/>
    <n v="1287.74"/>
    <s v="Karachi"/>
    <s v="Yes"/>
    <n v="1"/>
  </r>
  <r>
    <s v="CUST-00448"/>
    <n v="55"/>
    <s v="No"/>
    <s v="Yes"/>
    <s v="Yes"/>
    <x v="43"/>
    <s v="No"/>
    <s v="No phone service"/>
    <x v="1"/>
    <x v="0"/>
    <s v="Yes"/>
    <x v="2"/>
    <n v="43.23"/>
    <n v="528.76"/>
    <s v="Multan"/>
    <s v="No"/>
    <n v="0"/>
  </r>
  <r>
    <s v="CUST-00449"/>
    <n v="59"/>
    <s v="No"/>
    <s v="No"/>
    <s v="No"/>
    <x v="12"/>
    <s v="Yes"/>
    <s v="Yes"/>
    <x v="1"/>
    <x v="2"/>
    <s v="No"/>
    <x v="0"/>
    <n v="77.52"/>
    <n v="4791.4399999999996"/>
    <s v="Karachi"/>
    <s v="Yes"/>
    <n v="1"/>
  </r>
  <r>
    <s v="CUST-00450"/>
    <n v="63"/>
    <s v="Yes"/>
    <s v="No"/>
    <s v="Yes"/>
    <x v="9"/>
    <s v="Yes"/>
    <s v="No"/>
    <x v="0"/>
    <x v="2"/>
    <s v="Yes"/>
    <x v="1"/>
    <n v="113.14"/>
    <n v="4670.21"/>
    <s v="Rawalpindi"/>
    <s v="No"/>
    <n v="0"/>
  </r>
  <r>
    <s v="CUST-00451"/>
    <n v="67"/>
    <s v="Yes"/>
    <s v="Yes"/>
    <s v="No"/>
    <x v="16"/>
    <s v="Yes"/>
    <s v="No"/>
    <x v="0"/>
    <x v="1"/>
    <s v="No"/>
    <x v="0"/>
    <n v="77.989999999999995"/>
    <n v="573.62"/>
    <s v="Islamabad"/>
    <s v="Yes"/>
    <n v="1"/>
  </r>
  <r>
    <s v="CUST-00452"/>
    <n v="36"/>
    <s v="No"/>
    <s v="Yes"/>
    <s v="No"/>
    <x v="54"/>
    <s v="No"/>
    <s v="No phone service"/>
    <x v="0"/>
    <x v="2"/>
    <s v="Yes"/>
    <x v="2"/>
    <n v="78.790000000000006"/>
    <n v="2689.15"/>
    <s v="Lahore"/>
    <s v="No"/>
    <n v="0"/>
  </r>
  <r>
    <s v="CUST-00453"/>
    <n v="22"/>
    <s v="No"/>
    <s v="Yes"/>
    <s v="No"/>
    <x v="64"/>
    <s v="No"/>
    <s v="No phone service"/>
    <x v="0"/>
    <x v="2"/>
    <s v="Yes"/>
    <x v="3"/>
    <n v="74.900000000000006"/>
    <n v="3235.55"/>
    <s v="Rawalpindi"/>
    <s v="No"/>
    <n v="0"/>
  </r>
  <r>
    <s v="CUST-00454"/>
    <n v="75"/>
    <s v="Yes"/>
    <s v="Yes"/>
    <s v="Yes"/>
    <x v="12"/>
    <s v="Yes"/>
    <s v="No"/>
    <x v="1"/>
    <x v="2"/>
    <s v="No"/>
    <x v="3"/>
    <n v="54.94"/>
    <n v="3334.34"/>
    <s v="Islamabad"/>
    <s v="Yes"/>
    <n v="1"/>
  </r>
  <r>
    <s v="CUST-00455"/>
    <n v="35"/>
    <s v="No"/>
    <s v="Yes"/>
    <s v="No"/>
    <x v="49"/>
    <s v="Yes"/>
    <s v="Yes"/>
    <x v="0"/>
    <x v="2"/>
    <s v="No"/>
    <x v="0"/>
    <n v="78.56"/>
    <n v="1310.45"/>
    <s v="Faisalabad"/>
    <s v="No"/>
    <n v="0"/>
  </r>
  <r>
    <s v="CUST-00456"/>
    <n v="28"/>
    <s v="No"/>
    <s v="Yes"/>
    <s v="Yes"/>
    <x v="2"/>
    <s v="No"/>
    <s v="No phone service"/>
    <x v="0"/>
    <x v="1"/>
    <s v="Yes"/>
    <x v="0"/>
    <n v="111.85"/>
    <n v="1306.6300000000001"/>
    <s v="Multan"/>
    <s v="No"/>
    <n v="0"/>
  </r>
  <r>
    <s v="CUST-00457"/>
    <n v="73"/>
    <s v="Yes"/>
    <s v="Yes"/>
    <s v="Yes"/>
    <x v="64"/>
    <s v="Yes"/>
    <s v="No"/>
    <x v="0"/>
    <x v="0"/>
    <s v="Yes"/>
    <x v="2"/>
    <n v="114.91"/>
    <n v="4778.6000000000004"/>
    <s v="Rawalpindi"/>
    <s v="Yes"/>
    <n v="1"/>
  </r>
  <r>
    <s v="CUST-00458"/>
    <n v="64"/>
    <s v="Yes"/>
    <s v="Yes"/>
    <s v="No"/>
    <x v="19"/>
    <s v="Yes"/>
    <s v="No"/>
    <x v="0"/>
    <x v="2"/>
    <s v="Yes"/>
    <x v="1"/>
    <n v="90.33"/>
    <n v="5934.58"/>
    <s v="Karachi"/>
    <s v="Yes"/>
    <n v="1"/>
  </r>
  <r>
    <s v="CUST-00459"/>
    <n v="59"/>
    <s v="No"/>
    <s v="Yes"/>
    <s v="Yes"/>
    <x v="48"/>
    <s v="Yes"/>
    <s v="No"/>
    <x v="1"/>
    <x v="1"/>
    <s v="Yes"/>
    <x v="2"/>
    <n v="58.55"/>
    <n v="3472.68"/>
    <s v="Karachi"/>
    <s v="No"/>
    <n v="0"/>
  </r>
  <r>
    <s v="CUST-00460"/>
    <n v="68"/>
    <s v="Yes"/>
    <s v="No"/>
    <s v="No"/>
    <x v="11"/>
    <s v="Yes"/>
    <s v="No"/>
    <x v="2"/>
    <x v="0"/>
    <s v="Yes"/>
    <x v="3"/>
    <n v="27.03"/>
    <n v="27.67"/>
    <s v="Faisalabad"/>
    <s v="No"/>
    <n v="0"/>
  </r>
  <r>
    <s v="CUST-00461"/>
    <n v="68"/>
    <s v="Yes"/>
    <s v="Yes"/>
    <s v="Yes"/>
    <x v="21"/>
    <s v="Yes"/>
    <s v="No"/>
    <x v="1"/>
    <x v="1"/>
    <s v="No"/>
    <x v="2"/>
    <n v="44.44"/>
    <n v="1880.1"/>
    <s v="Islamabad"/>
    <s v="No"/>
    <n v="0"/>
  </r>
  <r>
    <s v="CUST-00462"/>
    <n v="41"/>
    <s v="No"/>
    <s v="Yes"/>
    <s v="Yes"/>
    <x v="55"/>
    <s v="Yes"/>
    <s v="Yes"/>
    <x v="1"/>
    <x v="2"/>
    <s v="Yes"/>
    <x v="1"/>
    <n v="69.5"/>
    <n v="5155.49"/>
    <s v="Multan"/>
    <s v="No"/>
    <n v="0"/>
  </r>
  <r>
    <s v="CUST-00463"/>
    <n v="31"/>
    <s v="No"/>
    <s v="Yes"/>
    <s v="No"/>
    <x v="4"/>
    <s v="No"/>
    <s v="No phone service"/>
    <x v="2"/>
    <x v="2"/>
    <s v="Yes"/>
    <x v="0"/>
    <n v="23.43"/>
    <n v="1077.97"/>
    <s v="Rawalpindi"/>
    <s v="No"/>
    <n v="0"/>
  </r>
  <r>
    <s v="CUST-00464"/>
    <n v="63"/>
    <s v="Yes"/>
    <s v="No"/>
    <s v="No"/>
    <x v="22"/>
    <s v="Yes"/>
    <s v="Yes"/>
    <x v="1"/>
    <x v="1"/>
    <s v="Yes"/>
    <x v="3"/>
    <n v="75.92"/>
    <n v="3551.62"/>
    <s v="Lahore"/>
    <s v="No"/>
    <n v="0"/>
  </r>
  <r>
    <s v="CUST-00465"/>
    <n v="28"/>
    <s v="No"/>
    <s v="No"/>
    <s v="Yes"/>
    <x v="6"/>
    <s v="Yes"/>
    <s v="No"/>
    <x v="1"/>
    <x v="0"/>
    <s v="No"/>
    <x v="0"/>
    <n v="67.3"/>
    <n v="1344.95"/>
    <s v="Rawalpindi"/>
    <s v="No"/>
    <n v="0"/>
  </r>
  <r>
    <s v="CUST-00466"/>
    <n v="46"/>
    <s v="No"/>
    <s v="Yes"/>
    <s v="No"/>
    <x v="3"/>
    <s v="Yes"/>
    <s v="No"/>
    <x v="0"/>
    <x v="2"/>
    <s v="No"/>
    <x v="0"/>
    <n v="87.14"/>
    <n v="2216.6799999999998"/>
    <s v="Faisalabad"/>
    <s v="Yes"/>
    <n v="1"/>
  </r>
  <r>
    <s v="CUST-00467"/>
    <n v="60"/>
    <s v="Yes"/>
    <s v="No"/>
    <s v="No"/>
    <x v="9"/>
    <s v="No"/>
    <s v="No phone service"/>
    <x v="1"/>
    <x v="2"/>
    <s v="No"/>
    <x v="3"/>
    <n v="54.88"/>
    <n v="2085.91"/>
    <s v="Karachi"/>
    <s v="No"/>
    <n v="0"/>
  </r>
  <r>
    <s v="CUST-00468"/>
    <n v="40"/>
    <s v="No"/>
    <s v="No"/>
    <s v="No"/>
    <x v="51"/>
    <s v="Yes"/>
    <s v="No"/>
    <x v="1"/>
    <x v="2"/>
    <s v="Yes"/>
    <x v="1"/>
    <n v="67.709999999999994"/>
    <n v="1519.36"/>
    <s v="Karachi"/>
    <s v="Yes"/>
    <n v="1"/>
  </r>
  <r>
    <s v="CUST-00469"/>
    <n v="25"/>
    <s v="No"/>
    <s v="Yes"/>
    <s v="No"/>
    <x v="49"/>
    <s v="No"/>
    <s v="No phone service"/>
    <x v="0"/>
    <x v="2"/>
    <s v="Yes"/>
    <x v="1"/>
    <n v="118.9"/>
    <n v="1935.91"/>
    <s v="Karachi"/>
    <s v="No"/>
    <n v="0"/>
  </r>
  <r>
    <s v="CUST-00470"/>
    <n v="52"/>
    <s v="No"/>
    <s v="No"/>
    <s v="Yes"/>
    <x v="39"/>
    <s v="No"/>
    <s v="No phone service"/>
    <x v="0"/>
    <x v="0"/>
    <s v="No"/>
    <x v="2"/>
    <n v="77.8"/>
    <n v="328.76"/>
    <s v="Faisalabad"/>
    <s v="No"/>
    <n v="0"/>
  </r>
  <r>
    <s v="CUST-00471"/>
    <n v="39"/>
    <s v="No"/>
    <s v="No"/>
    <s v="No"/>
    <x v="41"/>
    <s v="Yes"/>
    <s v="No"/>
    <x v="2"/>
    <x v="0"/>
    <s v="No"/>
    <x v="3"/>
    <n v="19.350000000000001"/>
    <n v="733.45"/>
    <s v="Multan"/>
    <s v="Yes"/>
    <n v="1"/>
  </r>
  <r>
    <s v="CUST-00472"/>
    <n v="53"/>
    <s v="No"/>
    <s v="Yes"/>
    <s v="No"/>
    <x v="39"/>
    <s v="Yes"/>
    <s v="No"/>
    <x v="0"/>
    <x v="2"/>
    <s v="Yes"/>
    <x v="1"/>
    <n v="79.760000000000005"/>
    <n v="320.05"/>
    <s v="Peshawar"/>
    <s v="No"/>
    <n v="0"/>
  </r>
  <r>
    <s v="CUST-00473"/>
    <n v="35"/>
    <s v="No"/>
    <s v="Yes"/>
    <s v="Yes"/>
    <x v="32"/>
    <s v="No"/>
    <s v="No phone service"/>
    <x v="1"/>
    <x v="0"/>
    <s v="Yes"/>
    <x v="2"/>
    <n v="55.78"/>
    <n v="612.88"/>
    <s v="Faisalabad"/>
    <s v="No"/>
    <n v="0"/>
  </r>
  <r>
    <s v="CUST-00474"/>
    <n v="21"/>
    <s v="No"/>
    <s v="No"/>
    <s v="No"/>
    <x v="6"/>
    <s v="No"/>
    <s v="No phone service"/>
    <x v="1"/>
    <x v="2"/>
    <s v="No"/>
    <x v="3"/>
    <n v="53.8"/>
    <n v="998.66"/>
    <s v="Faisalabad"/>
    <s v="No"/>
    <n v="0"/>
  </r>
  <r>
    <s v="CUST-00475"/>
    <n v="23"/>
    <s v="No"/>
    <s v="Yes"/>
    <s v="No"/>
    <x v="17"/>
    <s v="No"/>
    <s v="No phone service"/>
    <x v="2"/>
    <x v="2"/>
    <s v="No"/>
    <x v="1"/>
    <n v="22.97"/>
    <n v="1290.32"/>
    <s v="Karachi"/>
    <s v="No"/>
    <n v="0"/>
  </r>
  <r>
    <s v="CUST-00476"/>
    <n v="31"/>
    <s v="No"/>
    <s v="No"/>
    <s v="No"/>
    <x v="19"/>
    <s v="Yes"/>
    <s v="No"/>
    <x v="2"/>
    <x v="0"/>
    <s v="No"/>
    <x v="3"/>
    <n v="22.91"/>
    <n v="1635.35"/>
    <s v="Faisalabad"/>
    <s v="No"/>
    <n v="0"/>
  </r>
  <r>
    <s v="CUST-00477"/>
    <n v="47"/>
    <s v="No"/>
    <s v="Yes"/>
    <s v="Yes"/>
    <x v="66"/>
    <s v="No"/>
    <s v="No phone service"/>
    <x v="2"/>
    <x v="0"/>
    <s v="Yes"/>
    <x v="1"/>
    <n v="21.62"/>
    <n v="524.19000000000005"/>
    <s v="Multan"/>
    <s v="No"/>
    <n v="0"/>
  </r>
  <r>
    <s v="CUST-00478"/>
    <n v="47"/>
    <s v="No"/>
    <s v="Yes"/>
    <s v="Yes"/>
    <x v="11"/>
    <s v="No"/>
    <s v="No phone service"/>
    <x v="0"/>
    <x v="1"/>
    <s v="No"/>
    <x v="3"/>
    <n v="103.3"/>
    <n v="100.67"/>
    <s v="Multan"/>
    <s v="Yes"/>
    <n v="1"/>
  </r>
  <r>
    <s v="CUST-00479"/>
    <n v="59"/>
    <s v="No"/>
    <s v="Yes"/>
    <s v="Yes"/>
    <x v="34"/>
    <s v="No"/>
    <s v="No phone service"/>
    <x v="1"/>
    <x v="1"/>
    <s v="Yes"/>
    <x v="0"/>
    <n v="54.47"/>
    <n v="869.48"/>
    <s v="Islamabad"/>
    <s v="No"/>
    <n v="0"/>
  </r>
  <r>
    <s v="CUST-00480"/>
    <n v="58"/>
    <s v="No"/>
    <s v="No"/>
    <s v="Yes"/>
    <x v="22"/>
    <s v="Yes"/>
    <s v="No"/>
    <x v="1"/>
    <x v="2"/>
    <s v="Yes"/>
    <x v="3"/>
    <n v="58.44"/>
    <n v="2870.18"/>
    <s v="Lahore"/>
    <s v="Yes"/>
    <n v="1"/>
  </r>
  <r>
    <s v="CUST-00481"/>
    <n v="35"/>
    <s v="No"/>
    <s v="No"/>
    <s v="No"/>
    <x v="4"/>
    <s v="No"/>
    <s v="No phone service"/>
    <x v="0"/>
    <x v="2"/>
    <s v="Yes"/>
    <x v="0"/>
    <n v="108.32"/>
    <n v="4793.33"/>
    <s v="Peshawar"/>
    <s v="Yes"/>
    <n v="1"/>
  </r>
  <r>
    <s v="CUST-00482"/>
    <n v="28"/>
    <s v="No"/>
    <s v="No"/>
    <s v="No"/>
    <x v="9"/>
    <s v="No"/>
    <s v="No phone service"/>
    <x v="0"/>
    <x v="2"/>
    <s v="No"/>
    <x v="1"/>
    <n v="70.64"/>
    <n v="2760.97"/>
    <s v="Rawalpindi"/>
    <s v="Yes"/>
    <n v="1"/>
  </r>
  <r>
    <s v="CUST-00483"/>
    <n v="44"/>
    <s v="No"/>
    <s v="No"/>
    <s v="Yes"/>
    <x v="26"/>
    <s v="Yes"/>
    <s v="No"/>
    <x v="0"/>
    <x v="0"/>
    <s v="Yes"/>
    <x v="0"/>
    <n v="115.8"/>
    <n v="1546.61"/>
    <s v="Lahore"/>
    <s v="Yes"/>
    <n v="1"/>
  </r>
  <r>
    <s v="CUST-00484"/>
    <n v="48"/>
    <s v="No"/>
    <s v="No"/>
    <s v="No"/>
    <x v="53"/>
    <s v="No"/>
    <s v="No phone service"/>
    <x v="0"/>
    <x v="1"/>
    <s v="No"/>
    <x v="3"/>
    <n v="85.23"/>
    <n v="4123.32"/>
    <s v="Karachi"/>
    <s v="Yes"/>
    <n v="1"/>
  </r>
  <r>
    <s v="CUST-00485"/>
    <n v="72"/>
    <s v="Yes"/>
    <s v="Yes"/>
    <s v="Yes"/>
    <x v="70"/>
    <s v="Yes"/>
    <s v="No"/>
    <x v="0"/>
    <x v="2"/>
    <s v="Yes"/>
    <x v="3"/>
    <n v="108.73"/>
    <n v="4483.5"/>
    <s v="Lahore"/>
    <s v="Yes"/>
    <n v="1"/>
  </r>
  <r>
    <s v="CUST-00486"/>
    <n v="20"/>
    <s v="No"/>
    <s v="Yes"/>
    <s v="No"/>
    <x v="34"/>
    <s v="Yes"/>
    <s v="Yes"/>
    <x v="2"/>
    <x v="0"/>
    <s v="Yes"/>
    <x v="1"/>
    <n v="29.04"/>
    <n v="448.21"/>
    <s v="Karachi"/>
    <s v="No"/>
    <n v="0"/>
  </r>
  <r>
    <s v="CUST-00487"/>
    <n v="60"/>
    <s v="Yes"/>
    <s v="No"/>
    <s v="Yes"/>
    <x v="2"/>
    <s v="No"/>
    <s v="No phone service"/>
    <x v="0"/>
    <x v="1"/>
    <s v="No"/>
    <x v="0"/>
    <n v="112.76"/>
    <n v="1398.72"/>
    <s v="Faisalabad"/>
    <s v="No"/>
    <n v="0"/>
  </r>
  <r>
    <s v="CUST-00488"/>
    <n v="54"/>
    <s v="No"/>
    <s v="Yes"/>
    <s v="Yes"/>
    <x v="65"/>
    <s v="Yes"/>
    <s v="No"/>
    <x v="1"/>
    <x v="2"/>
    <s v="Yes"/>
    <x v="2"/>
    <n v="43.95"/>
    <n v="84.88"/>
    <s v="Multan"/>
    <s v="No"/>
    <n v="0"/>
  </r>
  <r>
    <s v="CUST-00489"/>
    <n v="48"/>
    <s v="No"/>
    <s v="No"/>
    <s v="Yes"/>
    <x v="71"/>
    <s v="Yes"/>
    <s v="Yes"/>
    <x v="1"/>
    <x v="2"/>
    <s v="No"/>
    <x v="0"/>
    <n v="60.57"/>
    <n v="3414.2"/>
    <s v="Islamabad"/>
    <s v="No"/>
    <n v="0"/>
  </r>
  <r>
    <s v="CUST-00490"/>
    <n v="25"/>
    <s v="No"/>
    <s v="No"/>
    <s v="Yes"/>
    <x v="40"/>
    <s v="No"/>
    <s v="No phone service"/>
    <x v="0"/>
    <x v="0"/>
    <s v="Yes"/>
    <x v="3"/>
    <n v="94.69"/>
    <n v="6256.51"/>
    <s v="Multan"/>
    <s v="No"/>
    <n v="0"/>
  </r>
  <r>
    <s v="CUST-00491"/>
    <n v="37"/>
    <s v="No"/>
    <s v="No"/>
    <s v="Yes"/>
    <x v="60"/>
    <s v="No"/>
    <s v="No phone service"/>
    <x v="0"/>
    <x v="2"/>
    <s v="Yes"/>
    <x v="2"/>
    <n v="110.12"/>
    <n v="8230.48"/>
    <s v="Lahore"/>
    <s v="Yes"/>
    <n v="1"/>
  </r>
  <r>
    <s v="CUST-00492"/>
    <n v="61"/>
    <s v="Yes"/>
    <s v="No"/>
    <s v="Yes"/>
    <x v="44"/>
    <s v="Yes"/>
    <s v="Yes"/>
    <x v="0"/>
    <x v="2"/>
    <s v="Yes"/>
    <x v="1"/>
    <n v="114.62"/>
    <n v="5613.24"/>
    <s v="Karachi"/>
    <s v="Yes"/>
    <n v="1"/>
  </r>
  <r>
    <s v="CUST-00493"/>
    <n v="39"/>
    <s v="No"/>
    <s v="Yes"/>
    <s v="No"/>
    <x v="34"/>
    <s v="No"/>
    <s v="No phone service"/>
    <x v="0"/>
    <x v="0"/>
    <s v="No"/>
    <x v="1"/>
    <n v="108.3"/>
    <n v="1752.27"/>
    <s v="Peshawar"/>
    <s v="No"/>
    <n v="0"/>
  </r>
  <r>
    <s v="CUST-00494"/>
    <n v="59"/>
    <s v="No"/>
    <s v="No"/>
    <s v="No"/>
    <x v="12"/>
    <s v="No"/>
    <s v="No phone service"/>
    <x v="1"/>
    <x v="1"/>
    <s v="No"/>
    <x v="3"/>
    <n v="58.19"/>
    <n v="3388.66"/>
    <s v="Karachi"/>
    <s v="No"/>
    <n v="0"/>
  </r>
  <r>
    <s v="CUST-00495"/>
    <n v="58"/>
    <s v="No"/>
    <s v="Yes"/>
    <s v="Yes"/>
    <x v="43"/>
    <s v="Yes"/>
    <s v="No"/>
    <x v="1"/>
    <x v="2"/>
    <s v="Yes"/>
    <x v="0"/>
    <n v="67.17"/>
    <n v="836.82"/>
    <s v="Lahore"/>
    <s v="No"/>
    <n v="0"/>
  </r>
  <r>
    <s v="CUST-00496"/>
    <n v="66"/>
    <s v="Yes"/>
    <s v="Yes"/>
    <s v="No"/>
    <x v="45"/>
    <s v="No"/>
    <s v="No phone service"/>
    <x v="0"/>
    <x v="2"/>
    <s v="No"/>
    <x v="0"/>
    <n v="110.47"/>
    <n v="6660.44"/>
    <s v="Peshawar"/>
    <s v="Yes"/>
    <n v="1"/>
  </r>
  <r>
    <s v="CUST-00497"/>
    <n v="20"/>
    <s v="No"/>
    <s v="No"/>
    <s v="Yes"/>
    <x v="57"/>
    <s v="No"/>
    <s v="No phone service"/>
    <x v="1"/>
    <x v="2"/>
    <s v="Yes"/>
    <x v="3"/>
    <n v="62.27"/>
    <n v="3248.14"/>
    <s v="Multan"/>
    <s v="Yes"/>
    <n v="1"/>
  </r>
  <r>
    <s v="CUST-00498"/>
    <n v="28"/>
    <s v="No"/>
    <s v="No"/>
    <s v="No"/>
    <x v="58"/>
    <s v="No"/>
    <s v="No phone service"/>
    <x v="0"/>
    <x v="2"/>
    <s v="Yes"/>
    <x v="0"/>
    <n v="94.53"/>
    <n v="1712.52"/>
    <s v="Rawalpindi"/>
    <s v="No"/>
    <n v="0"/>
  </r>
  <r>
    <s v="CUST-00499"/>
    <n v="48"/>
    <s v="No"/>
    <s v="Yes"/>
    <s v="Yes"/>
    <x v="44"/>
    <s v="No"/>
    <s v="No phone service"/>
    <x v="0"/>
    <x v="0"/>
    <s v="No"/>
    <x v="1"/>
    <n v="84.22"/>
    <n v="4069.17"/>
    <s v="Karachi"/>
    <s v="No"/>
    <n v="0"/>
  </r>
  <r>
    <s v="CUST-00500"/>
    <n v="71"/>
    <s v="Yes"/>
    <s v="No"/>
    <s v="No"/>
    <x v="39"/>
    <s v="No"/>
    <s v="No phone service"/>
    <x v="1"/>
    <x v="2"/>
    <s v="No"/>
    <x v="3"/>
    <n v="54.29"/>
    <n v="213.28"/>
    <s v="Karachi"/>
    <s v="No"/>
    <n v="0"/>
  </r>
  <r>
    <s v="CUST-00501"/>
    <n v="33"/>
    <s v="No"/>
    <s v="No"/>
    <s v="Yes"/>
    <x v="25"/>
    <s v="Yes"/>
    <s v="Yes"/>
    <x v="2"/>
    <x v="2"/>
    <s v="No"/>
    <x v="3"/>
    <n v="25.89"/>
    <n v="230.84"/>
    <s v="Rawalpindi"/>
    <s v="No"/>
    <n v="0"/>
  </r>
  <r>
    <s v="CUST-00502"/>
    <n v="35"/>
    <s v="No"/>
    <s v="Yes"/>
    <s v="No"/>
    <x v="47"/>
    <s v="No"/>
    <s v="No phone service"/>
    <x v="2"/>
    <x v="0"/>
    <s v="No"/>
    <x v="0"/>
    <n v="27.7"/>
    <n v="79.11"/>
    <s v="Islamabad"/>
    <s v="No"/>
    <n v="0"/>
  </r>
  <r>
    <s v="CUST-00503"/>
    <n v="49"/>
    <s v="No"/>
    <s v="No"/>
    <s v="Yes"/>
    <x v="9"/>
    <s v="No"/>
    <s v="No phone service"/>
    <x v="0"/>
    <x v="2"/>
    <s v="Yes"/>
    <x v="1"/>
    <n v="96.79"/>
    <n v="3678.49"/>
    <s v="Faisalabad"/>
    <s v="Yes"/>
    <n v="1"/>
  </r>
  <r>
    <s v="CUST-00504"/>
    <n v="43"/>
    <s v="No"/>
    <s v="Yes"/>
    <s v="Yes"/>
    <x v="43"/>
    <s v="No"/>
    <s v="No phone service"/>
    <x v="1"/>
    <x v="2"/>
    <s v="No"/>
    <x v="0"/>
    <n v="53.89"/>
    <n v="664.98"/>
    <s v="Faisalabad"/>
    <s v="No"/>
    <n v="0"/>
  </r>
  <r>
    <s v="CUST-00505"/>
    <n v="69"/>
    <s v="Yes"/>
    <s v="No"/>
    <s v="No"/>
    <x v="14"/>
    <s v="No"/>
    <s v="No phone service"/>
    <x v="0"/>
    <x v="2"/>
    <s v="No"/>
    <x v="1"/>
    <n v="97.38"/>
    <n v="7128.17"/>
    <s v="Faisalabad"/>
    <s v="No"/>
    <n v="0"/>
  </r>
  <r>
    <s v="CUST-00506"/>
    <n v="73"/>
    <s v="Yes"/>
    <s v="Yes"/>
    <s v="No"/>
    <x v="10"/>
    <s v="No"/>
    <s v="No phone service"/>
    <x v="1"/>
    <x v="2"/>
    <s v="No"/>
    <x v="2"/>
    <n v="69.06"/>
    <n v="1831.55"/>
    <s v="Rawalpindi"/>
    <s v="Yes"/>
    <n v="1"/>
  </r>
  <r>
    <s v="CUST-00507"/>
    <n v="27"/>
    <s v="No"/>
    <s v="Yes"/>
    <s v="Yes"/>
    <x v="9"/>
    <s v="No"/>
    <s v="No phone service"/>
    <x v="2"/>
    <x v="2"/>
    <s v="Yes"/>
    <x v="1"/>
    <n v="28.15"/>
    <n v="1067.1500000000001"/>
    <s v="Karachi"/>
    <s v="No"/>
    <n v="0"/>
  </r>
  <r>
    <s v="CUST-00508"/>
    <n v="34"/>
    <s v="No"/>
    <s v="Yes"/>
    <s v="No"/>
    <x v="33"/>
    <s v="Yes"/>
    <s v="Yes"/>
    <x v="0"/>
    <x v="0"/>
    <s v="No"/>
    <x v="0"/>
    <n v="97.99"/>
    <n v="3014.41"/>
    <s v="Lahore"/>
    <s v="No"/>
    <n v="0"/>
  </r>
  <r>
    <s v="CUST-00509"/>
    <n v="30"/>
    <s v="No"/>
    <s v="Yes"/>
    <s v="No"/>
    <x v="58"/>
    <s v="No"/>
    <s v="No phone service"/>
    <x v="0"/>
    <x v="0"/>
    <s v="Yes"/>
    <x v="1"/>
    <n v="72.11"/>
    <n v="1332.63"/>
    <s v="Lahore"/>
    <s v="No"/>
    <n v="0"/>
  </r>
  <r>
    <s v="CUST-00510"/>
    <n v="73"/>
    <s v="Yes"/>
    <s v="Yes"/>
    <s v="No"/>
    <x v="9"/>
    <s v="No"/>
    <s v="No phone service"/>
    <x v="2"/>
    <x v="1"/>
    <s v="Yes"/>
    <x v="0"/>
    <n v="28.08"/>
    <n v="1140.1600000000001"/>
    <s v="Faisalabad"/>
    <s v="No"/>
    <n v="0"/>
  </r>
  <r>
    <s v="CUST-00511"/>
    <n v="65"/>
    <s v="Yes"/>
    <s v="Yes"/>
    <s v="No"/>
    <x v="59"/>
    <s v="Yes"/>
    <s v="No"/>
    <x v="2"/>
    <x v="0"/>
    <s v="No"/>
    <x v="3"/>
    <n v="25.01"/>
    <n v="1579.5"/>
    <s v="Karachi"/>
    <s v="No"/>
    <n v="0"/>
  </r>
  <r>
    <s v="CUST-00512"/>
    <n v="45"/>
    <s v="No"/>
    <s v="Yes"/>
    <s v="Yes"/>
    <x v="26"/>
    <s v="No"/>
    <s v="No phone service"/>
    <x v="0"/>
    <x v="2"/>
    <s v="No"/>
    <x v="2"/>
    <n v="72.8"/>
    <n v="1023.29"/>
    <s v="Lahore"/>
    <s v="No"/>
    <n v="0"/>
  </r>
  <r>
    <s v="CUST-00513"/>
    <n v="38"/>
    <s v="No"/>
    <s v="No"/>
    <s v="No"/>
    <x v="36"/>
    <s v="Yes"/>
    <s v="No"/>
    <x v="2"/>
    <x v="0"/>
    <s v="No"/>
    <x v="3"/>
    <n v="29.6"/>
    <n v="959.23"/>
    <s v="Multan"/>
    <s v="No"/>
    <n v="0"/>
  </r>
  <r>
    <s v="CUST-00514"/>
    <n v="69"/>
    <s v="Yes"/>
    <s v="Yes"/>
    <s v="Yes"/>
    <x v="54"/>
    <s v="No"/>
    <s v="No phone service"/>
    <x v="1"/>
    <x v="0"/>
    <s v="No"/>
    <x v="2"/>
    <n v="67.41"/>
    <n v="2233.85"/>
    <s v="Rawalpindi"/>
    <s v="No"/>
    <n v="0"/>
  </r>
  <r>
    <s v="CUST-00515"/>
    <n v="42"/>
    <s v="No"/>
    <s v="Yes"/>
    <s v="No"/>
    <x v="54"/>
    <s v="Yes"/>
    <s v="Yes"/>
    <x v="0"/>
    <x v="1"/>
    <s v="Yes"/>
    <x v="2"/>
    <n v="101.57"/>
    <n v="3504.44"/>
    <s v="Rawalpindi"/>
    <s v="No"/>
    <n v="0"/>
  </r>
  <r>
    <s v="CUST-00516"/>
    <n v="68"/>
    <s v="Yes"/>
    <s v="Yes"/>
    <s v="No"/>
    <x v="32"/>
    <s v="No"/>
    <s v="No phone service"/>
    <x v="2"/>
    <x v="2"/>
    <s v="No"/>
    <x v="2"/>
    <n v="21.99"/>
    <n v="239.64"/>
    <s v="Lahore"/>
    <s v="No"/>
    <n v="0"/>
  </r>
  <r>
    <s v="CUST-00517"/>
    <n v="70"/>
    <s v="Yes"/>
    <s v="Yes"/>
    <s v="No"/>
    <x v="30"/>
    <s v="No"/>
    <s v="No phone service"/>
    <x v="0"/>
    <x v="0"/>
    <s v="No"/>
    <x v="0"/>
    <n v="71.37"/>
    <n v="4389.71"/>
    <s v="Multan"/>
    <s v="No"/>
    <n v="0"/>
  </r>
  <r>
    <s v="CUST-00518"/>
    <n v="46"/>
    <s v="No"/>
    <s v="Yes"/>
    <s v="Yes"/>
    <x v="27"/>
    <s v="No"/>
    <s v="No phone service"/>
    <x v="0"/>
    <x v="2"/>
    <s v="Yes"/>
    <x v="3"/>
    <n v="82.48"/>
    <n v="4398.88"/>
    <s v="Multan"/>
    <s v="No"/>
    <n v="0"/>
  </r>
  <r>
    <s v="CUST-00519"/>
    <n v="66"/>
    <s v="Yes"/>
    <s v="Yes"/>
    <s v="No"/>
    <x v="52"/>
    <s v="Yes"/>
    <s v="Yes"/>
    <x v="1"/>
    <x v="0"/>
    <s v="No"/>
    <x v="1"/>
    <n v="47.95"/>
    <n v="1945.78"/>
    <s v="Rawalpindi"/>
    <s v="Yes"/>
    <n v="1"/>
  </r>
  <r>
    <s v="CUST-00520"/>
    <n v="71"/>
    <s v="Yes"/>
    <s v="Yes"/>
    <s v="Yes"/>
    <x v="47"/>
    <s v="Yes"/>
    <s v="No"/>
    <x v="2"/>
    <x v="1"/>
    <s v="Yes"/>
    <x v="3"/>
    <n v="28.22"/>
    <n v="80.09"/>
    <s v="Faisalabad"/>
    <s v="No"/>
    <n v="0"/>
  </r>
  <r>
    <s v="CUST-00521"/>
    <n v="34"/>
    <s v="No"/>
    <s v="Yes"/>
    <s v="Yes"/>
    <x v="22"/>
    <s v="Yes"/>
    <s v="Yes"/>
    <x v="0"/>
    <x v="2"/>
    <s v="No"/>
    <x v="1"/>
    <n v="94.71"/>
    <n v="4395.78"/>
    <s v="Peshawar"/>
    <s v="Yes"/>
    <n v="1"/>
  </r>
  <r>
    <s v="CUST-00522"/>
    <n v="70"/>
    <s v="Yes"/>
    <s v="No"/>
    <s v="No"/>
    <x v="59"/>
    <s v="No"/>
    <s v="No phone service"/>
    <x v="0"/>
    <x v="1"/>
    <s v="Yes"/>
    <x v="2"/>
    <n v="84.15"/>
    <n v="5500.11"/>
    <s v="Rawalpindi"/>
    <s v="No"/>
    <n v="0"/>
  </r>
  <r>
    <s v="CUST-00523"/>
    <n v="68"/>
    <s v="Yes"/>
    <s v="Yes"/>
    <s v="Yes"/>
    <x v="41"/>
    <s v="Yes"/>
    <s v="No"/>
    <x v="2"/>
    <x v="1"/>
    <s v="No"/>
    <x v="0"/>
    <n v="25.77"/>
    <n v="930.58"/>
    <s v="Peshawar"/>
    <s v="No"/>
    <n v="0"/>
  </r>
  <r>
    <s v="CUST-00524"/>
    <n v="38"/>
    <s v="No"/>
    <s v="No"/>
    <s v="Yes"/>
    <x v="57"/>
    <s v="No"/>
    <s v="No phone service"/>
    <x v="1"/>
    <x v="2"/>
    <s v="Yes"/>
    <x v="3"/>
    <n v="77.239999999999995"/>
    <n v="3848.53"/>
    <s v="Faisalabad"/>
    <s v="Yes"/>
    <n v="1"/>
  </r>
  <r>
    <s v="CUST-00525"/>
    <n v="60"/>
    <s v="Yes"/>
    <s v="Yes"/>
    <s v="Yes"/>
    <x v="54"/>
    <s v="No"/>
    <s v="No phone service"/>
    <x v="1"/>
    <x v="2"/>
    <s v="No"/>
    <x v="1"/>
    <n v="45.29"/>
    <n v="1564.92"/>
    <s v="Karachi"/>
    <s v="Yes"/>
    <n v="1"/>
  </r>
  <r>
    <s v="CUST-00526"/>
    <n v="34"/>
    <s v="No"/>
    <s v="Yes"/>
    <s v="No"/>
    <x v="13"/>
    <s v="Yes"/>
    <s v="Yes"/>
    <x v="2"/>
    <x v="0"/>
    <s v="No"/>
    <x v="3"/>
    <n v="19.399999999999999"/>
    <n v="806.91"/>
    <s v="Peshawar"/>
    <s v="Yes"/>
    <n v="1"/>
  </r>
  <r>
    <s v="CUST-00527"/>
    <n v="71"/>
    <s v="Yes"/>
    <s v="No"/>
    <s v="No"/>
    <x v="68"/>
    <s v="No"/>
    <s v="No phone service"/>
    <x v="0"/>
    <x v="0"/>
    <s v="No"/>
    <x v="0"/>
    <n v="91.79"/>
    <n v="4933.59"/>
    <s v="Rawalpindi"/>
    <s v="No"/>
    <n v="0"/>
  </r>
  <r>
    <s v="CUST-00528"/>
    <n v="66"/>
    <s v="Yes"/>
    <s v="Yes"/>
    <s v="No"/>
    <x v="16"/>
    <s v="Yes"/>
    <s v="Yes"/>
    <x v="0"/>
    <x v="2"/>
    <s v="No"/>
    <x v="3"/>
    <n v="93.36"/>
    <n v="623.41"/>
    <s v="Rawalpindi"/>
    <s v="No"/>
    <n v="0"/>
  </r>
  <r>
    <s v="CUST-00529"/>
    <n v="20"/>
    <s v="No"/>
    <s v="No"/>
    <s v="No"/>
    <x v="55"/>
    <s v="No"/>
    <s v="No phone service"/>
    <x v="1"/>
    <x v="2"/>
    <s v="Yes"/>
    <x v="3"/>
    <n v="43.74"/>
    <n v="3288.42"/>
    <s v="Karachi"/>
    <s v="Yes"/>
    <n v="1"/>
  </r>
  <r>
    <s v="CUST-00530"/>
    <n v="65"/>
    <s v="Yes"/>
    <s v="No"/>
    <s v="Yes"/>
    <x v="11"/>
    <s v="Yes"/>
    <s v="No"/>
    <x v="1"/>
    <x v="2"/>
    <s v="No"/>
    <x v="1"/>
    <n v="75.489999999999995"/>
    <n v="71.2"/>
    <s v="Multan"/>
    <s v="No"/>
    <n v="0"/>
  </r>
  <r>
    <s v="CUST-00531"/>
    <n v="25"/>
    <s v="No"/>
    <s v="No"/>
    <s v="No"/>
    <x v="26"/>
    <s v="Yes"/>
    <s v="Yes"/>
    <x v="2"/>
    <x v="2"/>
    <s v="No"/>
    <x v="0"/>
    <n v="29.46"/>
    <n v="417.1"/>
    <s v="Lahore"/>
    <s v="Yes"/>
    <n v="1"/>
  </r>
  <r>
    <s v="CUST-00532"/>
    <n v="59"/>
    <s v="No"/>
    <s v="No"/>
    <s v="No"/>
    <x v="49"/>
    <s v="Yes"/>
    <s v="No"/>
    <x v="0"/>
    <x v="2"/>
    <s v="Yes"/>
    <x v="1"/>
    <n v="97.36"/>
    <n v="1675.44"/>
    <s v="Islamabad"/>
    <s v="Yes"/>
    <n v="1"/>
  </r>
  <r>
    <s v="CUST-00533"/>
    <n v="29"/>
    <s v="No"/>
    <s v="Yes"/>
    <s v="No"/>
    <x v="2"/>
    <s v="Yes"/>
    <s v="Yes"/>
    <x v="0"/>
    <x v="0"/>
    <s v="No"/>
    <x v="1"/>
    <n v="117.72"/>
    <n v="1354.01"/>
    <s v="Peshawar"/>
    <s v="Yes"/>
    <n v="1"/>
  </r>
  <r>
    <s v="CUST-00534"/>
    <n v="45"/>
    <s v="No"/>
    <s v="No"/>
    <s v="Yes"/>
    <x v="4"/>
    <s v="No"/>
    <s v="No phone service"/>
    <x v="1"/>
    <x v="2"/>
    <s v="No"/>
    <x v="0"/>
    <n v="55.52"/>
    <n v="2482.9699999999998"/>
    <s v="Lahore"/>
    <s v="No"/>
    <n v="0"/>
  </r>
  <r>
    <s v="CUST-00535"/>
    <n v="66"/>
    <s v="Yes"/>
    <s v="No"/>
    <s v="No"/>
    <x v="66"/>
    <s v="No"/>
    <s v="No phone service"/>
    <x v="0"/>
    <x v="2"/>
    <s v="No"/>
    <x v="2"/>
    <n v="103.82"/>
    <n v="2535.8200000000002"/>
    <s v="Rawalpindi"/>
    <s v="No"/>
    <n v="0"/>
  </r>
  <r>
    <s v="CUST-00536"/>
    <n v="51"/>
    <s v="No"/>
    <s v="Yes"/>
    <s v="No"/>
    <x v="45"/>
    <s v="No"/>
    <s v="No phone service"/>
    <x v="0"/>
    <x v="2"/>
    <s v="Yes"/>
    <x v="1"/>
    <n v="85.02"/>
    <n v="4947.34"/>
    <s v="Faisalabad"/>
    <s v="No"/>
    <n v="0"/>
  </r>
  <r>
    <s v="CUST-00537"/>
    <n v="21"/>
    <s v="No"/>
    <s v="Yes"/>
    <s v="Yes"/>
    <x v="29"/>
    <s v="No"/>
    <s v="No phone service"/>
    <x v="0"/>
    <x v="2"/>
    <s v="No"/>
    <x v="1"/>
    <n v="98.42"/>
    <n v="6303.48"/>
    <s v="Lahore"/>
    <s v="Yes"/>
    <n v="1"/>
  </r>
  <r>
    <s v="CUST-00538"/>
    <n v="67"/>
    <s v="Yes"/>
    <s v="Yes"/>
    <s v="Yes"/>
    <x v="45"/>
    <s v="Yes"/>
    <s v="No"/>
    <x v="0"/>
    <x v="2"/>
    <s v="No"/>
    <x v="2"/>
    <n v="84.88"/>
    <n v="5146.1000000000004"/>
    <s v="Multan"/>
    <s v="No"/>
    <n v="0"/>
  </r>
  <r>
    <s v="CUST-00539"/>
    <n v="46"/>
    <s v="No"/>
    <s v="No"/>
    <s v="No"/>
    <x v="66"/>
    <s v="Yes"/>
    <s v="No"/>
    <x v="0"/>
    <x v="0"/>
    <s v="Yes"/>
    <x v="0"/>
    <n v="70.900000000000006"/>
    <n v="1680.15"/>
    <s v="Multan"/>
    <s v="Yes"/>
    <n v="1"/>
  </r>
  <r>
    <s v="CUST-00540"/>
    <n v="48"/>
    <s v="No"/>
    <s v="No"/>
    <s v="No"/>
    <x v="31"/>
    <s v="No"/>
    <s v="No phone service"/>
    <x v="0"/>
    <x v="0"/>
    <s v="No"/>
    <x v="1"/>
    <n v="74.38"/>
    <n v="4480.76"/>
    <s v="Peshawar"/>
    <s v="Yes"/>
    <n v="1"/>
  </r>
  <r>
    <s v="CUST-00541"/>
    <n v="19"/>
    <s v="No"/>
    <s v="Yes"/>
    <s v="Yes"/>
    <x v="20"/>
    <s v="Yes"/>
    <s v="No"/>
    <x v="1"/>
    <x v="2"/>
    <s v="Yes"/>
    <x v="3"/>
    <n v="70.790000000000006"/>
    <n v="1830.63"/>
    <s v="Lahore"/>
    <s v="No"/>
    <n v="0"/>
  </r>
  <r>
    <s v="CUST-00542"/>
    <n v="28"/>
    <s v="No"/>
    <s v="Yes"/>
    <s v="No"/>
    <x v="31"/>
    <s v="No"/>
    <s v="No phone service"/>
    <x v="1"/>
    <x v="0"/>
    <s v="Yes"/>
    <x v="3"/>
    <n v="73.180000000000007"/>
    <n v="4550.4399999999996"/>
    <s v="Lahore"/>
    <s v="No"/>
    <n v="0"/>
  </r>
  <r>
    <s v="CUST-00543"/>
    <n v="58"/>
    <s v="No"/>
    <s v="No"/>
    <s v="No"/>
    <x v="59"/>
    <s v="No"/>
    <s v="No phone service"/>
    <x v="1"/>
    <x v="2"/>
    <s v="No"/>
    <x v="0"/>
    <n v="63.64"/>
    <n v="4127.45"/>
    <s v="Peshawar"/>
    <s v="No"/>
    <n v="0"/>
  </r>
  <r>
    <s v="CUST-00544"/>
    <n v="73"/>
    <s v="Yes"/>
    <s v="No"/>
    <s v="Yes"/>
    <x v="5"/>
    <s v="No"/>
    <s v="No phone service"/>
    <x v="1"/>
    <x v="0"/>
    <s v="Yes"/>
    <x v="3"/>
    <n v="65.930000000000007"/>
    <n v="552.07000000000005"/>
    <s v="Faisalabad"/>
    <s v="Yes"/>
    <n v="1"/>
  </r>
  <r>
    <s v="CUST-00545"/>
    <n v="59"/>
    <s v="No"/>
    <s v="No"/>
    <s v="No"/>
    <x v="68"/>
    <s v="No"/>
    <s v="No phone service"/>
    <x v="0"/>
    <x v="0"/>
    <s v="No"/>
    <x v="3"/>
    <n v="81.61"/>
    <n v="4416.4399999999996"/>
    <s v="Islamabad"/>
    <s v="No"/>
    <n v="0"/>
  </r>
  <r>
    <s v="CUST-00546"/>
    <n v="56"/>
    <s v="No"/>
    <s v="No"/>
    <s v="Yes"/>
    <x v="41"/>
    <s v="No"/>
    <s v="No phone service"/>
    <x v="1"/>
    <x v="1"/>
    <s v="No"/>
    <x v="1"/>
    <n v="71.989999999999995"/>
    <n v="2848.72"/>
    <s v="Islamabad"/>
    <s v="No"/>
    <n v="0"/>
  </r>
  <r>
    <s v="CUST-00547"/>
    <n v="62"/>
    <s v="Yes"/>
    <s v="Yes"/>
    <s v="No"/>
    <x v="49"/>
    <s v="Yes"/>
    <s v="No"/>
    <x v="0"/>
    <x v="2"/>
    <s v="No"/>
    <x v="2"/>
    <n v="94.69"/>
    <n v="1558.49"/>
    <s v="Lahore"/>
    <s v="No"/>
    <n v="0"/>
  </r>
  <r>
    <s v="CUST-00548"/>
    <n v="40"/>
    <s v="No"/>
    <s v="No"/>
    <s v="No"/>
    <x v="50"/>
    <s v="Yes"/>
    <s v="No"/>
    <x v="0"/>
    <x v="2"/>
    <s v="Yes"/>
    <x v="1"/>
    <n v="76.03"/>
    <n v="1543.77"/>
    <s v="Islamabad"/>
    <s v="Yes"/>
    <n v="1"/>
  </r>
  <r>
    <s v="CUST-00549"/>
    <n v="68"/>
    <s v="Yes"/>
    <s v="No"/>
    <s v="Yes"/>
    <x v="55"/>
    <s v="Yes"/>
    <s v="No"/>
    <x v="0"/>
    <x v="1"/>
    <s v="Yes"/>
    <x v="1"/>
    <n v="116.33"/>
    <n v="8313.27"/>
    <s v="Peshawar"/>
    <s v="No"/>
    <n v="0"/>
  </r>
  <r>
    <s v="CUST-00550"/>
    <n v="66"/>
    <s v="Yes"/>
    <s v="Yes"/>
    <s v="Yes"/>
    <x v="26"/>
    <s v="Yes"/>
    <s v="No"/>
    <x v="2"/>
    <x v="2"/>
    <s v="Yes"/>
    <x v="2"/>
    <n v="28.93"/>
    <n v="388.35"/>
    <s v="Rawalpindi"/>
    <s v="Yes"/>
    <n v="1"/>
  </r>
  <r>
    <s v="CUST-00551"/>
    <n v="66"/>
    <s v="Yes"/>
    <s v="No"/>
    <s v="Yes"/>
    <x v="56"/>
    <s v="No"/>
    <s v="No phone service"/>
    <x v="1"/>
    <x v="1"/>
    <s v="Yes"/>
    <x v="1"/>
    <n v="57.56"/>
    <n v="1139.56"/>
    <s v="Karachi"/>
    <s v="No"/>
    <n v="0"/>
  </r>
  <r>
    <s v="CUST-00552"/>
    <n v="71"/>
    <s v="Yes"/>
    <s v="No"/>
    <s v="No"/>
    <x v="28"/>
    <s v="Yes"/>
    <s v="Yes"/>
    <x v="1"/>
    <x v="0"/>
    <s v="No"/>
    <x v="0"/>
    <n v="66.599999999999994"/>
    <n v="2361.1799999999998"/>
    <s v="Rawalpindi"/>
    <s v="No"/>
    <n v="0"/>
  </r>
  <r>
    <s v="CUST-00553"/>
    <n v="68"/>
    <s v="Yes"/>
    <s v="Yes"/>
    <s v="Yes"/>
    <x v="46"/>
    <s v="No"/>
    <s v="No phone service"/>
    <x v="0"/>
    <x v="1"/>
    <s v="No"/>
    <x v="2"/>
    <n v="92.13"/>
    <n v="5231.42"/>
    <s v="Faisalabad"/>
    <s v="No"/>
    <n v="0"/>
  </r>
  <r>
    <s v="CUST-00554"/>
    <n v="22"/>
    <s v="No"/>
    <s v="Yes"/>
    <s v="No"/>
    <x v="52"/>
    <s v="Yes"/>
    <s v="No"/>
    <x v="0"/>
    <x v="2"/>
    <s v="Yes"/>
    <x v="1"/>
    <n v="102.07"/>
    <n v="4387"/>
    <s v="Multan"/>
    <s v="Yes"/>
    <n v="1"/>
  </r>
  <r>
    <s v="CUST-00555"/>
    <n v="63"/>
    <s v="Yes"/>
    <s v="No"/>
    <s v="No"/>
    <x v="27"/>
    <s v="No"/>
    <s v="No phone service"/>
    <x v="2"/>
    <x v="0"/>
    <s v="No"/>
    <x v="2"/>
    <n v="18.09"/>
    <n v="915.82"/>
    <s v="Karachi"/>
    <s v="No"/>
    <n v="0"/>
  </r>
  <r>
    <s v="CUST-00556"/>
    <n v="62"/>
    <s v="Yes"/>
    <s v="No"/>
    <s v="No"/>
    <x v="20"/>
    <s v="No"/>
    <s v="No phone service"/>
    <x v="2"/>
    <x v="0"/>
    <s v="No"/>
    <x v="1"/>
    <n v="28.57"/>
    <n v="732.91"/>
    <s v="Rawalpindi"/>
    <s v="No"/>
    <n v="0"/>
  </r>
  <r>
    <s v="CUST-00557"/>
    <n v="64"/>
    <s v="Yes"/>
    <s v="Yes"/>
    <s v="No"/>
    <x v="10"/>
    <s v="No"/>
    <s v="No phone service"/>
    <x v="0"/>
    <x v="2"/>
    <s v="Yes"/>
    <x v="3"/>
    <n v="114.52"/>
    <n v="3221.93"/>
    <s v="Peshawar"/>
    <s v="Yes"/>
    <n v="1"/>
  </r>
  <r>
    <s v="CUST-00558"/>
    <n v="67"/>
    <s v="Yes"/>
    <s v="No"/>
    <s v="No"/>
    <x v="30"/>
    <s v="Yes"/>
    <s v="No"/>
    <x v="0"/>
    <x v="2"/>
    <s v="No"/>
    <x v="3"/>
    <n v="107.83"/>
    <n v="7380.15"/>
    <s v="Faisalabad"/>
    <s v="Yes"/>
    <n v="1"/>
  </r>
  <r>
    <s v="CUST-00559"/>
    <n v="65"/>
    <s v="Yes"/>
    <s v="Yes"/>
    <s v="No"/>
    <x v="13"/>
    <s v="Yes"/>
    <s v="No"/>
    <x v="2"/>
    <x v="2"/>
    <s v="Yes"/>
    <x v="1"/>
    <n v="24.24"/>
    <n v="1034.26"/>
    <s v="Faisalabad"/>
    <s v="Yes"/>
    <n v="1"/>
  </r>
  <r>
    <s v="CUST-00560"/>
    <n v="30"/>
    <s v="No"/>
    <s v="No"/>
    <s v="No"/>
    <x v="43"/>
    <s v="No"/>
    <s v="No phone service"/>
    <x v="0"/>
    <x v="1"/>
    <s v="Yes"/>
    <x v="3"/>
    <n v="91.24"/>
    <n v="1133.47"/>
    <s v="Lahore"/>
    <s v="Yes"/>
    <n v="1"/>
  </r>
  <r>
    <s v="CUST-00561"/>
    <n v="41"/>
    <s v="No"/>
    <s v="No"/>
    <s v="No"/>
    <x v="15"/>
    <s v="No"/>
    <s v="No phone service"/>
    <x v="1"/>
    <x v="1"/>
    <s v="No"/>
    <x v="1"/>
    <n v="56.68"/>
    <n v="1849.15"/>
    <s v="Rawalpindi"/>
    <s v="No"/>
    <n v="0"/>
  </r>
  <r>
    <s v="CUST-00562"/>
    <n v="63"/>
    <s v="Yes"/>
    <s v="No"/>
    <s v="Yes"/>
    <x v="29"/>
    <s v="Yes"/>
    <s v="No"/>
    <x v="2"/>
    <x v="2"/>
    <s v="Yes"/>
    <x v="1"/>
    <n v="29.33"/>
    <n v="1905.43"/>
    <s v="Faisalabad"/>
    <s v="No"/>
    <n v="0"/>
  </r>
  <r>
    <s v="CUST-00563"/>
    <n v="72"/>
    <s v="Yes"/>
    <s v="No"/>
    <s v="Yes"/>
    <x v="34"/>
    <s v="No"/>
    <s v="No phone service"/>
    <x v="0"/>
    <x v="2"/>
    <s v="Yes"/>
    <x v="3"/>
    <n v="85.25"/>
    <n v="1343.45"/>
    <s v="Lahore"/>
    <s v="Yes"/>
    <n v="1"/>
  </r>
  <r>
    <s v="CUST-00564"/>
    <n v="68"/>
    <s v="Yes"/>
    <s v="Yes"/>
    <s v="Yes"/>
    <x v="17"/>
    <s v="No"/>
    <s v="No phone service"/>
    <x v="0"/>
    <x v="1"/>
    <s v="Yes"/>
    <x v="3"/>
    <n v="106.98"/>
    <n v="5431.75"/>
    <s v="Lahore"/>
    <s v="No"/>
    <n v="0"/>
  </r>
  <r>
    <s v="CUST-00565"/>
    <n v="73"/>
    <s v="Yes"/>
    <s v="Yes"/>
    <s v="No"/>
    <x v="48"/>
    <s v="No"/>
    <s v="No phone service"/>
    <x v="1"/>
    <x v="1"/>
    <s v="No"/>
    <x v="0"/>
    <n v="68.8"/>
    <n v="4319.71"/>
    <s v="Faisalabad"/>
    <s v="No"/>
    <n v="0"/>
  </r>
  <r>
    <s v="CUST-00566"/>
    <n v="58"/>
    <s v="No"/>
    <s v="No"/>
    <s v="No"/>
    <x v="37"/>
    <s v="No"/>
    <s v="No phone service"/>
    <x v="0"/>
    <x v="2"/>
    <s v="No"/>
    <x v="0"/>
    <n v="115.01"/>
    <n v="6541.7"/>
    <s v="Multan"/>
    <s v="Yes"/>
    <n v="1"/>
  </r>
  <r>
    <s v="CUST-00567"/>
    <n v="74"/>
    <s v="Yes"/>
    <s v="No"/>
    <s v="No"/>
    <x v="2"/>
    <s v="Yes"/>
    <s v="No"/>
    <x v="2"/>
    <x v="0"/>
    <s v="No"/>
    <x v="0"/>
    <n v="19.489999999999998"/>
    <n v="235.55"/>
    <s v="Faisalabad"/>
    <s v="Yes"/>
    <n v="1"/>
  </r>
  <r>
    <s v="CUST-00568"/>
    <n v="52"/>
    <s v="No"/>
    <s v="Yes"/>
    <s v="Yes"/>
    <x v="12"/>
    <s v="Yes"/>
    <s v="Yes"/>
    <x v="1"/>
    <x v="1"/>
    <s v="Yes"/>
    <x v="2"/>
    <n v="51"/>
    <n v="3001.17"/>
    <s v="Peshawar"/>
    <s v="No"/>
    <n v="0"/>
  </r>
  <r>
    <s v="CUST-00569"/>
    <n v="74"/>
    <s v="Yes"/>
    <s v="No"/>
    <s v="Yes"/>
    <x v="8"/>
    <s v="No"/>
    <s v="No phone service"/>
    <x v="1"/>
    <x v="0"/>
    <s v="No"/>
    <x v="2"/>
    <n v="40.93"/>
    <n v="2802.83"/>
    <s v="Peshawar"/>
    <s v="No"/>
    <n v="0"/>
  </r>
  <r>
    <s v="CUST-00570"/>
    <n v="51"/>
    <s v="No"/>
    <s v="No"/>
    <s v="No"/>
    <x v="54"/>
    <s v="Yes"/>
    <s v="No"/>
    <x v="0"/>
    <x v="2"/>
    <s v="Yes"/>
    <x v="3"/>
    <n v="74.48"/>
    <n v="2400.86"/>
    <s v="Karachi"/>
    <s v="Yes"/>
    <n v="1"/>
  </r>
  <r>
    <s v="CUST-00571"/>
    <n v="21"/>
    <s v="No"/>
    <s v="No"/>
    <s v="Yes"/>
    <x v="39"/>
    <s v="No"/>
    <s v="No phone service"/>
    <x v="1"/>
    <x v="2"/>
    <s v="No"/>
    <x v="3"/>
    <n v="75.72"/>
    <n v="294.08"/>
    <s v="Lahore"/>
    <s v="No"/>
    <n v="0"/>
  </r>
  <r>
    <s v="CUST-00572"/>
    <n v="21"/>
    <s v="No"/>
    <s v="Yes"/>
    <s v="Yes"/>
    <x v="33"/>
    <s v="No"/>
    <s v="No phone service"/>
    <x v="1"/>
    <x v="1"/>
    <s v="No"/>
    <x v="3"/>
    <n v="58.59"/>
    <n v="1796.04"/>
    <s v="Rawalpindi"/>
    <s v="No"/>
    <n v="0"/>
  </r>
  <r>
    <s v="CUST-00573"/>
    <n v="58"/>
    <s v="No"/>
    <s v="Yes"/>
    <s v="Yes"/>
    <x v="61"/>
    <s v="Yes"/>
    <s v="Yes"/>
    <x v="1"/>
    <x v="0"/>
    <s v="Yes"/>
    <x v="3"/>
    <n v="56.27"/>
    <n v="1871.11"/>
    <s v="Karachi"/>
    <s v="No"/>
    <n v="0"/>
  </r>
  <r>
    <s v="CUST-00574"/>
    <n v="68"/>
    <s v="Yes"/>
    <s v="Yes"/>
    <s v="No"/>
    <x v="14"/>
    <s v="Yes"/>
    <s v="No"/>
    <x v="2"/>
    <x v="2"/>
    <s v="No"/>
    <x v="3"/>
    <n v="27.75"/>
    <n v="2049.9899999999998"/>
    <s v="Multan"/>
    <s v="No"/>
    <n v="0"/>
  </r>
  <r>
    <s v="CUST-00575"/>
    <n v="28"/>
    <s v="No"/>
    <s v="Yes"/>
    <s v="Yes"/>
    <x v="48"/>
    <s v="No"/>
    <s v="No phone service"/>
    <x v="0"/>
    <x v="1"/>
    <s v="No"/>
    <x v="2"/>
    <n v="112.12"/>
    <n v="6711.83"/>
    <s v="Islamabad"/>
    <s v="No"/>
    <n v="0"/>
  </r>
  <r>
    <s v="CUST-00576"/>
    <n v="20"/>
    <s v="No"/>
    <s v="Yes"/>
    <s v="Yes"/>
    <x v="9"/>
    <s v="Yes"/>
    <s v="No"/>
    <x v="0"/>
    <x v="0"/>
    <s v="No"/>
    <x v="2"/>
    <n v="80.540000000000006"/>
    <n v="3142.88"/>
    <s v="Multan"/>
    <s v="No"/>
    <n v="0"/>
  </r>
  <r>
    <s v="CUST-00577"/>
    <n v="39"/>
    <s v="No"/>
    <s v="No"/>
    <s v="No"/>
    <x v="61"/>
    <s v="No"/>
    <s v="No phone service"/>
    <x v="0"/>
    <x v="2"/>
    <s v="No"/>
    <x v="2"/>
    <n v="86.42"/>
    <n v="3174.97"/>
    <s v="Lahore"/>
    <s v="Yes"/>
    <n v="1"/>
  </r>
  <r>
    <s v="CUST-00578"/>
    <n v="56"/>
    <s v="No"/>
    <s v="No"/>
    <s v="Yes"/>
    <x v="65"/>
    <s v="No"/>
    <s v="No phone service"/>
    <x v="1"/>
    <x v="0"/>
    <s v="No"/>
    <x v="1"/>
    <n v="61.53"/>
    <n v="127.3"/>
    <s v="Lahore"/>
    <s v="No"/>
    <n v="0"/>
  </r>
  <r>
    <s v="CUST-00579"/>
    <n v="52"/>
    <s v="No"/>
    <s v="Yes"/>
    <s v="No"/>
    <x v="34"/>
    <s v="No"/>
    <s v="No phone service"/>
    <x v="0"/>
    <x v="1"/>
    <s v="No"/>
    <x v="0"/>
    <n v="111.96"/>
    <n v="1858.4"/>
    <s v="Lahore"/>
    <s v="No"/>
    <n v="0"/>
  </r>
  <r>
    <s v="CUST-00580"/>
    <n v="47"/>
    <s v="No"/>
    <s v="No"/>
    <s v="Yes"/>
    <x v="71"/>
    <s v="Yes"/>
    <s v="No"/>
    <x v="0"/>
    <x v="0"/>
    <s v="No"/>
    <x v="3"/>
    <n v="110.81"/>
    <n v="6411.09"/>
    <s v="Karachi"/>
    <s v="No"/>
    <n v="0"/>
  </r>
  <r>
    <s v="CUST-00581"/>
    <n v="32"/>
    <s v="No"/>
    <s v="No"/>
    <s v="No"/>
    <x v="24"/>
    <s v="Yes"/>
    <s v="Yes"/>
    <x v="0"/>
    <x v="1"/>
    <s v="No"/>
    <x v="3"/>
    <n v="83.87"/>
    <n v="419.37"/>
    <s v="Karachi"/>
    <s v="Yes"/>
    <n v="1"/>
  </r>
  <r>
    <s v="CUST-00582"/>
    <n v="60"/>
    <s v="Yes"/>
    <s v="Yes"/>
    <s v="Yes"/>
    <x v="49"/>
    <s v="Yes"/>
    <s v="Yes"/>
    <x v="1"/>
    <x v="0"/>
    <s v="Yes"/>
    <x v="2"/>
    <n v="69.16"/>
    <n v="1143.8800000000001"/>
    <s v="Lahore"/>
    <s v="No"/>
    <n v="0"/>
  </r>
  <r>
    <s v="CUST-00583"/>
    <n v="62"/>
    <s v="Yes"/>
    <s v="No"/>
    <s v="No"/>
    <x v="11"/>
    <s v="Yes"/>
    <s v="No"/>
    <x v="2"/>
    <x v="2"/>
    <s v="No"/>
    <x v="3"/>
    <n v="26.16"/>
    <n v="26.06"/>
    <s v="Peshawar"/>
    <s v="Yes"/>
    <n v="1"/>
  </r>
  <r>
    <s v="CUST-00584"/>
    <n v="20"/>
    <s v="No"/>
    <s v="Yes"/>
    <s v="Yes"/>
    <x v="0"/>
    <s v="No"/>
    <s v="No phone service"/>
    <x v="2"/>
    <x v="2"/>
    <s v="No"/>
    <x v="3"/>
    <n v="18.98"/>
    <n v="689.17"/>
    <s v="Multan"/>
    <s v="Yes"/>
    <n v="1"/>
  </r>
  <r>
    <s v="CUST-00585"/>
    <n v="32"/>
    <s v="No"/>
    <s v="No"/>
    <s v="Yes"/>
    <x v="36"/>
    <s v="No"/>
    <s v="No phone service"/>
    <x v="0"/>
    <x v="2"/>
    <s v="Yes"/>
    <x v="3"/>
    <n v="91.6"/>
    <n v="2763.78"/>
    <s v="Islamabad"/>
    <s v="No"/>
    <n v="0"/>
  </r>
  <r>
    <s v="CUST-00586"/>
    <n v="71"/>
    <s v="Yes"/>
    <s v="No"/>
    <s v="Yes"/>
    <x v="26"/>
    <s v="No"/>
    <s v="No phone service"/>
    <x v="1"/>
    <x v="1"/>
    <s v="No"/>
    <x v="0"/>
    <n v="49.47"/>
    <n v="657.08"/>
    <s v="Rawalpindi"/>
    <s v="No"/>
    <n v="0"/>
  </r>
  <r>
    <s v="CUST-00587"/>
    <n v="66"/>
    <s v="Yes"/>
    <s v="Yes"/>
    <s v="No"/>
    <x v="34"/>
    <s v="Yes"/>
    <s v="No"/>
    <x v="0"/>
    <x v="2"/>
    <s v="Yes"/>
    <x v="1"/>
    <n v="73.099999999999994"/>
    <n v="1212.04"/>
    <s v="Faisalabad"/>
    <s v="Yes"/>
    <n v="1"/>
  </r>
  <r>
    <s v="CUST-00588"/>
    <n v="58"/>
    <s v="No"/>
    <s v="No"/>
    <s v="Yes"/>
    <x v="26"/>
    <s v="Yes"/>
    <s v="Yes"/>
    <x v="1"/>
    <x v="2"/>
    <s v="Yes"/>
    <x v="1"/>
    <n v="56.44"/>
    <n v="824.73"/>
    <s v="Faisalabad"/>
    <s v="No"/>
    <n v="0"/>
  </r>
  <r>
    <s v="CUST-00589"/>
    <n v="18"/>
    <s v="No"/>
    <s v="No"/>
    <s v="No"/>
    <x v="45"/>
    <s v="Yes"/>
    <s v="Yes"/>
    <x v="1"/>
    <x v="1"/>
    <s v="Yes"/>
    <x v="0"/>
    <n v="53.13"/>
    <n v="3070.16"/>
    <s v="Faisalabad"/>
    <s v="Yes"/>
    <n v="1"/>
  </r>
  <r>
    <s v="CUST-00590"/>
    <n v="63"/>
    <s v="Yes"/>
    <s v="Yes"/>
    <s v="Yes"/>
    <x v="49"/>
    <s v="No"/>
    <s v="No phone service"/>
    <x v="1"/>
    <x v="2"/>
    <s v="No"/>
    <x v="1"/>
    <n v="57.78"/>
    <n v="951.99"/>
    <s v="Lahore"/>
    <s v="No"/>
    <n v="0"/>
  </r>
  <r>
    <s v="CUST-00591"/>
    <n v="26"/>
    <s v="No"/>
    <s v="No"/>
    <s v="No"/>
    <x v="29"/>
    <s v="No"/>
    <s v="No phone service"/>
    <x v="2"/>
    <x v="2"/>
    <s v="Yes"/>
    <x v="3"/>
    <n v="21.7"/>
    <n v="1405.2"/>
    <s v="Lahore"/>
    <s v="Yes"/>
    <n v="1"/>
  </r>
  <r>
    <s v="CUST-00592"/>
    <n v="51"/>
    <s v="No"/>
    <s v="Yes"/>
    <s v="Yes"/>
    <x v="33"/>
    <s v="Yes"/>
    <s v="No"/>
    <x v="1"/>
    <x v="2"/>
    <s v="Yes"/>
    <x v="1"/>
    <n v="48.05"/>
    <n v="1412.4"/>
    <s v="Rawalpindi"/>
    <s v="Yes"/>
    <n v="1"/>
  </r>
  <r>
    <s v="CUST-00593"/>
    <n v="62"/>
    <s v="Yes"/>
    <s v="No"/>
    <s v="No"/>
    <x v="21"/>
    <s v="No"/>
    <s v="No phone service"/>
    <x v="1"/>
    <x v="2"/>
    <s v="Yes"/>
    <x v="0"/>
    <n v="71.569999999999993"/>
    <n v="2908.44"/>
    <s v="Lahore"/>
    <s v="Yes"/>
    <n v="1"/>
  </r>
  <r>
    <s v="CUST-00594"/>
    <n v="58"/>
    <s v="No"/>
    <s v="Yes"/>
    <s v="Yes"/>
    <x v="45"/>
    <s v="Yes"/>
    <s v="No"/>
    <x v="1"/>
    <x v="0"/>
    <s v="No"/>
    <x v="1"/>
    <n v="55.04"/>
    <n v="3262.9"/>
    <s v="Lahore"/>
    <s v="No"/>
    <n v="0"/>
  </r>
  <r>
    <s v="CUST-00595"/>
    <n v="41"/>
    <s v="No"/>
    <s v="Yes"/>
    <s v="Yes"/>
    <x v="4"/>
    <s v="Yes"/>
    <s v="Yes"/>
    <x v="0"/>
    <x v="2"/>
    <s v="No"/>
    <x v="3"/>
    <n v="71.48"/>
    <n v="3168.85"/>
    <s v="Islamabad"/>
    <s v="Yes"/>
    <n v="1"/>
  </r>
  <r>
    <s v="CUST-00596"/>
    <n v="64"/>
    <s v="Yes"/>
    <s v="Yes"/>
    <s v="No"/>
    <x v="60"/>
    <s v="Yes"/>
    <s v="Yes"/>
    <x v="0"/>
    <x v="1"/>
    <s v="Yes"/>
    <x v="3"/>
    <n v="103.87"/>
    <n v="7267.62"/>
    <s v="Lahore"/>
    <s v="No"/>
    <n v="0"/>
  </r>
  <r>
    <s v="CUST-00597"/>
    <n v="39"/>
    <s v="No"/>
    <s v="Yes"/>
    <s v="No"/>
    <x v="35"/>
    <s v="No"/>
    <s v="No phone service"/>
    <x v="0"/>
    <x v="0"/>
    <s v="No"/>
    <x v="2"/>
    <n v="73.27"/>
    <n v="4138.4799999999996"/>
    <s v="Peshawar"/>
    <s v="No"/>
    <n v="0"/>
  </r>
  <r>
    <s v="CUST-00598"/>
    <n v="30"/>
    <s v="No"/>
    <s v="Yes"/>
    <s v="No"/>
    <x v="22"/>
    <s v="No"/>
    <s v="No phone service"/>
    <x v="0"/>
    <x v="1"/>
    <s v="Yes"/>
    <x v="2"/>
    <n v="108.15"/>
    <n v="5245.6"/>
    <s v="Islamabad"/>
    <s v="No"/>
    <n v="0"/>
  </r>
  <r>
    <s v="CUST-00599"/>
    <n v="68"/>
    <s v="Yes"/>
    <s v="Yes"/>
    <s v="No"/>
    <x v="36"/>
    <s v="No"/>
    <s v="No phone service"/>
    <x v="0"/>
    <x v="1"/>
    <s v="No"/>
    <x v="3"/>
    <n v="74.069999999999993"/>
    <n v="2361.9"/>
    <s v="Lahore"/>
    <s v="No"/>
    <n v="0"/>
  </r>
  <r>
    <s v="CUST-00600"/>
    <n v="28"/>
    <s v="No"/>
    <s v="No"/>
    <s v="No"/>
    <x v="59"/>
    <s v="Yes"/>
    <s v="Yes"/>
    <x v="1"/>
    <x v="2"/>
    <s v="No"/>
    <x v="1"/>
    <n v="59.79"/>
    <n v="3720.18"/>
    <s v="Peshawar"/>
    <s v="No"/>
    <n v="0"/>
  </r>
  <r>
    <s v="CUST-00601"/>
    <n v="55"/>
    <s v="No"/>
    <s v="Yes"/>
    <s v="Yes"/>
    <x v="1"/>
    <s v="No"/>
    <s v="No phone service"/>
    <x v="2"/>
    <x v="1"/>
    <s v="No"/>
    <x v="3"/>
    <n v="23.1"/>
    <n v="660.02"/>
    <s v="Peshawar"/>
    <s v="Yes"/>
    <n v="1"/>
  </r>
  <r>
    <s v="CUST-00602"/>
    <n v="41"/>
    <s v="No"/>
    <s v="No"/>
    <s v="Yes"/>
    <x v="58"/>
    <s v="No"/>
    <s v="No phone service"/>
    <x v="1"/>
    <x v="2"/>
    <s v="No"/>
    <x v="3"/>
    <n v="41.65"/>
    <n v="750.8"/>
    <s v="Rawalpindi"/>
    <s v="Yes"/>
    <n v="1"/>
  </r>
  <r>
    <s v="CUST-00603"/>
    <n v="47"/>
    <s v="No"/>
    <s v="No"/>
    <s v="No"/>
    <x v="22"/>
    <s v="No"/>
    <s v="No phone service"/>
    <x v="2"/>
    <x v="2"/>
    <s v="Yes"/>
    <x v="3"/>
    <n v="20.81"/>
    <n v="1016.3"/>
    <s v="Lahore"/>
    <s v="Yes"/>
    <n v="1"/>
  </r>
  <r>
    <s v="CUST-00604"/>
    <n v="36"/>
    <s v="No"/>
    <s v="Yes"/>
    <s v="No"/>
    <x v="38"/>
    <s v="Yes"/>
    <s v="No"/>
    <x v="0"/>
    <x v="2"/>
    <s v="No"/>
    <x v="3"/>
    <n v="86.46"/>
    <n v="2532.39"/>
    <s v="Multan"/>
    <s v="No"/>
    <n v="0"/>
  </r>
  <r>
    <s v="CUST-00605"/>
    <n v="72"/>
    <s v="Yes"/>
    <s v="No"/>
    <s v="Yes"/>
    <x v="58"/>
    <s v="No"/>
    <s v="No phone service"/>
    <x v="2"/>
    <x v="2"/>
    <s v="No"/>
    <x v="3"/>
    <n v="22.16"/>
    <n v="422.66"/>
    <s v="Peshawar"/>
    <s v="No"/>
    <n v="0"/>
  </r>
  <r>
    <s v="CUST-00606"/>
    <n v="55"/>
    <s v="No"/>
    <s v="Yes"/>
    <s v="No"/>
    <x v="29"/>
    <s v="Yes"/>
    <s v="No"/>
    <x v="2"/>
    <x v="2"/>
    <s v="Yes"/>
    <x v="0"/>
    <n v="24.19"/>
    <n v="1651.33"/>
    <s v="Multan"/>
    <s v="No"/>
    <n v="0"/>
  </r>
  <r>
    <s v="CUST-00607"/>
    <n v="70"/>
    <s v="Yes"/>
    <s v="No"/>
    <s v="No"/>
    <x v="32"/>
    <s v="Yes"/>
    <s v="No"/>
    <x v="0"/>
    <x v="1"/>
    <s v="No"/>
    <x v="3"/>
    <n v="92.5"/>
    <n v="1024.6400000000001"/>
    <s v="Faisalabad"/>
    <s v="Yes"/>
    <n v="1"/>
  </r>
  <r>
    <s v="CUST-00608"/>
    <n v="73"/>
    <s v="Yes"/>
    <s v="Yes"/>
    <s v="No"/>
    <x v="65"/>
    <s v="No"/>
    <s v="No phone service"/>
    <x v="1"/>
    <x v="2"/>
    <s v="No"/>
    <x v="0"/>
    <n v="70.11"/>
    <n v="144.63999999999999"/>
    <s v="Islamabad"/>
    <s v="No"/>
    <n v="0"/>
  </r>
  <r>
    <s v="CUST-00609"/>
    <n v="38"/>
    <s v="No"/>
    <s v="Yes"/>
    <s v="Yes"/>
    <x v="58"/>
    <s v="No"/>
    <s v="No phone service"/>
    <x v="0"/>
    <x v="0"/>
    <s v="No"/>
    <x v="2"/>
    <n v="80.209999999999994"/>
    <n v="1424.83"/>
    <s v="Karachi"/>
    <s v="No"/>
    <n v="0"/>
  </r>
  <r>
    <s v="CUST-00610"/>
    <n v="48"/>
    <s v="No"/>
    <s v="Yes"/>
    <s v="No"/>
    <x v="37"/>
    <s v="No"/>
    <s v="No phone service"/>
    <x v="1"/>
    <x v="2"/>
    <s v="Yes"/>
    <x v="1"/>
    <n v="47.11"/>
    <n v="2839.43"/>
    <s v="Lahore"/>
    <s v="No"/>
    <n v="0"/>
  </r>
  <r>
    <s v="CUST-00611"/>
    <n v="29"/>
    <s v="No"/>
    <s v="Yes"/>
    <s v="Yes"/>
    <x v="57"/>
    <s v="Yes"/>
    <s v="Yes"/>
    <x v="0"/>
    <x v="2"/>
    <s v="No"/>
    <x v="3"/>
    <n v="95.93"/>
    <n v="4607.6099999999997"/>
    <s v="Rawalpindi"/>
    <s v="No"/>
    <n v="0"/>
  </r>
  <r>
    <s v="CUST-00612"/>
    <n v="43"/>
    <s v="No"/>
    <s v="Yes"/>
    <s v="Yes"/>
    <x v="49"/>
    <s v="No"/>
    <s v="No phone service"/>
    <x v="1"/>
    <x v="0"/>
    <s v="No"/>
    <x v="2"/>
    <n v="74.63"/>
    <n v="1212.3699999999999"/>
    <s v="Rawalpindi"/>
    <s v="No"/>
    <n v="0"/>
  </r>
  <r>
    <s v="CUST-00613"/>
    <n v="70"/>
    <s v="Yes"/>
    <s v="No"/>
    <s v="Yes"/>
    <x v="70"/>
    <s v="No"/>
    <s v="No phone service"/>
    <x v="1"/>
    <x v="2"/>
    <s v="Yes"/>
    <x v="2"/>
    <n v="57.83"/>
    <n v="2403.3000000000002"/>
    <s v="Karachi"/>
    <s v="No"/>
    <n v="0"/>
  </r>
  <r>
    <s v="CUST-00614"/>
    <n v="51"/>
    <s v="No"/>
    <s v="No"/>
    <s v="No"/>
    <x v="35"/>
    <s v="Yes"/>
    <s v="No"/>
    <x v="1"/>
    <x v="2"/>
    <s v="No"/>
    <x v="3"/>
    <n v="73.709999999999994"/>
    <n v="4501.46"/>
    <s v="Peshawar"/>
    <s v="No"/>
    <n v="0"/>
  </r>
  <r>
    <s v="CUST-00615"/>
    <n v="69"/>
    <s v="Yes"/>
    <s v="Yes"/>
    <s v="No"/>
    <x v="36"/>
    <s v="No"/>
    <s v="No phone service"/>
    <x v="0"/>
    <x v="2"/>
    <s v="Yes"/>
    <x v="1"/>
    <n v="74.78"/>
    <n v="2450"/>
    <s v="Peshawar"/>
    <s v="Yes"/>
    <n v="1"/>
  </r>
  <r>
    <s v="CUST-00616"/>
    <n v="28"/>
    <s v="No"/>
    <s v="No"/>
    <s v="No"/>
    <x v="25"/>
    <s v="Yes"/>
    <s v="No"/>
    <x v="1"/>
    <x v="2"/>
    <s v="Yes"/>
    <x v="2"/>
    <n v="43.06"/>
    <n v="369.18"/>
    <s v="Islamabad"/>
    <s v="No"/>
    <n v="0"/>
  </r>
  <r>
    <s v="CUST-00617"/>
    <n v="44"/>
    <s v="No"/>
    <s v="No"/>
    <s v="Yes"/>
    <x v="54"/>
    <s v="Yes"/>
    <s v="No"/>
    <x v="0"/>
    <x v="2"/>
    <s v="No"/>
    <x v="0"/>
    <n v="107.3"/>
    <n v="3692.07"/>
    <s v="Lahore"/>
    <s v="Yes"/>
    <n v="1"/>
  </r>
  <r>
    <s v="CUST-00618"/>
    <n v="34"/>
    <s v="No"/>
    <s v="Yes"/>
    <s v="Yes"/>
    <x v="64"/>
    <s v="No"/>
    <s v="No phone service"/>
    <x v="1"/>
    <x v="2"/>
    <s v="Yes"/>
    <x v="3"/>
    <n v="66.28"/>
    <n v="2855.11"/>
    <s v="Rawalpindi"/>
    <s v="No"/>
    <n v="0"/>
  </r>
  <r>
    <s v="CUST-00619"/>
    <n v="70"/>
    <s v="Yes"/>
    <s v="No"/>
    <s v="Yes"/>
    <x v="51"/>
    <s v="Yes"/>
    <s v="Yes"/>
    <x v="2"/>
    <x v="2"/>
    <s v="No"/>
    <x v="3"/>
    <n v="26.06"/>
    <n v="539.69000000000005"/>
    <s v="Rawalpindi"/>
    <s v="Yes"/>
    <n v="1"/>
  </r>
  <r>
    <s v="CUST-00620"/>
    <n v="40"/>
    <s v="No"/>
    <s v="Yes"/>
    <s v="Yes"/>
    <x v="24"/>
    <s v="Yes"/>
    <s v="No"/>
    <x v="2"/>
    <x v="2"/>
    <s v="Yes"/>
    <x v="0"/>
    <n v="21.7"/>
    <n v="102.67"/>
    <s v="Peshawar"/>
    <s v="Yes"/>
    <n v="1"/>
  </r>
  <r>
    <s v="CUST-00621"/>
    <n v="42"/>
    <s v="No"/>
    <s v="Yes"/>
    <s v="Yes"/>
    <x v="22"/>
    <s v="Yes"/>
    <s v="Yes"/>
    <x v="2"/>
    <x v="2"/>
    <s v="Yes"/>
    <x v="3"/>
    <n v="20.309999999999999"/>
    <n v="994.64"/>
    <s v="Lahore"/>
    <s v="Yes"/>
    <n v="1"/>
  </r>
  <r>
    <s v="CUST-00622"/>
    <n v="69"/>
    <s v="Yes"/>
    <s v="Yes"/>
    <s v="Yes"/>
    <x v="42"/>
    <s v="Yes"/>
    <s v="No"/>
    <x v="0"/>
    <x v="2"/>
    <s v="Yes"/>
    <x v="1"/>
    <n v="116.72"/>
    <n v="691.5"/>
    <s v="Karachi"/>
    <s v="Yes"/>
    <n v="1"/>
  </r>
  <r>
    <s v="CUST-00623"/>
    <n v="31"/>
    <s v="No"/>
    <s v="Yes"/>
    <s v="No"/>
    <x v="64"/>
    <s v="No"/>
    <s v="No phone service"/>
    <x v="0"/>
    <x v="0"/>
    <s v="Yes"/>
    <x v="0"/>
    <n v="92.94"/>
    <n v="3700.19"/>
    <s v="Multan"/>
    <s v="No"/>
    <n v="0"/>
  </r>
  <r>
    <s v="CUST-00624"/>
    <n v="57"/>
    <s v="No"/>
    <s v="No"/>
    <s v="Yes"/>
    <x v="25"/>
    <s v="No"/>
    <s v="No phone service"/>
    <x v="2"/>
    <x v="2"/>
    <s v="No"/>
    <x v="2"/>
    <n v="19.22"/>
    <n v="173.73"/>
    <s v="Peshawar"/>
    <s v="No"/>
    <n v="0"/>
  </r>
  <r>
    <s v="CUST-00625"/>
    <n v="54"/>
    <s v="No"/>
    <s v="Yes"/>
    <s v="No"/>
    <x v="43"/>
    <s v="No"/>
    <s v="No phone service"/>
    <x v="1"/>
    <x v="0"/>
    <s v="Yes"/>
    <x v="3"/>
    <n v="65.41"/>
    <n v="889.51"/>
    <s v="Peshawar"/>
    <s v="No"/>
    <n v="0"/>
  </r>
  <r>
    <s v="CUST-00626"/>
    <n v="60"/>
    <s v="Yes"/>
    <s v="No"/>
    <s v="Yes"/>
    <x v="21"/>
    <s v="No"/>
    <s v="No phone service"/>
    <x v="0"/>
    <x v="2"/>
    <s v="Yes"/>
    <x v="0"/>
    <n v="105.23"/>
    <n v="4260.6099999999997"/>
    <s v="Peshawar"/>
    <s v="Yes"/>
    <n v="1"/>
  </r>
  <r>
    <s v="CUST-00627"/>
    <n v="75"/>
    <s v="Yes"/>
    <s v="Yes"/>
    <s v="No"/>
    <x v="33"/>
    <s v="Yes"/>
    <s v="No"/>
    <x v="1"/>
    <x v="2"/>
    <s v="No"/>
    <x v="0"/>
    <n v="48.08"/>
    <n v="1468.26"/>
    <s v="Karachi"/>
    <s v="No"/>
    <n v="0"/>
  </r>
  <r>
    <s v="CUST-00628"/>
    <n v="64"/>
    <s v="Yes"/>
    <s v="No"/>
    <s v="No"/>
    <x v="58"/>
    <s v="Yes"/>
    <s v="No"/>
    <x v="0"/>
    <x v="1"/>
    <s v="No"/>
    <x v="1"/>
    <n v="81.45"/>
    <n v="1507.07"/>
    <s v="Karachi"/>
    <s v="No"/>
    <n v="0"/>
  </r>
  <r>
    <s v="CUST-00629"/>
    <n v="52"/>
    <s v="No"/>
    <s v="Yes"/>
    <s v="Yes"/>
    <x v="1"/>
    <s v="No"/>
    <s v="No phone service"/>
    <x v="1"/>
    <x v="2"/>
    <s v="Yes"/>
    <x v="0"/>
    <n v="40.24"/>
    <n v="1218.75"/>
    <s v="Karachi"/>
    <s v="Yes"/>
    <n v="1"/>
  </r>
  <r>
    <s v="CUST-00630"/>
    <n v="21"/>
    <s v="No"/>
    <s v="Yes"/>
    <s v="Yes"/>
    <x v="49"/>
    <s v="Yes"/>
    <s v="Yes"/>
    <x v="0"/>
    <x v="2"/>
    <s v="No"/>
    <x v="3"/>
    <n v="106.08"/>
    <n v="1748.16"/>
    <s v="Karachi"/>
    <s v="Yes"/>
    <n v="1"/>
  </r>
  <r>
    <s v="CUST-00631"/>
    <n v="37"/>
    <s v="No"/>
    <s v="No"/>
    <s v="No"/>
    <x v="69"/>
    <s v="No"/>
    <s v="No phone service"/>
    <x v="0"/>
    <x v="2"/>
    <s v="No"/>
    <x v="0"/>
    <n v="78.39"/>
    <n v="2023.8"/>
    <s v="Multan"/>
    <s v="No"/>
    <n v="0"/>
  </r>
  <r>
    <s v="CUST-00632"/>
    <n v="45"/>
    <s v="No"/>
    <s v="Yes"/>
    <s v="No"/>
    <x v="47"/>
    <s v="No"/>
    <s v="No phone service"/>
    <x v="1"/>
    <x v="1"/>
    <s v="No"/>
    <x v="0"/>
    <n v="46.11"/>
    <n v="142.09"/>
    <s v="Rawalpindi"/>
    <s v="Yes"/>
    <n v="1"/>
  </r>
  <r>
    <s v="CUST-00633"/>
    <n v="37"/>
    <s v="No"/>
    <s v="No"/>
    <s v="No"/>
    <x v="63"/>
    <s v="No"/>
    <s v="No phone service"/>
    <x v="1"/>
    <x v="2"/>
    <s v="Yes"/>
    <x v="1"/>
    <n v="47.83"/>
    <n v="2460.6999999999998"/>
    <s v="Peshawar"/>
    <s v="Yes"/>
    <n v="1"/>
  </r>
  <r>
    <s v="CUST-00634"/>
    <n v="50"/>
    <s v="No"/>
    <s v="No"/>
    <s v="No"/>
    <x v="27"/>
    <s v="No"/>
    <s v="No phone service"/>
    <x v="2"/>
    <x v="1"/>
    <s v="No"/>
    <x v="0"/>
    <n v="21.69"/>
    <n v="1193.8599999999999"/>
    <s v="Lahore"/>
    <s v="Yes"/>
    <n v="1"/>
  </r>
  <r>
    <s v="CUST-00635"/>
    <n v="25"/>
    <s v="No"/>
    <s v="No"/>
    <s v="Yes"/>
    <x v="3"/>
    <s v="No"/>
    <s v="No phone service"/>
    <x v="1"/>
    <x v="0"/>
    <s v="No"/>
    <x v="0"/>
    <n v="59.54"/>
    <n v="1522.17"/>
    <s v="Multan"/>
    <s v="No"/>
    <n v="0"/>
  </r>
  <r>
    <s v="CUST-00636"/>
    <n v="42"/>
    <s v="No"/>
    <s v="No"/>
    <s v="Yes"/>
    <x v="36"/>
    <s v="No"/>
    <s v="No phone service"/>
    <x v="1"/>
    <x v="0"/>
    <s v="Yes"/>
    <x v="1"/>
    <n v="65.81"/>
    <n v="2045.61"/>
    <s v="Multan"/>
    <s v="No"/>
    <n v="0"/>
  </r>
  <r>
    <s v="CUST-00637"/>
    <n v="27"/>
    <s v="No"/>
    <s v="No"/>
    <s v="Yes"/>
    <x v="50"/>
    <s v="Yes"/>
    <s v="No"/>
    <x v="0"/>
    <x v="1"/>
    <s v="No"/>
    <x v="1"/>
    <n v="118.71"/>
    <n v="2367.37"/>
    <s v="Rawalpindi"/>
    <s v="No"/>
    <n v="0"/>
  </r>
  <r>
    <s v="CUST-00638"/>
    <n v="28"/>
    <s v="No"/>
    <s v="No"/>
    <s v="No"/>
    <x v="9"/>
    <s v="No"/>
    <s v="No phone service"/>
    <x v="1"/>
    <x v="0"/>
    <s v="No"/>
    <x v="1"/>
    <n v="76.97"/>
    <n v="3134.9"/>
    <s v="Faisalabad"/>
    <s v="Yes"/>
    <n v="1"/>
  </r>
  <r>
    <s v="CUST-00639"/>
    <n v="67"/>
    <s v="Yes"/>
    <s v="No"/>
    <s v="Yes"/>
    <x v="61"/>
    <s v="No"/>
    <s v="No phone service"/>
    <x v="1"/>
    <x v="0"/>
    <s v="Yes"/>
    <x v="2"/>
    <n v="72.66"/>
    <n v="2391"/>
    <s v="Multan"/>
    <s v="Yes"/>
    <n v="1"/>
  </r>
  <r>
    <s v="CUST-00640"/>
    <n v="44"/>
    <s v="No"/>
    <s v="No"/>
    <s v="No"/>
    <x v="68"/>
    <s v="No"/>
    <s v="No phone service"/>
    <x v="0"/>
    <x v="2"/>
    <s v="Yes"/>
    <x v="3"/>
    <n v="79.099999999999994"/>
    <n v="4667.99"/>
    <s v="Peshawar"/>
    <s v="Yes"/>
    <n v="1"/>
  </r>
  <r>
    <s v="CUST-00641"/>
    <n v="31"/>
    <s v="No"/>
    <s v="Yes"/>
    <s v="Yes"/>
    <x v="5"/>
    <s v="Yes"/>
    <s v="Yes"/>
    <x v="1"/>
    <x v="1"/>
    <s v="No"/>
    <x v="0"/>
    <n v="76.52"/>
    <n v="583.45000000000005"/>
    <s v="Lahore"/>
    <s v="No"/>
    <n v="0"/>
  </r>
  <r>
    <s v="CUST-00642"/>
    <n v="36"/>
    <s v="No"/>
    <s v="Yes"/>
    <s v="No"/>
    <x v="34"/>
    <s v="No"/>
    <s v="No phone service"/>
    <x v="0"/>
    <x v="2"/>
    <s v="Yes"/>
    <x v="0"/>
    <n v="103.64"/>
    <n v="1578.81"/>
    <s v="Peshawar"/>
    <s v="Yes"/>
    <n v="1"/>
  </r>
  <r>
    <s v="CUST-00643"/>
    <n v="18"/>
    <s v="No"/>
    <s v="Yes"/>
    <s v="Yes"/>
    <x v="10"/>
    <s v="Yes"/>
    <s v="No"/>
    <x v="1"/>
    <x v="2"/>
    <s v="No"/>
    <x v="2"/>
    <n v="58.93"/>
    <n v="1617.77"/>
    <s v="Islamabad"/>
    <s v="No"/>
    <n v="0"/>
  </r>
  <r>
    <s v="CUST-00644"/>
    <n v="61"/>
    <s v="Yes"/>
    <s v="No"/>
    <s v="No"/>
    <x v="33"/>
    <s v="No"/>
    <s v="No phone service"/>
    <x v="2"/>
    <x v="2"/>
    <s v="Yes"/>
    <x v="2"/>
    <n v="28.48"/>
    <n v="915.33"/>
    <s v="Peshawar"/>
    <s v="Yes"/>
    <n v="1"/>
  </r>
  <r>
    <s v="CUST-00645"/>
    <n v="62"/>
    <s v="Yes"/>
    <s v="No"/>
    <s v="Yes"/>
    <x v="39"/>
    <s v="No"/>
    <s v="No phone service"/>
    <x v="1"/>
    <x v="1"/>
    <s v="Yes"/>
    <x v="0"/>
    <n v="64.73"/>
    <n v="263.86"/>
    <s v="Rawalpindi"/>
    <s v="No"/>
    <n v="0"/>
  </r>
  <r>
    <s v="CUST-00646"/>
    <n v="60"/>
    <s v="Yes"/>
    <s v="Yes"/>
    <s v="Yes"/>
    <x v="64"/>
    <s v="No"/>
    <s v="No phone service"/>
    <x v="0"/>
    <x v="1"/>
    <s v="No"/>
    <x v="1"/>
    <n v="81.680000000000007"/>
    <n v="3424.19"/>
    <s v="Peshawar"/>
    <s v="No"/>
    <n v="0"/>
  </r>
  <r>
    <s v="CUST-00647"/>
    <n v="23"/>
    <s v="No"/>
    <s v="No"/>
    <s v="No"/>
    <x v="12"/>
    <s v="Yes"/>
    <s v="No"/>
    <x v="2"/>
    <x v="2"/>
    <s v="Yes"/>
    <x v="1"/>
    <n v="28.44"/>
    <n v="1813.16"/>
    <s v="Multan"/>
    <s v="No"/>
    <n v="0"/>
  </r>
  <r>
    <s v="CUST-00648"/>
    <n v="50"/>
    <s v="No"/>
    <s v="Yes"/>
    <s v="Yes"/>
    <x v="59"/>
    <s v="No"/>
    <s v="No phone service"/>
    <x v="1"/>
    <x v="1"/>
    <s v="No"/>
    <x v="3"/>
    <n v="57.85"/>
    <n v="3531.65"/>
    <s v="Karachi"/>
    <s v="No"/>
    <n v="0"/>
  </r>
  <r>
    <s v="CUST-00649"/>
    <n v="33"/>
    <s v="No"/>
    <s v="Yes"/>
    <s v="Yes"/>
    <x v="2"/>
    <s v="Yes"/>
    <s v="Yes"/>
    <x v="0"/>
    <x v="1"/>
    <s v="No"/>
    <x v="1"/>
    <n v="81.02"/>
    <n v="943.96"/>
    <s v="Multan"/>
    <s v="No"/>
    <n v="0"/>
  </r>
  <r>
    <s v="CUST-00650"/>
    <n v="25"/>
    <s v="No"/>
    <s v="Yes"/>
    <s v="No"/>
    <x v="2"/>
    <s v="No"/>
    <s v="No phone service"/>
    <x v="1"/>
    <x v="1"/>
    <s v="Yes"/>
    <x v="1"/>
    <n v="55.08"/>
    <n v="678.21"/>
    <s v="Rawalpindi"/>
    <s v="No"/>
    <n v="0"/>
  </r>
  <r>
    <s v="CUST-00651"/>
    <n v="59"/>
    <s v="No"/>
    <s v="No"/>
    <s v="Yes"/>
    <x v="1"/>
    <s v="No"/>
    <s v="No phone service"/>
    <x v="0"/>
    <x v="2"/>
    <s v="Yes"/>
    <x v="3"/>
    <n v="99.61"/>
    <n v="2780.59"/>
    <s v="Faisalabad"/>
    <s v="No"/>
    <n v="0"/>
  </r>
  <r>
    <s v="CUST-00652"/>
    <n v="41"/>
    <s v="No"/>
    <s v="Yes"/>
    <s v="No"/>
    <x v="63"/>
    <s v="Yes"/>
    <s v="Yes"/>
    <x v="1"/>
    <x v="0"/>
    <s v="Yes"/>
    <x v="1"/>
    <n v="79.19"/>
    <n v="3796.33"/>
    <s v="Multan"/>
    <s v="No"/>
    <n v="0"/>
  </r>
  <r>
    <s v="CUST-00653"/>
    <n v="68"/>
    <s v="Yes"/>
    <s v="Yes"/>
    <s v="Yes"/>
    <x v="26"/>
    <s v="No"/>
    <s v="No phone service"/>
    <x v="0"/>
    <x v="2"/>
    <s v="No"/>
    <x v="1"/>
    <n v="94.99"/>
    <n v="1322.8"/>
    <s v="Karachi"/>
    <s v="No"/>
    <n v="0"/>
  </r>
  <r>
    <s v="CUST-00654"/>
    <n v="65"/>
    <s v="Yes"/>
    <s v="Yes"/>
    <s v="No"/>
    <x v="70"/>
    <s v="Yes"/>
    <s v="Yes"/>
    <x v="1"/>
    <x v="1"/>
    <s v="No"/>
    <x v="1"/>
    <n v="48.63"/>
    <n v="1896.53"/>
    <s v="Lahore"/>
    <s v="No"/>
    <n v="0"/>
  </r>
  <r>
    <s v="CUST-00655"/>
    <n v="69"/>
    <s v="Yes"/>
    <s v="No"/>
    <s v="Yes"/>
    <x v="20"/>
    <s v="Yes"/>
    <s v="No"/>
    <x v="2"/>
    <x v="2"/>
    <s v="Yes"/>
    <x v="2"/>
    <n v="26.73"/>
    <n v="704.31"/>
    <s v="Peshawar"/>
    <s v="No"/>
    <n v="0"/>
  </r>
  <r>
    <s v="CUST-00656"/>
    <n v="28"/>
    <s v="No"/>
    <s v="Yes"/>
    <s v="No"/>
    <x v="13"/>
    <s v="No"/>
    <s v="No phone service"/>
    <x v="0"/>
    <x v="1"/>
    <s v="No"/>
    <x v="0"/>
    <n v="96.39"/>
    <n v="4130.74"/>
    <s v="Karachi"/>
    <s v="No"/>
    <n v="0"/>
  </r>
  <r>
    <s v="CUST-00657"/>
    <n v="62"/>
    <s v="Yes"/>
    <s v="No"/>
    <s v="Yes"/>
    <x v="49"/>
    <s v="Yes"/>
    <s v="No"/>
    <x v="0"/>
    <x v="0"/>
    <s v="No"/>
    <x v="1"/>
    <n v="98.86"/>
    <n v="1668.9"/>
    <s v="Karachi"/>
    <s v="No"/>
    <n v="0"/>
  </r>
  <r>
    <s v="CUST-00658"/>
    <n v="31"/>
    <s v="No"/>
    <s v="Yes"/>
    <s v="Yes"/>
    <x v="65"/>
    <s v="Yes"/>
    <s v="No"/>
    <x v="0"/>
    <x v="1"/>
    <s v="Yes"/>
    <x v="0"/>
    <n v="119.14"/>
    <n v="243.41"/>
    <s v="Lahore"/>
    <s v="Yes"/>
    <n v="1"/>
  </r>
  <r>
    <s v="CUST-00659"/>
    <n v="24"/>
    <s v="No"/>
    <s v="No"/>
    <s v="No"/>
    <x v="23"/>
    <s v="Yes"/>
    <s v="No"/>
    <x v="2"/>
    <x v="0"/>
    <s v="No"/>
    <x v="2"/>
    <n v="25.52"/>
    <n v="580.20000000000005"/>
    <s v="Karachi"/>
    <s v="Yes"/>
    <n v="1"/>
  </r>
  <r>
    <s v="CUST-00660"/>
    <n v="43"/>
    <s v="No"/>
    <s v="No"/>
    <s v="No"/>
    <x v="23"/>
    <s v="No"/>
    <s v="No phone service"/>
    <x v="1"/>
    <x v="0"/>
    <s v="Yes"/>
    <x v="1"/>
    <n v="74.599999999999994"/>
    <n v="1746.75"/>
    <s v="Multan"/>
    <s v="No"/>
    <n v="0"/>
  </r>
  <r>
    <s v="CUST-00661"/>
    <n v="46"/>
    <s v="No"/>
    <s v="No"/>
    <s v="Yes"/>
    <x v="34"/>
    <s v="Yes"/>
    <s v="No"/>
    <x v="0"/>
    <x v="0"/>
    <s v="Yes"/>
    <x v="3"/>
    <n v="98.65"/>
    <n v="1592.16"/>
    <s v="Multan"/>
    <s v="Yes"/>
    <n v="1"/>
  </r>
  <r>
    <s v="CUST-00662"/>
    <n v="24"/>
    <s v="No"/>
    <s v="Yes"/>
    <s v="No"/>
    <x v="48"/>
    <s v="No"/>
    <s v="No phone service"/>
    <x v="2"/>
    <x v="2"/>
    <s v="Yes"/>
    <x v="3"/>
    <n v="18.760000000000002"/>
    <n v="1220.19"/>
    <s v="Karachi"/>
    <s v="No"/>
    <n v="0"/>
  </r>
  <r>
    <s v="CUST-00663"/>
    <n v="43"/>
    <s v="No"/>
    <s v="Yes"/>
    <s v="No"/>
    <x v="55"/>
    <s v="No"/>
    <s v="No phone service"/>
    <x v="2"/>
    <x v="2"/>
    <s v="Yes"/>
    <x v="1"/>
    <n v="20.49"/>
    <n v="1503.35"/>
    <s v="Peshawar"/>
    <s v="Yes"/>
    <n v="1"/>
  </r>
  <r>
    <s v="CUST-00664"/>
    <n v="56"/>
    <s v="No"/>
    <s v="Yes"/>
    <s v="Yes"/>
    <x v="55"/>
    <s v="No"/>
    <s v="No phone service"/>
    <x v="0"/>
    <x v="2"/>
    <s v="Yes"/>
    <x v="0"/>
    <n v="102.63"/>
    <n v="7023.87"/>
    <s v="Peshawar"/>
    <s v="Yes"/>
    <n v="1"/>
  </r>
  <r>
    <s v="CUST-00665"/>
    <n v="20"/>
    <s v="No"/>
    <s v="Yes"/>
    <s v="Yes"/>
    <x v="30"/>
    <s v="Yes"/>
    <s v="No"/>
    <x v="0"/>
    <x v="1"/>
    <s v="Yes"/>
    <x v="3"/>
    <n v="72.31"/>
    <n v="4951.59"/>
    <s v="Islamabad"/>
    <s v="No"/>
    <n v="0"/>
  </r>
  <r>
    <s v="CUST-00666"/>
    <n v="60"/>
    <s v="Yes"/>
    <s v="No"/>
    <s v="Yes"/>
    <x v="31"/>
    <s v="No"/>
    <s v="No phone service"/>
    <x v="1"/>
    <x v="0"/>
    <s v="Yes"/>
    <x v="1"/>
    <n v="66.5"/>
    <n v="3960.62"/>
    <s v="Karachi"/>
    <s v="Yes"/>
    <n v="1"/>
  </r>
  <r>
    <s v="CUST-00667"/>
    <n v="37"/>
    <s v="No"/>
    <s v="Yes"/>
    <s v="Yes"/>
    <x v="60"/>
    <s v="No"/>
    <s v="No phone service"/>
    <x v="0"/>
    <x v="2"/>
    <s v="No"/>
    <x v="3"/>
    <n v="82.75"/>
    <n v="5791.9"/>
    <s v="Rawalpindi"/>
    <s v="No"/>
    <n v="0"/>
  </r>
  <r>
    <s v="CUST-00668"/>
    <n v="47"/>
    <s v="No"/>
    <s v="Yes"/>
    <s v="No"/>
    <x v="46"/>
    <s v="Yes"/>
    <s v="No"/>
    <x v="2"/>
    <x v="2"/>
    <s v="No"/>
    <x v="2"/>
    <n v="26.36"/>
    <n v="1396.32"/>
    <s v="Multan"/>
    <s v="No"/>
    <n v="0"/>
  </r>
  <r>
    <s v="CUST-00669"/>
    <n v="59"/>
    <s v="No"/>
    <s v="Yes"/>
    <s v="No"/>
    <x v="56"/>
    <s v="No"/>
    <s v="No phone service"/>
    <x v="0"/>
    <x v="2"/>
    <s v="Yes"/>
    <x v="3"/>
    <n v="76.23"/>
    <n v="1453.25"/>
    <s v="Lahore"/>
    <s v="No"/>
    <n v="0"/>
  </r>
  <r>
    <s v="CUST-00670"/>
    <n v="39"/>
    <s v="No"/>
    <s v="Yes"/>
    <s v="No"/>
    <x v="21"/>
    <s v="Yes"/>
    <s v="No"/>
    <x v="1"/>
    <x v="2"/>
    <s v="Yes"/>
    <x v="3"/>
    <n v="79.180000000000007"/>
    <n v="3291.25"/>
    <s v="Peshawar"/>
    <s v="No"/>
    <n v="0"/>
  </r>
  <r>
    <s v="CUST-00671"/>
    <n v="25"/>
    <s v="No"/>
    <s v="Yes"/>
    <s v="No"/>
    <x v="31"/>
    <s v="No"/>
    <s v="No phone service"/>
    <x v="0"/>
    <x v="0"/>
    <s v="No"/>
    <x v="0"/>
    <n v="100.37"/>
    <n v="6624.23"/>
    <s v="Peshawar"/>
    <s v="Yes"/>
    <n v="1"/>
  </r>
  <r>
    <s v="CUST-00672"/>
    <n v="42"/>
    <s v="No"/>
    <s v="Yes"/>
    <s v="No"/>
    <x v="8"/>
    <s v="No"/>
    <s v="No phone service"/>
    <x v="1"/>
    <x v="2"/>
    <s v="Yes"/>
    <x v="3"/>
    <n v="67.47"/>
    <n v="4774.55"/>
    <s v="Karachi"/>
    <s v="No"/>
    <n v="0"/>
  </r>
  <r>
    <s v="CUST-00673"/>
    <n v="42"/>
    <s v="No"/>
    <s v="No"/>
    <s v="Yes"/>
    <x v="22"/>
    <s v="Yes"/>
    <s v="No"/>
    <x v="1"/>
    <x v="2"/>
    <s v="No"/>
    <x v="3"/>
    <n v="79.45"/>
    <n v="3950.19"/>
    <s v="Islamabad"/>
    <s v="No"/>
    <n v="0"/>
  </r>
  <r>
    <s v="CUST-00674"/>
    <n v="45"/>
    <s v="No"/>
    <s v="Yes"/>
    <s v="No"/>
    <x v="2"/>
    <s v="No"/>
    <s v="No phone service"/>
    <x v="2"/>
    <x v="0"/>
    <s v="Yes"/>
    <x v="1"/>
    <n v="18.920000000000002"/>
    <n v="219.96"/>
    <s v="Faisalabad"/>
    <s v="Yes"/>
    <n v="1"/>
  </r>
  <r>
    <s v="CUST-00675"/>
    <n v="21"/>
    <s v="No"/>
    <s v="Yes"/>
    <s v="No"/>
    <x v="60"/>
    <s v="Yes"/>
    <s v="No"/>
    <x v="2"/>
    <x v="2"/>
    <s v="Yes"/>
    <x v="0"/>
    <n v="24.18"/>
    <n v="1819.37"/>
    <s v="Multan"/>
    <s v="No"/>
    <n v="0"/>
  </r>
  <r>
    <s v="CUST-00676"/>
    <n v="25"/>
    <s v="No"/>
    <s v="No"/>
    <s v="Yes"/>
    <x v="3"/>
    <s v="Yes"/>
    <s v="No"/>
    <x v="2"/>
    <x v="0"/>
    <s v="No"/>
    <x v="3"/>
    <n v="26.87"/>
    <n v="708.09"/>
    <s v="Faisalabad"/>
    <s v="No"/>
    <n v="0"/>
  </r>
  <r>
    <s v="CUST-00677"/>
    <n v="61"/>
    <s v="Yes"/>
    <s v="Yes"/>
    <s v="No"/>
    <x v="51"/>
    <s v="Yes"/>
    <s v="Yes"/>
    <x v="1"/>
    <x v="2"/>
    <s v="Yes"/>
    <x v="0"/>
    <n v="78.099999999999994"/>
    <n v="1702.27"/>
    <s v="Islamabad"/>
    <s v="No"/>
    <n v="0"/>
  </r>
  <r>
    <s v="CUST-00678"/>
    <n v="25"/>
    <s v="No"/>
    <s v="No"/>
    <s v="Yes"/>
    <x v="14"/>
    <s v="Yes"/>
    <s v="Yes"/>
    <x v="2"/>
    <x v="2"/>
    <s v="No"/>
    <x v="3"/>
    <n v="26.86"/>
    <n v="1895.73"/>
    <s v="Islamabad"/>
    <s v="Yes"/>
    <n v="1"/>
  </r>
  <r>
    <s v="CUST-00679"/>
    <n v="59"/>
    <s v="No"/>
    <s v="Yes"/>
    <s v="No"/>
    <x v="31"/>
    <s v="Yes"/>
    <s v="No"/>
    <x v="0"/>
    <x v="2"/>
    <s v="No"/>
    <x v="3"/>
    <n v="87.49"/>
    <n v="5658.99"/>
    <s v="Lahore"/>
    <s v="Yes"/>
    <n v="1"/>
  </r>
  <r>
    <s v="CUST-00680"/>
    <n v="24"/>
    <s v="No"/>
    <s v="No"/>
    <s v="No"/>
    <x v="69"/>
    <s v="Yes"/>
    <s v="No"/>
    <x v="0"/>
    <x v="1"/>
    <s v="Yes"/>
    <x v="3"/>
    <n v="102.83"/>
    <n v="2585.6999999999998"/>
    <s v="Islamabad"/>
    <s v="No"/>
    <n v="0"/>
  </r>
  <r>
    <s v="CUST-00681"/>
    <n v="41"/>
    <s v="No"/>
    <s v="No"/>
    <s v="Yes"/>
    <x v="8"/>
    <s v="Yes"/>
    <s v="No"/>
    <x v="2"/>
    <x v="0"/>
    <s v="No"/>
    <x v="3"/>
    <n v="22.24"/>
    <n v="1522.4"/>
    <s v="Peshawar"/>
    <s v="No"/>
    <n v="0"/>
  </r>
  <r>
    <s v="CUST-00682"/>
    <n v="63"/>
    <s v="Yes"/>
    <s v="Yes"/>
    <s v="Yes"/>
    <x v="3"/>
    <s v="Yes"/>
    <s v="No"/>
    <x v="0"/>
    <x v="0"/>
    <s v="Yes"/>
    <x v="3"/>
    <n v="79.95"/>
    <n v="1993.78"/>
    <s v="Islamabad"/>
    <s v="No"/>
    <n v="0"/>
  </r>
  <r>
    <s v="CUST-00683"/>
    <n v="25"/>
    <s v="No"/>
    <s v="No"/>
    <s v="No"/>
    <x v="60"/>
    <s v="Yes"/>
    <s v="Yes"/>
    <x v="1"/>
    <x v="0"/>
    <s v="No"/>
    <x v="0"/>
    <n v="76.94"/>
    <n v="5687.63"/>
    <s v="Lahore"/>
    <s v="No"/>
    <n v="0"/>
  </r>
  <r>
    <s v="CUST-00684"/>
    <n v="24"/>
    <s v="No"/>
    <s v="Yes"/>
    <s v="Yes"/>
    <x v="56"/>
    <s v="Yes"/>
    <s v="No"/>
    <x v="0"/>
    <x v="2"/>
    <s v="No"/>
    <x v="0"/>
    <n v="99.85"/>
    <n v="1879.1"/>
    <s v="Islamabad"/>
    <s v="No"/>
    <n v="0"/>
  </r>
  <r>
    <s v="CUST-00685"/>
    <n v="49"/>
    <s v="No"/>
    <s v="Yes"/>
    <s v="No"/>
    <x v="36"/>
    <s v="Yes"/>
    <s v="Yes"/>
    <x v="1"/>
    <x v="0"/>
    <s v="No"/>
    <x v="2"/>
    <n v="49.89"/>
    <n v="1657.9"/>
    <s v="Multan"/>
    <s v="No"/>
    <n v="0"/>
  </r>
  <r>
    <s v="CUST-00686"/>
    <n v="68"/>
    <s v="Yes"/>
    <s v="Yes"/>
    <s v="Yes"/>
    <x v="3"/>
    <s v="Yes"/>
    <s v="Yes"/>
    <x v="2"/>
    <x v="2"/>
    <s v="Yes"/>
    <x v="3"/>
    <n v="20.309999999999999"/>
    <n v="486.19"/>
    <s v="Karachi"/>
    <s v="Yes"/>
    <n v="1"/>
  </r>
  <r>
    <s v="CUST-00687"/>
    <n v="23"/>
    <s v="No"/>
    <s v="Yes"/>
    <s v="No"/>
    <x v="67"/>
    <s v="Yes"/>
    <s v="Yes"/>
    <x v="1"/>
    <x v="2"/>
    <s v="Yes"/>
    <x v="0"/>
    <n v="65.75"/>
    <n v="3402.91"/>
    <s v="Islamabad"/>
    <s v="Yes"/>
    <n v="1"/>
  </r>
  <r>
    <s v="CUST-00688"/>
    <n v="40"/>
    <s v="No"/>
    <s v="No"/>
    <s v="Yes"/>
    <x v="52"/>
    <s v="Yes"/>
    <s v="Yes"/>
    <x v="2"/>
    <x v="2"/>
    <s v="No"/>
    <x v="3"/>
    <n v="23.66"/>
    <n v="1017.61"/>
    <s v="Karachi"/>
    <s v="Yes"/>
    <n v="1"/>
  </r>
  <r>
    <s v="CUST-00689"/>
    <n v="34"/>
    <s v="No"/>
    <s v="No"/>
    <s v="No"/>
    <x v="21"/>
    <s v="Yes"/>
    <s v="No"/>
    <x v="0"/>
    <x v="0"/>
    <s v="Yes"/>
    <x v="3"/>
    <n v="107.06"/>
    <n v="4527"/>
    <s v="Faisalabad"/>
    <s v="No"/>
    <n v="0"/>
  </r>
  <r>
    <s v="CUST-00690"/>
    <n v="56"/>
    <s v="No"/>
    <s v="No"/>
    <s v="Yes"/>
    <x v="0"/>
    <s v="No"/>
    <s v="No phone service"/>
    <x v="0"/>
    <x v="2"/>
    <s v="Yes"/>
    <x v="3"/>
    <n v="107.13"/>
    <n v="3680.98"/>
    <s v="Multan"/>
    <s v="No"/>
    <n v="0"/>
  </r>
  <r>
    <s v="CUST-00691"/>
    <n v="70"/>
    <s v="Yes"/>
    <s v="Yes"/>
    <s v="Yes"/>
    <x v="37"/>
    <s v="Yes"/>
    <s v="No"/>
    <x v="2"/>
    <x v="0"/>
    <s v="No"/>
    <x v="1"/>
    <n v="29.88"/>
    <n v="1671.07"/>
    <s v="Lahore"/>
    <s v="No"/>
    <n v="0"/>
  </r>
  <r>
    <s v="CUST-00692"/>
    <n v="26"/>
    <s v="No"/>
    <s v="Yes"/>
    <s v="No"/>
    <x v="60"/>
    <s v="No"/>
    <s v="No phone service"/>
    <x v="1"/>
    <x v="1"/>
    <s v="No"/>
    <x v="1"/>
    <n v="44.7"/>
    <n v="3149.37"/>
    <s v="Faisalabad"/>
    <s v="No"/>
    <n v="0"/>
  </r>
  <r>
    <s v="CUST-00693"/>
    <n v="50"/>
    <s v="No"/>
    <s v="Yes"/>
    <s v="Yes"/>
    <x v="0"/>
    <s v="Yes"/>
    <s v="Yes"/>
    <x v="1"/>
    <x v="1"/>
    <s v="Yes"/>
    <x v="1"/>
    <n v="67.75"/>
    <n v="2509.4499999999998"/>
    <s v="Multan"/>
    <s v="No"/>
    <n v="0"/>
  </r>
  <r>
    <s v="CUST-00694"/>
    <n v="52"/>
    <s v="No"/>
    <s v="Yes"/>
    <s v="Yes"/>
    <x v="71"/>
    <s v="No"/>
    <s v="No phone service"/>
    <x v="1"/>
    <x v="0"/>
    <s v="No"/>
    <x v="0"/>
    <n v="50.86"/>
    <n v="2789.11"/>
    <s v="Karachi"/>
    <s v="No"/>
    <n v="0"/>
  </r>
  <r>
    <s v="CUST-00695"/>
    <n v="55"/>
    <s v="No"/>
    <s v="Yes"/>
    <s v="No"/>
    <x v="30"/>
    <s v="No"/>
    <s v="No phone service"/>
    <x v="1"/>
    <x v="2"/>
    <s v="Yes"/>
    <x v="3"/>
    <n v="50.74"/>
    <n v="3147.35"/>
    <s v="Faisalabad"/>
    <s v="Yes"/>
    <n v="1"/>
  </r>
  <r>
    <s v="CUST-00696"/>
    <n v="33"/>
    <s v="No"/>
    <s v="No"/>
    <s v="Yes"/>
    <x v="6"/>
    <s v="No"/>
    <s v="No phone service"/>
    <x v="2"/>
    <x v="1"/>
    <s v="No"/>
    <x v="2"/>
    <n v="18.62"/>
    <n v="374.16"/>
    <s v="Karachi"/>
    <s v="No"/>
    <n v="0"/>
  </r>
  <r>
    <s v="CUST-00697"/>
    <n v="52"/>
    <s v="No"/>
    <s v="Yes"/>
    <s v="Yes"/>
    <x v="62"/>
    <s v="No"/>
    <s v="No phone service"/>
    <x v="1"/>
    <x v="2"/>
    <s v="No"/>
    <x v="1"/>
    <n v="56.33"/>
    <n v="2568.7600000000002"/>
    <s v="Lahore"/>
    <s v="No"/>
    <n v="0"/>
  </r>
  <r>
    <s v="CUST-00698"/>
    <n v="58"/>
    <s v="No"/>
    <s v="Yes"/>
    <s v="No"/>
    <x v="1"/>
    <s v="No"/>
    <s v="No phone service"/>
    <x v="1"/>
    <x v="2"/>
    <s v="Yes"/>
    <x v="0"/>
    <n v="79.150000000000006"/>
    <n v="2371.9699999999998"/>
    <s v="Lahore"/>
    <s v="No"/>
    <n v="0"/>
  </r>
  <r>
    <s v="CUST-00699"/>
    <n v="64"/>
    <s v="Yes"/>
    <s v="No"/>
    <s v="No"/>
    <x v="60"/>
    <s v="No"/>
    <s v="No phone service"/>
    <x v="0"/>
    <x v="2"/>
    <s v="No"/>
    <x v="3"/>
    <n v="101.49"/>
    <n v="7515.54"/>
    <s v="Rawalpindi"/>
    <s v="Yes"/>
    <n v="1"/>
  </r>
  <r>
    <s v="CUST-00700"/>
    <n v="32"/>
    <s v="No"/>
    <s v="No"/>
    <s v="No"/>
    <x v="6"/>
    <s v="Yes"/>
    <s v="No"/>
    <x v="2"/>
    <x v="2"/>
    <s v="Yes"/>
    <x v="3"/>
    <n v="23.89"/>
    <n v="466.41"/>
    <s v="Lahore"/>
    <s v="No"/>
    <n v="0"/>
  </r>
  <r>
    <s v="CUST-00701"/>
    <n v="37"/>
    <s v="No"/>
    <s v="Yes"/>
    <s v="Yes"/>
    <x v="44"/>
    <s v="Yes"/>
    <s v="Yes"/>
    <x v="1"/>
    <x v="2"/>
    <s v="Yes"/>
    <x v="0"/>
    <n v="65.8"/>
    <n v="3316.54"/>
    <s v="Karachi"/>
    <s v="No"/>
    <n v="0"/>
  </r>
  <r>
    <s v="CUST-00702"/>
    <n v="64"/>
    <s v="Yes"/>
    <s v="Yes"/>
    <s v="Yes"/>
    <x v="63"/>
    <s v="Yes"/>
    <s v="No"/>
    <x v="0"/>
    <x v="0"/>
    <s v="Yes"/>
    <x v="3"/>
    <n v="108.51"/>
    <n v="5168.75"/>
    <s v="Faisalabad"/>
    <s v="No"/>
    <n v="0"/>
  </r>
  <r>
    <s v="CUST-00703"/>
    <n v="18"/>
    <s v="No"/>
    <s v="Yes"/>
    <s v="Yes"/>
    <x v="14"/>
    <s v="No"/>
    <s v="No phone service"/>
    <x v="1"/>
    <x v="1"/>
    <s v="Yes"/>
    <x v="3"/>
    <n v="59.22"/>
    <n v="4176.67"/>
    <s v="Karachi"/>
    <s v="No"/>
    <n v="0"/>
  </r>
  <r>
    <s v="CUST-00704"/>
    <n v="37"/>
    <s v="No"/>
    <s v="No"/>
    <s v="No"/>
    <x v="56"/>
    <s v="No"/>
    <s v="No phone service"/>
    <x v="0"/>
    <x v="0"/>
    <s v="Yes"/>
    <x v="3"/>
    <n v="72.23"/>
    <n v="1452.34"/>
    <s v="Peshawar"/>
    <s v="Yes"/>
    <n v="1"/>
  </r>
  <r>
    <s v="CUST-00705"/>
    <n v="44"/>
    <s v="No"/>
    <s v="Yes"/>
    <s v="Yes"/>
    <x v="1"/>
    <s v="No"/>
    <s v="No phone service"/>
    <x v="0"/>
    <x v="2"/>
    <s v="No"/>
    <x v="1"/>
    <n v="81.290000000000006"/>
    <n v="2464.62"/>
    <s v="Multan"/>
    <s v="No"/>
    <n v="0"/>
  </r>
  <r>
    <s v="CUST-00706"/>
    <n v="70"/>
    <s v="Yes"/>
    <s v="Yes"/>
    <s v="No"/>
    <x v="51"/>
    <s v="Yes"/>
    <s v="Yes"/>
    <x v="2"/>
    <x v="1"/>
    <s v="No"/>
    <x v="3"/>
    <n v="22"/>
    <n v="475.9"/>
    <s v="Lahore"/>
    <s v="No"/>
    <n v="0"/>
  </r>
  <r>
    <s v="CUST-00707"/>
    <n v="75"/>
    <s v="Yes"/>
    <s v="Yes"/>
    <s v="Yes"/>
    <x v="23"/>
    <s v="No"/>
    <s v="No phone service"/>
    <x v="0"/>
    <x v="0"/>
    <s v="No"/>
    <x v="3"/>
    <n v="103.36"/>
    <n v="2320.67"/>
    <s v="Islamabad"/>
    <s v="No"/>
    <n v="0"/>
  </r>
  <r>
    <s v="CUST-00708"/>
    <n v="74"/>
    <s v="Yes"/>
    <s v="Yes"/>
    <s v="No"/>
    <x v="59"/>
    <s v="No"/>
    <s v="No phone service"/>
    <x v="1"/>
    <x v="1"/>
    <s v="Yes"/>
    <x v="1"/>
    <n v="74.47"/>
    <n v="5039.49"/>
    <s v="Karachi"/>
    <s v="No"/>
    <n v="0"/>
  </r>
  <r>
    <s v="CUST-00709"/>
    <n v="38"/>
    <s v="No"/>
    <s v="Yes"/>
    <s v="No"/>
    <x v="37"/>
    <s v="No"/>
    <s v="No phone service"/>
    <x v="1"/>
    <x v="1"/>
    <s v="Yes"/>
    <x v="0"/>
    <n v="78.38"/>
    <n v="4425.1899999999996"/>
    <s v="Karachi"/>
    <s v="Yes"/>
    <n v="1"/>
  </r>
  <r>
    <s v="CUST-00710"/>
    <n v="29"/>
    <s v="No"/>
    <s v="No"/>
    <s v="No"/>
    <x v="52"/>
    <s v="No"/>
    <s v="No phone service"/>
    <x v="1"/>
    <x v="0"/>
    <s v="No"/>
    <x v="1"/>
    <n v="65.459999999999994"/>
    <n v="2567.34"/>
    <s v="Karachi"/>
    <s v="No"/>
    <n v="0"/>
  </r>
  <r>
    <s v="CUST-00711"/>
    <n v="42"/>
    <s v="No"/>
    <s v="No"/>
    <s v="No"/>
    <x v="8"/>
    <s v="Yes"/>
    <s v="No"/>
    <x v="1"/>
    <x v="0"/>
    <s v="No"/>
    <x v="0"/>
    <n v="71.06"/>
    <n v="5086.3"/>
    <s v="Lahore"/>
    <s v="No"/>
    <n v="0"/>
  </r>
  <r>
    <s v="CUST-00712"/>
    <n v="33"/>
    <s v="No"/>
    <s v="No"/>
    <s v="Yes"/>
    <x v="20"/>
    <s v="Yes"/>
    <s v="No"/>
    <x v="2"/>
    <x v="2"/>
    <s v="Yes"/>
    <x v="2"/>
    <n v="18.71"/>
    <n v="496.04"/>
    <s v="Peshawar"/>
    <s v="No"/>
    <n v="0"/>
  </r>
  <r>
    <s v="CUST-00713"/>
    <n v="67"/>
    <s v="Yes"/>
    <s v="Yes"/>
    <s v="No"/>
    <x v="35"/>
    <s v="No"/>
    <s v="No phone service"/>
    <x v="0"/>
    <x v="2"/>
    <s v="Yes"/>
    <x v="3"/>
    <n v="76.89"/>
    <n v="4788.04"/>
    <s v="Rawalpindi"/>
    <s v="No"/>
    <n v="0"/>
  </r>
  <r>
    <s v="CUST-00714"/>
    <n v="64"/>
    <s v="Yes"/>
    <s v="Yes"/>
    <s v="No"/>
    <x v="22"/>
    <s v="Yes"/>
    <s v="No"/>
    <x v="0"/>
    <x v="2"/>
    <s v="Yes"/>
    <x v="3"/>
    <n v="88.26"/>
    <n v="4022.45"/>
    <s v="Faisalabad"/>
    <s v="Yes"/>
    <n v="1"/>
  </r>
  <r>
    <s v="CUST-00715"/>
    <n v="71"/>
    <s v="Yes"/>
    <s v="No"/>
    <s v="Yes"/>
    <x v="66"/>
    <s v="Yes"/>
    <s v="No"/>
    <x v="1"/>
    <x v="0"/>
    <s v="No"/>
    <x v="0"/>
    <n v="68.900000000000006"/>
    <n v="1642.48"/>
    <s v="Lahore"/>
    <s v="No"/>
    <n v="0"/>
  </r>
  <r>
    <s v="CUST-00716"/>
    <n v="36"/>
    <s v="No"/>
    <s v="Yes"/>
    <s v="Yes"/>
    <x v="5"/>
    <s v="Yes"/>
    <s v="No"/>
    <x v="2"/>
    <x v="2"/>
    <s v="Yes"/>
    <x v="3"/>
    <n v="27.99"/>
    <n v="228.75"/>
    <s v="Faisalabad"/>
    <s v="No"/>
    <n v="0"/>
  </r>
  <r>
    <s v="CUST-00717"/>
    <n v="63"/>
    <s v="Yes"/>
    <s v="No"/>
    <s v="No"/>
    <x v="38"/>
    <s v="Yes"/>
    <s v="Yes"/>
    <x v="0"/>
    <x v="2"/>
    <s v="No"/>
    <x v="2"/>
    <n v="76.260000000000005"/>
    <n v="2208.6999999999998"/>
    <s v="Karachi"/>
    <s v="No"/>
    <n v="0"/>
  </r>
  <r>
    <s v="CUST-00718"/>
    <n v="43"/>
    <s v="No"/>
    <s v="Yes"/>
    <s v="Yes"/>
    <x v="45"/>
    <s v="No"/>
    <s v="No phone service"/>
    <x v="1"/>
    <x v="1"/>
    <s v="Yes"/>
    <x v="3"/>
    <n v="54.86"/>
    <n v="3261.67"/>
    <s v="Lahore"/>
    <s v="No"/>
    <n v="0"/>
  </r>
  <r>
    <s v="CUST-00719"/>
    <n v="22"/>
    <s v="No"/>
    <s v="No"/>
    <s v="No"/>
    <x v="39"/>
    <s v="Yes"/>
    <s v="No"/>
    <x v="0"/>
    <x v="2"/>
    <s v="Yes"/>
    <x v="1"/>
    <n v="85.46"/>
    <n v="343.96"/>
    <s v="Lahore"/>
    <s v="No"/>
    <n v="0"/>
  </r>
  <r>
    <s v="CUST-00720"/>
    <n v="33"/>
    <s v="No"/>
    <s v="No"/>
    <s v="Yes"/>
    <x v="42"/>
    <s v="No"/>
    <s v="No phone service"/>
    <x v="1"/>
    <x v="2"/>
    <s v="No"/>
    <x v="3"/>
    <n v="52.34"/>
    <n v="332.15"/>
    <s v="Rawalpindi"/>
    <s v="No"/>
    <n v="0"/>
  </r>
  <r>
    <s v="CUST-00721"/>
    <n v="50"/>
    <s v="No"/>
    <s v="Yes"/>
    <s v="No"/>
    <x v="44"/>
    <s v="Yes"/>
    <s v="No"/>
    <x v="1"/>
    <x v="2"/>
    <s v="No"/>
    <x v="2"/>
    <n v="60.14"/>
    <n v="3067.94"/>
    <s v="Lahore"/>
    <s v="No"/>
    <n v="0"/>
  </r>
  <r>
    <s v="CUST-00722"/>
    <n v="55"/>
    <s v="No"/>
    <s v="No"/>
    <s v="No"/>
    <x v="24"/>
    <s v="Yes"/>
    <s v="No"/>
    <x v="0"/>
    <x v="2"/>
    <s v="Yes"/>
    <x v="2"/>
    <n v="81.58"/>
    <n v="393.98"/>
    <s v="Karachi"/>
    <s v="No"/>
    <n v="0"/>
  </r>
  <r>
    <s v="CUST-00723"/>
    <n v="67"/>
    <s v="Yes"/>
    <s v="Yes"/>
    <s v="No"/>
    <x v="37"/>
    <s v="No"/>
    <s v="No phone service"/>
    <x v="1"/>
    <x v="2"/>
    <s v="No"/>
    <x v="3"/>
    <n v="68.510000000000005"/>
    <n v="4060.78"/>
    <s v="Faisalabad"/>
    <s v="Yes"/>
    <n v="1"/>
  </r>
  <r>
    <s v="CUST-00724"/>
    <n v="56"/>
    <s v="No"/>
    <s v="Yes"/>
    <s v="Yes"/>
    <x v="59"/>
    <s v="Yes"/>
    <s v="Yes"/>
    <x v="0"/>
    <x v="1"/>
    <s v="Yes"/>
    <x v="0"/>
    <n v="92.74"/>
    <n v="5700.12"/>
    <s v="Lahore"/>
    <s v="No"/>
    <n v="0"/>
  </r>
  <r>
    <s v="CUST-00725"/>
    <n v="35"/>
    <s v="No"/>
    <s v="No"/>
    <s v="No"/>
    <x v="2"/>
    <s v="No"/>
    <s v="No phone service"/>
    <x v="0"/>
    <x v="2"/>
    <s v="No"/>
    <x v="2"/>
    <n v="108.16"/>
    <n v="1288.8900000000001"/>
    <s v="Lahore"/>
    <s v="No"/>
    <n v="0"/>
  </r>
  <r>
    <s v="CUST-00726"/>
    <n v="54"/>
    <s v="No"/>
    <s v="No"/>
    <s v="Yes"/>
    <x v="53"/>
    <s v="No"/>
    <s v="No phone service"/>
    <x v="2"/>
    <x v="2"/>
    <s v="Yes"/>
    <x v="0"/>
    <n v="24.15"/>
    <n v="1152.03"/>
    <s v="Lahore"/>
    <s v="No"/>
    <n v="0"/>
  </r>
  <r>
    <s v="CUST-00727"/>
    <n v="61"/>
    <s v="Yes"/>
    <s v="No"/>
    <s v="No"/>
    <x v="15"/>
    <s v="Yes"/>
    <s v="No"/>
    <x v="2"/>
    <x v="0"/>
    <s v="Yes"/>
    <x v="1"/>
    <n v="24.73"/>
    <n v="805.97"/>
    <s v="Rawalpindi"/>
    <s v="Yes"/>
    <n v="1"/>
  </r>
  <r>
    <s v="CUST-00728"/>
    <n v="28"/>
    <s v="No"/>
    <s v="No"/>
    <s v="Yes"/>
    <x v="1"/>
    <s v="No"/>
    <s v="No phone service"/>
    <x v="0"/>
    <x v="0"/>
    <s v="No"/>
    <x v="0"/>
    <n v="102.12"/>
    <n v="3103.68"/>
    <s v="Lahore"/>
    <s v="No"/>
    <n v="0"/>
  </r>
  <r>
    <s v="CUST-00729"/>
    <n v="29"/>
    <s v="No"/>
    <s v="Yes"/>
    <s v="No"/>
    <x v="68"/>
    <s v="No"/>
    <s v="No phone service"/>
    <x v="0"/>
    <x v="2"/>
    <s v="No"/>
    <x v="2"/>
    <n v="94.31"/>
    <n v="5409.56"/>
    <s v="Islamabad"/>
    <s v="No"/>
    <n v="0"/>
  </r>
  <r>
    <s v="CUST-00730"/>
    <n v="47"/>
    <s v="No"/>
    <s v="Yes"/>
    <s v="Yes"/>
    <x v="12"/>
    <s v="Yes"/>
    <s v="Yes"/>
    <x v="0"/>
    <x v="2"/>
    <s v="No"/>
    <x v="3"/>
    <n v="110.43"/>
    <n v="6970.29"/>
    <s v="Karachi"/>
    <s v="No"/>
    <n v="0"/>
  </r>
  <r>
    <s v="CUST-00731"/>
    <n v="21"/>
    <s v="No"/>
    <s v="Yes"/>
    <s v="Yes"/>
    <x v="46"/>
    <s v="Yes"/>
    <s v="Yes"/>
    <x v="0"/>
    <x v="2"/>
    <s v="No"/>
    <x v="3"/>
    <n v="113.69"/>
    <n v="6216.5"/>
    <s v="Karachi"/>
    <s v="Yes"/>
    <n v="1"/>
  </r>
  <r>
    <s v="CUST-00732"/>
    <n v="60"/>
    <s v="Yes"/>
    <s v="No"/>
    <s v="Yes"/>
    <x v="16"/>
    <s v="No"/>
    <s v="No phone service"/>
    <x v="0"/>
    <x v="2"/>
    <s v="No"/>
    <x v="3"/>
    <n v="87.46"/>
    <n v="606.28"/>
    <s v="Multan"/>
    <s v="Yes"/>
    <n v="1"/>
  </r>
  <r>
    <s v="CUST-00733"/>
    <n v="68"/>
    <s v="Yes"/>
    <s v="Yes"/>
    <s v="No"/>
    <x v="4"/>
    <s v="No"/>
    <s v="No phone service"/>
    <x v="2"/>
    <x v="1"/>
    <s v="Yes"/>
    <x v="3"/>
    <n v="26.02"/>
    <n v="1213.6500000000001"/>
    <s v="Peshawar"/>
    <s v="No"/>
    <n v="0"/>
  </r>
  <r>
    <s v="CUST-00734"/>
    <n v="64"/>
    <s v="Yes"/>
    <s v="No"/>
    <s v="Yes"/>
    <x v="56"/>
    <s v="Yes"/>
    <s v="No"/>
    <x v="2"/>
    <x v="2"/>
    <s v="No"/>
    <x v="3"/>
    <n v="26.67"/>
    <n v="564.65"/>
    <s v="Peshawar"/>
    <s v="No"/>
    <n v="0"/>
  </r>
  <r>
    <s v="CUST-00735"/>
    <n v="26"/>
    <s v="No"/>
    <s v="No"/>
    <s v="Yes"/>
    <x v="24"/>
    <s v="Yes"/>
    <s v="No"/>
    <x v="0"/>
    <x v="2"/>
    <s v="Yes"/>
    <x v="1"/>
    <n v="80.81"/>
    <n v="389.98"/>
    <s v="Multan"/>
    <s v="Yes"/>
    <n v="1"/>
  </r>
  <r>
    <s v="CUST-00736"/>
    <n v="54"/>
    <s v="No"/>
    <s v="Yes"/>
    <s v="No"/>
    <x v="53"/>
    <s v="No"/>
    <s v="No phone service"/>
    <x v="0"/>
    <x v="2"/>
    <s v="Yes"/>
    <x v="1"/>
    <n v="102.45"/>
    <n v="4789.72"/>
    <s v="Islamabad"/>
    <s v="Yes"/>
    <n v="1"/>
  </r>
  <r>
    <s v="CUST-00737"/>
    <n v="71"/>
    <s v="Yes"/>
    <s v="No"/>
    <s v="No"/>
    <x v="7"/>
    <s v="No"/>
    <s v="No phone service"/>
    <x v="2"/>
    <x v="2"/>
    <s v="Yes"/>
    <x v="0"/>
    <n v="19.95"/>
    <n v="296.95"/>
    <s v="Multan"/>
    <s v="Yes"/>
    <n v="1"/>
  </r>
  <r>
    <s v="CUST-00738"/>
    <n v="62"/>
    <s v="Yes"/>
    <s v="No"/>
    <s v="No"/>
    <x v="43"/>
    <s v="Yes"/>
    <s v="Yes"/>
    <x v="2"/>
    <x v="2"/>
    <s v="No"/>
    <x v="3"/>
    <n v="27"/>
    <n v="356.22"/>
    <s v="Multan"/>
    <s v="No"/>
    <n v="0"/>
  </r>
  <r>
    <s v="CUST-00739"/>
    <n v="46"/>
    <s v="No"/>
    <s v="Yes"/>
    <s v="No"/>
    <x v="17"/>
    <s v="No"/>
    <s v="No phone service"/>
    <x v="0"/>
    <x v="0"/>
    <s v="Yes"/>
    <x v="3"/>
    <n v="93.48"/>
    <n v="4820.42"/>
    <s v="Rawalpindi"/>
    <s v="No"/>
    <n v="0"/>
  </r>
  <r>
    <s v="CUST-00740"/>
    <n v="44"/>
    <s v="No"/>
    <s v="No"/>
    <s v="Yes"/>
    <x v="22"/>
    <s v="No"/>
    <s v="No phone service"/>
    <x v="1"/>
    <x v="2"/>
    <s v="No"/>
    <x v="3"/>
    <n v="76.11"/>
    <n v="3832.73"/>
    <s v="Lahore"/>
    <s v="No"/>
    <n v="0"/>
  </r>
  <r>
    <s v="CUST-00741"/>
    <n v="75"/>
    <s v="Yes"/>
    <s v="No"/>
    <s v="Yes"/>
    <x v="65"/>
    <s v="No"/>
    <s v="No phone service"/>
    <x v="0"/>
    <x v="1"/>
    <s v="No"/>
    <x v="3"/>
    <n v="117.96"/>
    <n v="249.87"/>
    <s v="Rawalpindi"/>
    <s v="Yes"/>
    <n v="1"/>
  </r>
  <r>
    <s v="CUST-00742"/>
    <n v="30"/>
    <s v="No"/>
    <s v="No"/>
    <s v="Yes"/>
    <x v="46"/>
    <s v="No"/>
    <s v="No phone service"/>
    <x v="0"/>
    <x v="1"/>
    <s v="Yes"/>
    <x v="0"/>
    <n v="85.91"/>
    <n v="4531.3900000000003"/>
    <s v="Multan"/>
    <s v="No"/>
    <n v="0"/>
  </r>
  <r>
    <s v="CUST-00743"/>
    <n v="69"/>
    <s v="Yes"/>
    <s v="Yes"/>
    <s v="Yes"/>
    <x v="44"/>
    <s v="No"/>
    <s v="No phone service"/>
    <x v="2"/>
    <x v="1"/>
    <s v="Yes"/>
    <x v="2"/>
    <n v="20.45"/>
    <n v="992.05"/>
    <s v="Multan"/>
    <s v="No"/>
    <n v="0"/>
  </r>
  <r>
    <s v="CUST-00744"/>
    <n v="67"/>
    <s v="Yes"/>
    <s v="Yes"/>
    <s v="Yes"/>
    <x v="14"/>
    <s v="Yes"/>
    <s v="No"/>
    <x v="2"/>
    <x v="2"/>
    <s v="Yes"/>
    <x v="2"/>
    <n v="25.61"/>
    <n v="1852.42"/>
    <s v="Multan"/>
    <s v="Yes"/>
    <n v="1"/>
  </r>
  <r>
    <s v="CUST-00745"/>
    <n v="75"/>
    <s v="Yes"/>
    <s v="Yes"/>
    <s v="No"/>
    <x v="3"/>
    <s v="Yes"/>
    <s v="No"/>
    <x v="1"/>
    <x v="1"/>
    <s v="No"/>
    <x v="1"/>
    <n v="66.37"/>
    <n v="1614.44"/>
    <s v="Multan"/>
    <s v="No"/>
    <n v="0"/>
  </r>
  <r>
    <s v="CUST-00746"/>
    <n v="19"/>
    <s v="No"/>
    <s v="Yes"/>
    <s v="Yes"/>
    <x v="35"/>
    <s v="Yes"/>
    <s v="Yes"/>
    <x v="2"/>
    <x v="2"/>
    <s v="Yes"/>
    <x v="3"/>
    <n v="23.93"/>
    <n v="1388.39"/>
    <s v="Rawalpindi"/>
    <s v="No"/>
    <n v="0"/>
  </r>
  <r>
    <s v="CUST-00747"/>
    <n v="24"/>
    <s v="No"/>
    <s v="No"/>
    <s v="Yes"/>
    <x v="67"/>
    <s v="Yes"/>
    <s v="Yes"/>
    <x v="0"/>
    <x v="2"/>
    <s v="No"/>
    <x v="1"/>
    <n v="92.54"/>
    <n v="4705.16"/>
    <s v="Karachi"/>
    <s v="Yes"/>
    <n v="1"/>
  </r>
  <r>
    <s v="CUST-00748"/>
    <n v="60"/>
    <s v="Yes"/>
    <s v="Yes"/>
    <s v="Yes"/>
    <x v="13"/>
    <s v="No"/>
    <s v="No phone service"/>
    <x v="2"/>
    <x v="1"/>
    <s v="Yes"/>
    <x v="3"/>
    <n v="26.9"/>
    <n v="1244.19"/>
    <s v="Lahore"/>
    <s v="Yes"/>
    <n v="1"/>
  </r>
  <r>
    <s v="CUST-00749"/>
    <n v="52"/>
    <s v="No"/>
    <s v="Yes"/>
    <s v="Yes"/>
    <x v="10"/>
    <s v="Yes"/>
    <s v="No"/>
    <x v="2"/>
    <x v="2"/>
    <s v="Yes"/>
    <x v="3"/>
    <n v="26.73"/>
    <n v="787.94"/>
    <s v="Rawalpindi"/>
    <s v="Yes"/>
    <n v="1"/>
  </r>
  <r>
    <s v="CUST-00750"/>
    <n v="30"/>
    <s v="No"/>
    <s v="Yes"/>
    <s v="No"/>
    <x v="60"/>
    <s v="No"/>
    <s v="No phone service"/>
    <x v="1"/>
    <x v="0"/>
    <s v="No"/>
    <x v="0"/>
    <n v="77.849999999999994"/>
    <n v="5807.49"/>
    <s v="Karachi"/>
    <s v="No"/>
    <n v="0"/>
  </r>
  <r>
    <s v="CUST-00751"/>
    <n v="61"/>
    <s v="Yes"/>
    <s v="No"/>
    <s v="No"/>
    <x v="26"/>
    <s v="No"/>
    <s v="No phone service"/>
    <x v="1"/>
    <x v="2"/>
    <s v="Yes"/>
    <x v="2"/>
    <n v="59.51"/>
    <n v="871.42"/>
    <s v="Multan"/>
    <s v="No"/>
    <n v="0"/>
  </r>
  <r>
    <s v="CUST-00752"/>
    <n v="35"/>
    <s v="No"/>
    <s v="No"/>
    <s v="Yes"/>
    <x v="57"/>
    <s v="No"/>
    <s v="No phone service"/>
    <x v="0"/>
    <x v="2"/>
    <s v="Yes"/>
    <x v="0"/>
    <n v="114.47"/>
    <n v="6038.13"/>
    <s v="Rawalpindi"/>
    <s v="Yes"/>
    <n v="1"/>
  </r>
  <r>
    <s v="CUST-00753"/>
    <n v="36"/>
    <s v="No"/>
    <s v="No"/>
    <s v="No"/>
    <x v="39"/>
    <s v="No"/>
    <s v="No phone service"/>
    <x v="0"/>
    <x v="2"/>
    <s v="Yes"/>
    <x v="0"/>
    <n v="73.63"/>
    <n v="300.07"/>
    <s v="Peshawar"/>
    <s v="Yes"/>
    <n v="1"/>
  </r>
  <r>
    <s v="CUST-00754"/>
    <n v="38"/>
    <s v="No"/>
    <s v="Yes"/>
    <s v="Yes"/>
    <x v="52"/>
    <s v="No"/>
    <s v="No phone service"/>
    <x v="1"/>
    <x v="2"/>
    <s v="No"/>
    <x v="2"/>
    <n v="62.47"/>
    <n v="2526.11"/>
    <s v="Faisalabad"/>
    <s v="No"/>
    <n v="0"/>
  </r>
  <r>
    <s v="CUST-00755"/>
    <n v="31"/>
    <s v="No"/>
    <s v="Yes"/>
    <s v="No"/>
    <x v="18"/>
    <s v="No"/>
    <s v="No phone service"/>
    <x v="1"/>
    <x v="0"/>
    <s v="No"/>
    <x v="3"/>
    <n v="52.8"/>
    <n v="508.81"/>
    <s v="Rawalpindi"/>
    <s v="No"/>
    <n v="0"/>
  </r>
  <r>
    <s v="CUST-00756"/>
    <n v="20"/>
    <s v="No"/>
    <s v="No"/>
    <s v="No"/>
    <x v="34"/>
    <s v="Yes"/>
    <s v="No"/>
    <x v="0"/>
    <x v="0"/>
    <s v="Yes"/>
    <x v="0"/>
    <n v="84.25"/>
    <n v="1371.24"/>
    <s v="Lahore"/>
    <s v="No"/>
    <n v="0"/>
  </r>
  <r>
    <s v="CUST-00757"/>
    <n v="47"/>
    <s v="No"/>
    <s v="No"/>
    <s v="Yes"/>
    <x v="27"/>
    <s v="Yes"/>
    <s v="Yes"/>
    <x v="0"/>
    <x v="2"/>
    <s v="No"/>
    <x v="3"/>
    <n v="110.13"/>
    <n v="5880.18"/>
    <s v="Peshawar"/>
    <s v="Yes"/>
    <n v="1"/>
  </r>
  <r>
    <s v="CUST-00758"/>
    <n v="40"/>
    <s v="No"/>
    <s v="No"/>
    <s v="Yes"/>
    <x v="55"/>
    <s v="No"/>
    <s v="No phone service"/>
    <x v="1"/>
    <x v="0"/>
    <s v="No"/>
    <x v="3"/>
    <n v="79.36"/>
    <n v="5709.35"/>
    <s v="Lahore"/>
    <s v="No"/>
    <n v="0"/>
  </r>
  <r>
    <s v="CUST-00759"/>
    <n v="71"/>
    <s v="Yes"/>
    <s v="No"/>
    <s v="Yes"/>
    <x v="39"/>
    <s v="Yes"/>
    <s v="Yes"/>
    <x v="0"/>
    <x v="1"/>
    <s v="No"/>
    <x v="3"/>
    <n v="74.400000000000006"/>
    <n v="305.60000000000002"/>
    <s v="Peshawar"/>
    <s v="No"/>
    <n v="0"/>
  </r>
  <r>
    <s v="CUST-00760"/>
    <n v="75"/>
    <s v="Yes"/>
    <s v="Yes"/>
    <s v="Yes"/>
    <x v="15"/>
    <s v="Yes"/>
    <s v="Yes"/>
    <x v="2"/>
    <x v="1"/>
    <s v="Yes"/>
    <x v="3"/>
    <n v="26.26"/>
    <n v="924.09"/>
    <s v="Multan"/>
    <s v="No"/>
    <n v="0"/>
  </r>
  <r>
    <s v="CUST-00761"/>
    <n v="28"/>
    <s v="No"/>
    <s v="Yes"/>
    <s v="No"/>
    <x v="34"/>
    <s v="Yes"/>
    <s v="No"/>
    <x v="0"/>
    <x v="1"/>
    <s v="No"/>
    <x v="1"/>
    <n v="103.41"/>
    <n v="1658.88"/>
    <s v="Rawalpindi"/>
    <s v="No"/>
    <n v="0"/>
  </r>
  <r>
    <s v="CUST-00762"/>
    <n v="60"/>
    <s v="Yes"/>
    <s v="No"/>
    <s v="No"/>
    <x v="64"/>
    <s v="No"/>
    <s v="No phone service"/>
    <x v="1"/>
    <x v="2"/>
    <s v="No"/>
    <x v="1"/>
    <n v="68.459999999999994"/>
    <n v="2824.6"/>
    <s v="Karachi"/>
    <s v="No"/>
    <n v="0"/>
  </r>
  <r>
    <s v="CUST-00763"/>
    <n v="60"/>
    <s v="Yes"/>
    <s v="Yes"/>
    <s v="Yes"/>
    <x v="18"/>
    <s v="Yes"/>
    <s v="Yes"/>
    <x v="2"/>
    <x v="0"/>
    <s v="No"/>
    <x v="1"/>
    <n v="20.260000000000002"/>
    <n v="192.99"/>
    <s v="Faisalabad"/>
    <s v="Yes"/>
    <n v="1"/>
  </r>
  <r>
    <s v="CUST-00764"/>
    <n v="66"/>
    <s v="Yes"/>
    <s v="No"/>
    <s v="No"/>
    <x v="35"/>
    <s v="Yes"/>
    <s v="No"/>
    <x v="1"/>
    <x v="2"/>
    <s v="No"/>
    <x v="0"/>
    <n v="58.1"/>
    <n v="3477.46"/>
    <s v="Rawalpindi"/>
    <s v="Yes"/>
    <n v="1"/>
  </r>
  <r>
    <s v="CUST-00765"/>
    <n v="30"/>
    <s v="No"/>
    <s v="Yes"/>
    <s v="No"/>
    <x v="46"/>
    <s v="No"/>
    <s v="No phone service"/>
    <x v="0"/>
    <x v="1"/>
    <s v="Yes"/>
    <x v="3"/>
    <n v="113.81"/>
    <n v="6443.6"/>
    <s v="Rawalpindi"/>
    <s v="Yes"/>
    <n v="1"/>
  </r>
  <r>
    <s v="CUST-00766"/>
    <n v="29"/>
    <s v="No"/>
    <s v="No"/>
    <s v="Yes"/>
    <x v="12"/>
    <s v="No"/>
    <s v="No phone service"/>
    <x v="1"/>
    <x v="2"/>
    <s v="Yes"/>
    <x v="2"/>
    <n v="43.36"/>
    <n v="2623.21"/>
    <s v="Faisalabad"/>
    <s v="Yes"/>
    <n v="1"/>
  </r>
  <r>
    <s v="CUST-00767"/>
    <n v="45"/>
    <s v="No"/>
    <s v="No"/>
    <s v="Yes"/>
    <x v="71"/>
    <s v="Yes"/>
    <s v="Yes"/>
    <x v="0"/>
    <x v="2"/>
    <s v="No"/>
    <x v="3"/>
    <n v="79.47"/>
    <n v="4354.0200000000004"/>
    <s v="Faisalabad"/>
    <s v="Yes"/>
    <n v="1"/>
  </r>
  <r>
    <s v="CUST-00768"/>
    <n v="49"/>
    <s v="No"/>
    <s v="No"/>
    <s v="Yes"/>
    <x v="16"/>
    <s v="Yes"/>
    <s v="Yes"/>
    <x v="1"/>
    <x v="2"/>
    <s v="Yes"/>
    <x v="0"/>
    <n v="49.55"/>
    <n v="348.19"/>
    <s v="Faisalabad"/>
    <s v="Yes"/>
    <n v="1"/>
  </r>
  <r>
    <s v="CUST-00769"/>
    <n v="62"/>
    <s v="Yes"/>
    <s v="No"/>
    <s v="No"/>
    <x v="44"/>
    <s v="No"/>
    <s v="No phone service"/>
    <x v="0"/>
    <x v="2"/>
    <s v="Yes"/>
    <x v="1"/>
    <n v="87.38"/>
    <n v="4343.01"/>
    <s v="Multan"/>
    <s v="No"/>
    <n v="0"/>
  </r>
  <r>
    <s v="CUST-00770"/>
    <n v="18"/>
    <s v="No"/>
    <s v="Yes"/>
    <s v="Yes"/>
    <x v="30"/>
    <s v="No"/>
    <s v="No phone service"/>
    <x v="2"/>
    <x v="0"/>
    <s v="Yes"/>
    <x v="3"/>
    <n v="26.18"/>
    <n v="1633.63"/>
    <s v="Rawalpindi"/>
    <s v="No"/>
    <n v="0"/>
  </r>
  <r>
    <s v="CUST-00771"/>
    <n v="27"/>
    <s v="No"/>
    <s v="Yes"/>
    <s v="No"/>
    <x v="46"/>
    <s v="Yes"/>
    <s v="No"/>
    <x v="0"/>
    <x v="1"/>
    <s v="Yes"/>
    <x v="1"/>
    <n v="112.65"/>
    <n v="6265.64"/>
    <s v="Faisalabad"/>
    <s v="No"/>
    <n v="0"/>
  </r>
  <r>
    <s v="CUST-00772"/>
    <n v="18"/>
    <s v="No"/>
    <s v="No"/>
    <s v="Yes"/>
    <x v="12"/>
    <s v="Yes"/>
    <s v="No"/>
    <x v="0"/>
    <x v="1"/>
    <s v="Yes"/>
    <x v="0"/>
    <n v="78.37"/>
    <n v="4577.83"/>
    <s v="Islamabad"/>
    <s v="Yes"/>
    <n v="1"/>
  </r>
  <r>
    <s v="CUST-00773"/>
    <n v="69"/>
    <s v="Yes"/>
    <s v="No"/>
    <s v="No"/>
    <x v="31"/>
    <s v="No"/>
    <s v="No phone service"/>
    <x v="1"/>
    <x v="0"/>
    <s v="No"/>
    <x v="0"/>
    <n v="40.54"/>
    <n v="2508.85"/>
    <s v="Faisalabad"/>
    <s v="No"/>
    <n v="0"/>
  </r>
  <r>
    <s v="CUST-00774"/>
    <n v="67"/>
    <s v="Yes"/>
    <s v="No"/>
    <s v="Yes"/>
    <x v="61"/>
    <s v="Yes"/>
    <s v="Yes"/>
    <x v="1"/>
    <x v="2"/>
    <s v="Yes"/>
    <x v="1"/>
    <n v="45.67"/>
    <n v="1598.03"/>
    <s v="Multan"/>
    <s v="Yes"/>
    <n v="1"/>
  </r>
  <r>
    <s v="CUST-00775"/>
    <n v="62"/>
    <s v="Yes"/>
    <s v="No"/>
    <s v="No"/>
    <x v="20"/>
    <s v="Yes"/>
    <s v="No"/>
    <x v="1"/>
    <x v="2"/>
    <s v="Yes"/>
    <x v="2"/>
    <n v="75.09"/>
    <n v="2070.9299999999998"/>
    <s v="Rawalpindi"/>
    <s v="No"/>
    <n v="0"/>
  </r>
  <r>
    <s v="CUST-00776"/>
    <n v="74"/>
    <s v="Yes"/>
    <s v="Yes"/>
    <s v="No"/>
    <x v="62"/>
    <s v="No"/>
    <s v="No phone service"/>
    <x v="2"/>
    <x v="0"/>
    <s v="No"/>
    <x v="3"/>
    <n v="18.489999999999998"/>
    <n v="834.05"/>
    <s v="Faisalabad"/>
    <s v="No"/>
    <n v="0"/>
  </r>
  <r>
    <s v="CUST-00777"/>
    <n v="25"/>
    <s v="No"/>
    <s v="No"/>
    <s v="No"/>
    <x v="62"/>
    <s v="Yes"/>
    <s v="No"/>
    <x v="0"/>
    <x v="0"/>
    <s v="No"/>
    <x v="1"/>
    <n v="96.16"/>
    <n v="4218.04"/>
    <s v="Karachi"/>
    <s v="No"/>
    <n v="0"/>
  </r>
  <r>
    <s v="CUST-00778"/>
    <n v="37"/>
    <s v="No"/>
    <s v="No"/>
    <s v="No"/>
    <x v="25"/>
    <s v="Yes"/>
    <s v="No"/>
    <x v="1"/>
    <x v="2"/>
    <s v="Yes"/>
    <x v="3"/>
    <n v="52.23"/>
    <n v="466.14"/>
    <s v="Lahore"/>
    <s v="No"/>
    <n v="0"/>
  </r>
  <r>
    <s v="CUST-00779"/>
    <n v="21"/>
    <s v="No"/>
    <s v="No"/>
    <s v="Yes"/>
    <x v="62"/>
    <s v="Yes"/>
    <s v="No"/>
    <x v="2"/>
    <x v="0"/>
    <s v="Yes"/>
    <x v="2"/>
    <n v="20.36"/>
    <n v="925.57"/>
    <s v="Karachi"/>
    <s v="Yes"/>
    <n v="1"/>
  </r>
  <r>
    <s v="CUST-00780"/>
    <n v="20"/>
    <s v="No"/>
    <s v="No"/>
    <s v="No"/>
    <x v="36"/>
    <s v="No"/>
    <s v="No phone service"/>
    <x v="2"/>
    <x v="2"/>
    <s v="Yes"/>
    <x v="2"/>
    <n v="29.04"/>
    <n v="940.1"/>
    <s v="Rawalpindi"/>
    <s v="Yes"/>
    <n v="1"/>
  </r>
  <r>
    <s v="CUST-00781"/>
    <n v="61"/>
    <s v="Yes"/>
    <s v="No"/>
    <s v="Yes"/>
    <x v="69"/>
    <s v="No"/>
    <s v="No phone service"/>
    <x v="0"/>
    <x v="0"/>
    <s v="No"/>
    <x v="3"/>
    <n v="84.87"/>
    <n v="2319.7199999999998"/>
    <s v="Karachi"/>
    <s v="No"/>
    <n v="0"/>
  </r>
  <r>
    <s v="CUST-00782"/>
    <n v="42"/>
    <s v="No"/>
    <s v="No"/>
    <s v="Yes"/>
    <x v="58"/>
    <s v="No"/>
    <s v="No phone service"/>
    <x v="1"/>
    <x v="2"/>
    <s v="No"/>
    <x v="0"/>
    <n v="57.11"/>
    <n v="1018.17"/>
    <s v="Lahore"/>
    <s v="No"/>
    <n v="0"/>
  </r>
  <r>
    <s v="CUST-00783"/>
    <n v="53"/>
    <s v="No"/>
    <s v="Yes"/>
    <s v="No"/>
    <x v="2"/>
    <s v="No"/>
    <s v="No phone service"/>
    <x v="1"/>
    <x v="0"/>
    <s v="No"/>
    <x v="3"/>
    <n v="61.73"/>
    <n v="746.59"/>
    <s v="Peshawar"/>
    <s v="Yes"/>
    <n v="1"/>
  </r>
  <r>
    <s v="CUST-00784"/>
    <n v="72"/>
    <s v="Yes"/>
    <s v="No"/>
    <s v="Yes"/>
    <x v="27"/>
    <s v="No"/>
    <s v="No phone service"/>
    <x v="1"/>
    <x v="1"/>
    <s v="No"/>
    <x v="1"/>
    <n v="43.39"/>
    <n v="2194.0500000000002"/>
    <s v="Lahore"/>
    <s v="No"/>
    <n v="0"/>
  </r>
  <r>
    <s v="CUST-00785"/>
    <n v="39"/>
    <s v="No"/>
    <s v="Yes"/>
    <s v="No"/>
    <x v="48"/>
    <s v="Yes"/>
    <s v="Yes"/>
    <x v="1"/>
    <x v="0"/>
    <s v="Yes"/>
    <x v="1"/>
    <n v="60.65"/>
    <n v="3788.3"/>
    <s v="Karachi"/>
    <s v="No"/>
    <n v="0"/>
  </r>
  <r>
    <s v="CUST-00786"/>
    <n v="32"/>
    <s v="No"/>
    <s v="Yes"/>
    <s v="No"/>
    <x v="70"/>
    <s v="Yes"/>
    <s v="No"/>
    <x v="1"/>
    <x v="0"/>
    <s v="Yes"/>
    <x v="3"/>
    <n v="40"/>
    <n v="1619.93"/>
    <s v="Lahore"/>
    <s v="Yes"/>
    <n v="1"/>
  </r>
  <r>
    <s v="CUST-00787"/>
    <n v="33"/>
    <s v="No"/>
    <s v="Yes"/>
    <s v="Yes"/>
    <x v="12"/>
    <s v="No"/>
    <s v="No phone service"/>
    <x v="0"/>
    <x v="2"/>
    <s v="Yes"/>
    <x v="3"/>
    <n v="94.19"/>
    <n v="5527.75"/>
    <s v="Peshawar"/>
    <s v="Yes"/>
    <n v="1"/>
  </r>
  <r>
    <s v="CUST-00788"/>
    <n v="52"/>
    <s v="No"/>
    <s v="No"/>
    <s v="No"/>
    <x v="34"/>
    <s v="Yes"/>
    <s v="Yes"/>
    <x v="0"/>
    <x v="1"/>
    <s v="Yes"/>
    <x v="3"/>
    <n v="107.08"/>
    <n v="1722.88"/>
    <s v="Islamabad"/>
    <s v="No"/>
    <n v="0"/>
  </r>
  <r>
    <s v="CUST-00789"/>
    <n v="36"/>
    <s v="No"/>
    <s v="Yes"/>
    <s v="No"/>
    <x v="22"/>
    <s v="No"/>
    <s v="No phone service"/>
    <x v="1"/>
    <x v="2"/>
    <s v="Yes"/>
    <x v="0"/>
    <n v="72.540000000000006"/>
    <n v="3334.91"/>
    <s v="Lahore"/>
    <s v="Yes"/>
    <n v="1"/>
  </r>
  <r>
    <s v="CUST-00790"/>
    <n v="54"/>
    <s v="No"/>
    <s v="No"/>
    <s v="Yes"/>
    <x v="9"/>
    <s v="No"/>
    <s v="No phone service"/>
    <x v="0"/>
    <x v="2"/>
    <s v="No"/>
    <x v="2"/>
    <n v="93.4"/>
    <n v="3740.1"/>
    <s v="Karachi"/>
    <s v="Yes"/>
    <n v="1"/>
  </r>
  <r>
    <s v="CUST-00791"/>
    <n v="40"/>
    <s v="No"/>
    <s v="Yes"/>
    <s v="No"/>
    <x v="19"/>
    <s v="Yes"/>
    <s v="Yes"/>
    <x v="0"/>
    <x v="2"/>
    <s v="No"/>
    <x v="0"/>
    <n v="112.93"/>
    <n v="7347.53"/>
    <s v="Multan"/>
    <s v="No"/>
    <n v="0"/>
  </r>
  <r>
    <s v="CUST-00792"/>
    <n v="37"/>
    <s v="No"/>
    <s v="No"/>
    <s v="Yes"/>
    <x v="48"/>
    <s v="No"/>
    <s v="No phone service"/>
    <x v="0"/>
    <x v="0"/>
    <s v="Yes"/>
    <x v="0"/>
    <n v="116.37"/>
    <n v="7453.38"/>
    <s v="Karachi"/>
    <s v="No"/>
    <n v="0"/>
  </r>
  <r>
    <s v="CUST-00793"/>
    <n v="62"/>
    <s v="Yes"/>
    <s v="No"/>
    <s v="No"/>
    <x v="27"/>
    <s v="Yes"/>
    <s v="No"/>
    <x v="0"/>
    <x v="2"/>
    <s v="Yes"/>
    <x v="1"/>
    <n v="94.97"/>
    <n v="5044.71"/>
    <s v="Karachi"/>
    <s v="Yes"/>
    <n v="1"/>
  </r>
  <r>
    <s v="CUST-00794"/>
    <n v="67"/>
    <s v="Yes"/>
    <s v="Yes"/>
    <s v="Yes"/>
    <x v="23"/>
    <s v="No"/>
    <s v="No phone service"/>
    <x v="1"/>
    <x v="0"/>
    <s v="No"/>
    <x v="2"/>
    <n v="42.48"/>
    <n v="947.79"/>
    <s v="Multan"/>
    <s v="Yes"/>
    <n v="1"/>
  </r>
  <r>
    <s v="CUST-00795"/>
    <n v="22"/>
    <s v="No"/>
    <s v="No"/>
    <s v="No"/>
    <x v="39"/>
    <s v="No"/>
    <s v="No phone service"/>
    <x v="2"/>
    <x v="2"/>
    <s v="No"/>
    <x v="0"/>
    <n v="29.87"/>
    <n v="120.54"/>
    <s v="Islamabad"/>
    <s v="Yes"/>
    <n v="1"/>
  </r>
  <r>
    <s v="CUST-00796"/>
    <n v="49"/>
    <s v="No"/>
    <s v="No"/>
    <s v="No"/>
    <x v="1"/>
    <s v="Yes"/>
    <s v="No"/>
    <x v="0"/>
    <x v="2"/>
    <s v="Yes"/>
    <x v="3"/>
    <n v="71.209999999999994"/>
    <n v="2179.04"/>
    <s v="Lahore"/>
    <s v="Yes"/>
    <n v="1"/>
  </r>
  <r>
    <s v="CUST-00797"/>
    <n v="69"/>
    <s v="Yes"/>
    <s v="Yes"/>
    <s v="Yes"/>
    <x v="53"/>
    <s v="Yes"/>
    <s v="Yes"/>
    <x v="1"/>
    <x v="0"/>
    <s v="No"/>
    <x v="3"/>
    <n v="48.3"/>
    <n v="2359.34"/>
    <s v="Islamabad"/>
    <s v="No"/>
    <n v="0"/>
  </r>
  <r>
    <s v="CUST-00798"/>
    <n v="57"/>
    <s v="No"/>
    <s v="Yes"/>
    <s v="Yes"/>
    <x v="71"/>
    <s v="No"/>
    <s v="No phone service"/>
    <x v="0"/>
    <x v="1"/>
    <s v="Yes"/>
    <x v="3"/>
    <n v="95.86"/>
    <n v="5202.3500000000004"/>
    <s v="Lahore"/>
    <s v="No"/>
    <n v="0"/>
  </r>
  <r>
    <s v="CUST-00799"/>
    <n v="56"/>
    <s v="No"/>
    <s v="No"/>
    <s v="Yes"/>
    <x v="1"/>
    <s v="No"/>
    <s v="No phone service"/>
    <x v="2"/>
    <x v="1"/>
    <s v="No"/>
    <x v="0"/>
    <n v="22.29"/>
    <n v="675.3"/>
    <s v="Islamabad"/>
    <s v="No"/>
    <n v="0"/>
  </r>
  <r>
    <s v="CUST-00800"/>
    <n v="22"/>
    <s v="No"/>
    <s v="Yes"/>
    <s v="No"/>
    <x v="27"/>
    <s v="Yes"/>
    <s v="No"/>
    <x v="1"/>
    <x v="1"/>
    <s v="No"/>
    <x v="1"/>
    <n v="41.29"/>
    <n v="2126.83"/>
    <s v="Peshawar"/>
    <s v="No"/>
    <n v="0"/>
  </r>
  <r>
    <s v="CUST-00801"/>
    <n v="21"/>
    <s v="No"/>
    <s v="Yes"/>
    <s v="Yes"/>
    <x v="60"/>
    <s v="No"/>
    <s v="No phone service"/>
    <x v="2"/>
    <x v="1"/>
    <s v="Yes"/>
    <x v="3"/>
    <n v="18.87"/>
    <n v="1411.8"/>
    <s v="Multan"/>
    <s v="No"/>
    <n v="0"/>
  </r>
  <r>
    <s v="CUST-00802"/>
    <n v="71"/>
    <s v="Yes"/>
    <s v="Yes"/>
    <s v="No"/>
    <x v="18"/>
    <s v="Yes"/>
    <s v="No"/>
    <x v="2"/>
    <x v="2"/>
    <s v="Yes"/>
    <x v="3"/>
    <n v="18.5"/>
    <n v="174.69"/>
    <s v="Multan"/>
    <s v="Yes"/>
    <n v="1"/>
  </r>
  <r>
    <s v="CUST-00803"/>
    <n v="40"/>
    <s v="No"/>
    <s v="No"/>
    <s v="No"/>
    <x v="9"/>
    <s v="Yes"/>
    <s v="Yes"/>
    <x v="1"/>
    <x v="2"/>
    <s v="Yes"/>
    <x v="0"/>
    <n v="74.41"/>
    <n v="2965.35"/>
    <s v="Faisalabad"/>
    <s v="No"/>
    <n v="0"/>
  </r>
  <r>
    <s v="CUST-00804"/>
    <n v="48"/>
    <s v="No"/>
    <s v="Yes"/>
    <s v="No"/>
    <x v="63"/>
    <s v="No"/>
    <s v="No phone service"/>
    <x v="1"/>
    <x v="0"/>
    <s v="Yes"/>
    <x v="3"/>
    <n v="44.72"/>
    <n v="2221.69"/>
    <s v="Islamabad"/>
    <s v="No"/>
    <n v="0"/>
  </r>
  <r>
    <s v="CUST-00805"/>
    <n v="30"/>
    <s v="No"/>
    <s v="No"/>
    <s v="No"/>
    <x v="5"/>
    <s v="Yes"/>
    <s v="No"/>
    <x v="0"/>
    <x v="2"/>
    <s v="Yes"/>
    <x v="2"/>
    <n v="70.739999999999995"/>
    <n v="580.85"/>
    <s v="Lahore"/>
    <s v="No"/>
    <n v="0"/>
  </r>
  <r>
    <s v="CUST-00806"/>
    <n v="21"/>
    <s v="No"/>
    <s v="Yes"/>
    <s v="No"/>
    <x v="66"/>
    <s v="No"/>
    <s v="No phone service"/>
    <x v="0"/>
    <x v="2"/>
    <s v="Yes"/>
    <x v="2"/>
    <n v="76.489999999999995"/>
    <n v="1813.25"/>
    <s v="Multan"/>
    <s v="No"/>
    <n v="0"/>
  </r>
  <r>
    <s v="CUST-00807"/>
    <n v="22"/>
    <s v="No"/>
    <s v="Yes"/>
    <s v="No"/>
    <x v="14"/>
    <s v="No"/>
    <s v="No phone service"/>
    <x v="0"/>
    <x v="1"/>
    <s v="Yes"/>
    <x v="0"/>
    <n v="85.14"/>
    <n v="5864.63"/>
    <s v="Peshawar"/>
    <s v="No"/>
    <n v="0"/>
  </r>
  <r>
    <s v="CUST-00808"/>
    <n v="59"/>
    <s v="No"/>
    <s v="Yes"/>
    <s v="No"/>
    <x v="52"/>
    <s v="Yes"/>
    <s v="Yes"/>
    <x v="1"/>
    <x v="1"/>
    <s v="No"/>
    <x v="3"/>
    <n v="48.14"/>
    <n v="1887.8"/>
    <s v="Karachi"/>
    <s v="No"/>
    <n v="0"/>
  </r>
  <r>
    <s v="CUST-00809"/>
    <n v="37"/>
    <s v="No"/>
    <s v="Yes"/>
    <s v="Yes"/>
    <x v="22"/>
    <s v="Yes"/>
    <s v="Yes"/>
    <x v="1"/>
    <x v="2"/>
    <s v="No"/>
    <x v="1"/>
    <n v="58.15"/>
    <n v="2661.99"/>
    <s v="Lahore"/>
    <s v="No"/>
    <n v="0"/>
  </r>
  <r>
    <s v="CUST-00810"/>
    <n v="35"/>
    <s v="No"/>
    <s v="No"/>
    <s v="No"/>
    <x v="9"/>
    <s v="Yes"/>
    <s v="Yes"/>
    <x v="2"/>
    <x v="1"/>
    <s v="No"/>
    <x v="0"/>
    <n v="28.35"/>
    <n v="1090.3499999999999"/>
    <s v="Karachi"/>
    <s v="Yes"/>
    <n v="1"/>
  </r>
  <r>
    <s v="CUST-00811"/>
    <n v="42"/>
    <s v="No"/>
    <s v="Yes"/>
    <s v="No"/>
    <x v="8"/>
    <s v="No"/>
    <s v="No phone service"/>
    <x v="0"/>
    <x v="2"/>
    <s v="No"/>
    <x v="2"/>
    <n v="115.5"/>
    <n v="8212.8700000000008"/>
    <s v="Peshawar"/>
    <s v="Yes"/>
    <n v="1"/>
  </r>
  <r>
    <s v="CUST-00812"/>
    <n v="34"/>
    <s v="No"/>
    <s v="Yes"/>
    <s v="Yes"/>
    <x v="13"/>
    <s v="No"/>
    <s v="No phone service"/>
    <x v="1"/>
    <x v="1"/>
    <s v="Yes"/>
    <x v="1"/>
    <n v="62.13"/>
    <n v="2882.15"/>
    <s v="Islamabad"/>
    <s v="No"/>
    <n v="0"/>
  </r>
  <r>
    <s v="CUST-00813"/>
    <n v="72"/>
    <s v="Yes"/>
    <s v="No"/>
    <s v="No"/>
    <x v="40"/>
    <s v="No"/>
    <s v="No phone service"/>
    <x v="0"/>
    <x v="2"/>
    <s v="Yes"/>
    <x v="3"/>
    <n v="70.760000000000005"/>
    <n v="4911.3599999999997"/>
    <s v="Lahore"/>
    <s v="No"/>
    <n v="0"/>
  </r>
  <r>
    <s v="CUST-00814"/>
    <n v="33"/>
    <s v="No"/>
    <s v="No"/>
    <s v="No"/>
    <x v="44"/>
    <s v="No"/>
    <s v="No phone service"/>
    <x v="0"/>
    <x v="2"/>
    <s v="No"/>
    <x v="1"/>
    <n v="110.51"/>
    <n v="5709.05"/>
    <s v="Faisalabad"/>
    <s v="Yes"/>
    <n v="1"/>
  </r>
  <r>
    <s v="CUST-00815"/>
    <n v="60"/>
    <s v="Yes"/>
    <s v="No"/>
    <s v="No"/>
    <x v="23"/>
    <s v="Yes"/>
    <s v="No"/>
    <x v="0"/>
    <x v="2"/>
    <s v="No"/>
    <x v="0"/>
    <n v="112.22"/>
    <n v="2493.67"/>
    <s v="Lahore"/>
    <s v="Yes"/>
    <n v="1"/>
  </r>
  <r>
    <s v="CUST-00816"/>
    <n v="35"/>
    <s v="No"/>
    <s v="No"/>
    <s v="Yes"/>
    <x v="71"/>
    <s v="No"/>
    <s v="No phone service"/>
    <x v="0"/>
    <x v="2"/>
    <s v="No"/>
    <x v="3"/>
    <n v="101.52"/>
    <n v="5541.45"/>
    <s v="Lahore"/>
    <s v="No"/>
    <n v="0"/>
  </r>
  <r>
    <s v="CUST-00817"/>
    <n v="32"/>
    <s v="No"/>
    <s v="Yes"/>
    <s v="Yes"/>
    <x v="66"/>
    <s v="No"/>
    <s v="No phone service"/>
    <x v="1"/>
    <x v="0"/>
    <s v="Yes"/>
    <x v="0"/>
    <n v="49.12"/>
    <n v="1242.78"/>
    <s v="Islamabad"/>
    <s v="No"/>
    <n v="0"/>
  </r>
  <r>
    <s v="CUST-00818"/>
    <n v="19"/>
    <s v="No"/>
    <s v="No"/>
    <s v="Yes"/>
    <x v="33"/>
    <s v="Yes"/>
    <s v="No"/>
    <x v="0"/>
    <x v="2"/>
    <s v="Yes"/>
    <x v="3"/>
    <n v="86.29"/>
    <n v="2633.7"/>
    <s v="Rawalpindi"/>
    <s v="No"/>
    <n v="0"/>
  </r>
  <r>
    <s v="CUST-00819"/>
    <n v="22"/>
    <s v="No"/>
    <s v="No"/>
    <s v="No"/>
    <x v="6"/>
    <s v="No"/>
    <s v="No phone service"/>
    <x v="0"/>
    <x v="2"/>
    <s v="No"/>
    <x v="2"/>
    <n v="88.74"/>
    <n v="1775.59"/>
    <s v="Lahore"/>
    <s v="Yes"/>
    <n v="1"/>
  </r>
  <r>
    <s v="CUST-00820"/>
    <n v="28"/>
    <s v="No"/>
    <s v="No"/>
    <s v="Yes"/>
    <x v="41"/>
    <s v="Yes"/>
    <s v="Yes"/>
    <x v="2"/>
    <x v="2"/>
    <s v="No"/>
    <x v="0"/>
    <n v="27.37"/>
    <n v="1041.08"/>
    <s v="Islamabad"/>
    <s v="No"/>
    <n v="0"/>
  </r>
  <r>
    <s v="CUST-00821"/>
    <n v="31"/>
    <s v="No"/>
    <s v="No"/>
    <s v="Yes"/>
    <x v="56"/>
    <s v="Yes"/>
    <s v="No"/>
    <x v="0"/>
    <x v="1"/>
    <s v="Yes"/>
    <x v="0"/>
    <n v="119.89"/>
    <n v="2435.3000000000002"/>
    <s v="Faisalabad"/>
    <s v="No"/>
    <n v="0"/>
  </r>
  <r>
    <s v="CUST-00822"/>
    <n v="64"/>
    <s v="Yes"/>
    <s v="Yes"/>
    <s v="Yes"/>
    <x v="12"/>
    <s v="No"/>
    <s v="No phone service"/>
    <x v="1"/>
    <x v="2"/>
    <s v="Yes"/>
    <x v="1"/>
    <n v="51.72"/>
    <n v="3058.01"/>
    <s v="Peshawar"/>
    <s v="Yes"/>
    <n v="1"/>
  </r>
  <r>
    <s v="CUST-00823"/>
    <n v="41"/>
    <s v="No"/>
    <s v="Yes"/>
    <s v="No"/>
    <x v="52"/>
    <s v="Yes"/>
    <s v="No"/>
    <x v="1"/>
    <x v="2"/>
    <s v="No"/>
    <x v="0"/>
    <n v="54.08"/>
    <n v="2218.7800000000002"/>
    <s v="Multan"/>
    <s v="No"/>
    <n v="0"/>
  </r>
  <r>
    <s v="CUST-00824"/>
    <n v="48"/>
    <s v="No"/>
    <s v="Yes"/>
    <s v="No"/>
    <x v="17"/>
    <s v="Yes"/>
    <s v="No"/>
    <x v="0"/>
    <x v="2"/>
    <s v="No"/>
    <x v="1"/>
    <n v="103.3"/>
    <n v="5648.85"/>
    <s v="Islamabad"/>
    <s v="No"/>
    <n v="0"/>
  </r>
  <r>
    <s v="CUST-00825"/>
    <n v="38"/>
    <s v="No"/>
    <s v="Yes"/>
    <s v="Yes"/>
    <x v="67"/>
    <s v="Yes"/>
    <s v="No"/>
    <x v="0"/>
    <x v="0"/>
    <s v="Yes"/>
    <x v="2"/>
    <n v="113.82"/>
    <n v="5681.74"/>
    <s v="Islamabad"/>
    <s v="Yes"/>
    <n v="1"/>
  </r>
  <r>
    <s v="CUST-00826"/>
    <n v="66"/>
    <s v="Yes"/>
    <s v="No"/>
    <s v="Yes"/>
    <x v="49"/>
    <s v="No"/>
    <s v="No phone service"/>
    <x v="2"/>
    <x v="2"/>
    <s v="Yes"/>
    <x v="2"/>
    <n v="19.59"/>
    <n v="347.69"/>
    <s v="Rawalpindi"/>
    <s v="No"/>
    <n v="0"/>
  </r>
  <r>
    <s v="CUST-00827"/>
    <n v="40"/>
    <s v="No"/>
    <s v="Yes"/>
    <s v="No"/>
    <x v="55"/>
    <s v="No"/>
    <s v="No phone service"/>
    <x v="0"/>
    <x v="2"/>
    <s v="No"/>
    <x v="0"/>
    <n v="100.83"/>
    <n v="7690.24"/>
    <s v="Multan"/>
    <s v="Yes"/>
    <n v="1"/>
  </r>
  <r>
    <s v="CUST-00828"/>
    <n v="40"/>
    <s v="No"/>
    <s v="No"/>
    <s v="No"/>
    <x v="37"/>
    <s v="No"/>
    <s v="No phone service"/>
    <x v="1"/>
    <x v="2"/>
    <s v="No"/>
    <x v="1"/>
    <n v="69.34"/>
    <n v="4129.68"/>
    <s v="Peshawar"/>
    <s v="No"/>
    <n v="0"/>
  </r>
  <r>
    <s v="CUST-00829"/>
    <n v="50"/>
    <s v="No"/>
    <s v="Yes"/>
    <s v="Yes"/>
    <x v="11"/>
    <s v="No"/>
    <s v="No phone service"/>
    <x v="1"/>
    <x v="0"/>
    <s v="No"/>
    <x v="0"/>
    <n v="57.54"/>
    <n v="57.6"/>
    <s v="Peshawar"/>
    <s v="No"/>
    <n v="0"/>
  </r>
  <r>
    <s v="CUST-00830"/>
    <n v="24"/>
    <s v="No"/>
    <s v="Yes"/>
    <s v="No"/>
    <x v="59"/>
    <s v="No"/>
    <s v="No phone service"/>
    <x v="0"/>
    <x v="2"/>
    <s v="No"/>
    <x v="3"/>
    <n v="78.92"/>
    <n v="4834.62"/>
    <s v="Multan"/>
    <s v="No"/>
    <n v="0"/>
  </r>
  <r>
    <s v="CUST-00831"/>
    <n v="74"/>
    <s v="Yes"/>
    <s v="Yes"/>
    <s v="No"/>
    <x v="40"/>
    <s v="No"/>
    <s v="No phone service"/>
    <x v="0"/>
    <x v="2"/>
    <s v="No"/>
    <x v="3"/>
    <n v="84.39"/>
    <n v="5645.06"/>
    <s v="Karachi"/>
    <s v="Yes"/>
    <n v="1"/>
  </r>
  <r>
    <s v="CUST-00832"/>
    <n v="36"/>
    <s v="No"/>
    <s v="No"/>
    <s v="Yes"/>
    <x v="38"/>
    <s v="Yes"/>
    <s v="Yes"/>
    <x v="1"/>
    <x v="0"/>
    <s v="Yes"/>
    <x v="3"/>
    <n v="76.099999999999994"/>
    <n v="2408.98"/>
    <s v="Peshawar"/>
    <s v="No"/>
    <n v="0"/>
  </r>
  <r>
    <s v="CUST-00833"/>
    <n v="30"/>
    <s v="No"/>
    <s v="Yes"/>
    <s v="No"/>
    <x v="39"/>
    <s v="No"/>
    <s v="No phone service"/>
    <x v="0"/>
    <x v="1"/>
    <s v="No"/>
    <x v="1"/>
    <n v="96.04"/>
    <n v="399.42"/>
    <s v="Lahore"/>
    <s v="Yes"/>
    <n v="1"/>
  </r>
  <r>
    <s v="CUST-00834"/>
    <n v="63"/>
    <s v="Yes"/>
    <s v="Yes"/>
    <s v="No"/>
    <x v="68"/>
    <s v="Yes"/>
    <s v="No"/>
    <x v="1"/>
    <x v="1"/>
    <s v="Yes"/>
    <x v="2"/>
    <n v="72.150000000000006"/>
    <n v="4158.84"/>
    <s v="Lahore"/>
    <s v="No"/>
    <n v="0"/>
  </r>
  <r>
    <s v="CUST-00835"/>
    <n v="38"/>
    <s v="No"/>
    <s v="Yes"/>
    <s v="No"/>
    <x v="0"/>
    <s v="Yes"/>
    <s v="No"/>
    <x v="1"/>
    <x v="2"/>
    <s v="Yes"/>
    <x v="0"/>
    <n v="77.290000000000006"/>
    <n v="2880.67"/>
    <s v="Peshawar"/>
    <s v="No"/>
    <n v="0"/>
  </r>
  <r>
    <s v="CUST-00836"/>
    <n v="53"/>
    <s v="No"/>
    <s v="Yes"/>
    <s v="Yes"/>
    <x v="36"/>
    <s v="No"/>
    <s v="No phone service"/>
    <x v="0"/>
    <x v="1"/>
    <s v="Yes"/>
    <x v="1"/>
    <n v="83.26"/>
    <n v="2552.88"/>
    <s v="Multan"/>
    <s v="No"/>
    <n v="0"/>
  </r>
  <r>
    <s v="CUST-00837"/>
    <n v="49"/>
    <s v="No"/>
    <s v="No"/>
    <s v="Yes"/>
    <x v="69"/>
    <s v="Yes"/>
    <s v="No"/>
    <x v="1"/>
    <x v="1"/>
    <s v="Yes"/>
    <x v="3"/>
    <n v="42.69"/>
    <n v="1117.6300000000001"/>
    <s v="Karachi"/>
    <s v="No"/>
    <n v="0"/>
  </r>
  <r>
    <s v="CUST-00838"/>
    <n v="20"/>
    <s v="No"/>
    <s v="No"/>
    <s v="No"/>
    <x v="63"/>
    <s v="Yes"/>
    <s v="No"/>
    <x v="1"/>
    <x v="2"/>
    <s v="Yes"/>
    <x v="2"/>
    <n v="73.63"/>
    <n v="3770.24"/>
    <s v="Rawalpindi"/>
    <s v="No"/>
    <n v="0"/>
  </r>
  <r>
    <s v="CUST-00839"/>
    <n v="68"/>
    <s v="Yes"/>
    <s v="No"/>
    <s v="No"/>
    <x v="14"/>
    <s v="Yes"/>
    <s v="Yes"/>
    <x v="1"/>
    <x v="1"/>
    <s v="No"/>
    <x v="0"/>
    <n v="57.89"/>
    <n v="3929.46"/>
    <s v="Karachi"/>
    <s v="No"/>
    <n v="0"/>
  </r>
  <r>
    <s v="CUST-00840"/>
    <n v="47"/>
    <s v="No"/>
    <s v="No"/>
    <s v="Yes"/>
    <x v="62"/>
    <s v="Yes"/>
    <s v="No"/>
    <x v="1"/>
    <x v="2"/>
    <s v="No"/>
    <x v="1"/>
    <n v="67.489999999999995"/>
    <n v="2865.38"/>
    <s v="Karachi"/>
    <s v="Yes"/>
    <n v="1"/>
  </r>
  <r>
    <s v="CUST-00841"/>
    <n v="74"/>
    <s v="Yes"/>
    <s v="No"/>
    <s v="Yes"/>
    <x v="55"/>
    <s v="No"/>
    <s v="No phone service"/>
    <x v="1"/>
    <x v="0"/>
    <s v="No"/>
    <x v="0"/>
    <n v="57.68"/>
    <n v="4102.47"/>
    <s v="Islamabad"/>
    <s v="No"/>
    <n v="0"/>
  </r>
  <r>
    <s v="CUST-00842"/>
    <n v="49"/>
    <s v="No"/>
    <s v="Yes"/>
    <s v="No"/>
    <x v="42"/>
    <s v="No"/>
    <s v="No phone service"/>
    <x v="0"/>
    <x v="2"/>
    <s v="Yes"/>
    <x v="0"/>
    <n v="108.98"/>
    <n v="623.29999999999995"/>
    <s v="Faisalabad"/>
    <s v="No"/>
    <n v="0"/>
  </r>
  <r>
    <s v="CUST-00843"/>
    <n v="39"/>
    <s v="No"/>
    <s v="Yes"/>
    <s v="Yes"/>
    <x v="47"/>
    <s v="Yes"/>
    <s v="No"/>
    <x v="2"/>
    <x v="2"/>
    <s v="No"/>
    <x v="1"/>
    <n v="24.63"/>
    <n v="75.260000000000005"/>
    <s v="Islamabad"/>
    <s v="No"/>
    <n v="0"/>
  </r>
  <r>
    <s v="CUST-00844"/>
    <n v="52"/>
    <s v="No"/>
    <s v="Yes"/>
    <s v="Yes"/>
    <x v="8"/>
    <s v="Yes"/>
    <s v="Yes"/>
    <x v="0"/>
    <x v="2"/>
    <s v="No"/>
    <x v="3"/>
    <n v="80.78"/>
    <n v="5729.89"/>
    <s v="Lahore"/>
    <s v="No"/>
    <n v="0"/>
  </r>
  <r>
    <s v="CUST-00845"/>
    <n v="72"/>
    <s v="Yes"/>
    <s v="Yes"/>
    <s v="Yes"/>
    <x v="30"/>
    <s v="No"/>
    <s v="No phone service"/>
    <x v="0"/>
    <x v="2"/>
    <s v="No"/>
    <x v="3"/>
    <n v="81.5"/>
    <n v="5470.67"/>
    <s v="Islamabad"/>
    <s v="Yes"/>
    <n v="1"/>
  </r>
  <r>
    <s v="CUST-00846"/>
    <n v="65"/>
    <s v="Yes"/>
    <s v="Yes"/>
    <s v="No"/>
    <x v="27"/>
    <s v="No"/>
    <s v="No phone service"/>
    <x v="0"/>
    <x v="1"/>
    <s v="Yes"/>
    <x v="3"/>
    <n v="106.11"/>
    <n v="5691.45"/>
    <s v="Lahore"/>
    <s v="No"/>
    <n v="0"/>
  </r>
  <r>
    <s v="CUST-00847"/>
    <n v="65"/>
    <s v="Yes"/>
    <s v="Yes"/>
    <s v="Yes"/>
    <x v="44"/>
    <s v="No"/>
    <s v="No phone service"/>
    <x v="0"/>
    <x v="0"/>
    <s v="No"/>
    <x v="0"/>
    <n v="71.17"/>
    <n v="3531.26"/>
    <s v="Islamabad"/>
    <s v="Yes"/>
    <n v="1"/>
  </r>
  <r>
    <s v="CUST-00848"/>
    <n v="59"/>
    <s v="No"/>
    <s v="No"/>
    <s v="No"/>
    <x v="41"/>
    <s v="Yes"/>
    <s v="No"/>
    <x v="0"/>
    <x v="0"/>
    <s v="No"/>
    <x v="3"/>
    <n v="105.14"/>
    <n v="3998.48"/>
    <s v="Rawalpindi"/>
    <s v="No"/>
    <n v="0"/>
  </r>
  <r>
    <s v="CUST-00849"/>
    <n v="64"/>
    <s v="Yes"/>
    <s v="No"/>
    <s v="No"/>
    <x v="14"/>
    <s v="No"/>
    <s v="No phone service"/>
    <x v="1"/>
    <x v="2"/>
    <s v="Yes"/>
    <x v="0"/>
    <n v="49.28"/>
    <n v="3395.71"/>
    <s v="Multan"/>
    <s v="No"/>
    <n v="0"/>
  </r>
  <r>
    <s v="CUST-00850"/>
    <n v="37"/>
    <s v="No"/>
    <s v="No"/>
    <s v="Yes"/>
    <x v="32"/>
    <s v="Yes"/>
    <s v="Yes"/>
    <x v="0"/>
    <x v="1"/>
    <s v="Yes"/>
    <x v="3"/>
    <n v="90.16"/>
    <n v="1031.99"/>
    <s v="Peshawar"/>
    <s v="No"/>
    <n v="0"/>
  </r>
  <r>
    <s v="CUST-00851"/>
    <n v="54"/>
    <s v="No"/>
    <s v="Yes"/>
    <s v="Yes"/>
    <x v="59"/>
    <s v="No"/>
    <s v="No phone service"/>
    <x v="0"/>
    <x v="0"/>
    <s v="Yes"/>
    <x v="3"/>
    <n v="104.45"/>
    <n v="6764"/>
    <s v="Islamabad"/>
    <s v="No"/>
    <n v="0"/>
  </r>
  <r>
    <s v="CUST-00852"/>
    <n v="62"/>
    <s v="Yes"/>
    <s v="Yes"/>
    <s v="No"/>
    <x v="14"/>
    <s v="Yes"/>
    <s v="Yes"/>
    <x v="1"/>
    <x v="0"/>
    <s v="Yes"/>
    <x v="2"/>
    <n v="57.03"/>
    <n v="3789.7"/>
    <s v="Lahore"/>
    <s v="Yes"/>
    <n v="1"/>
  </r>
  <r>
    <s v="CUST-00853"/>
    <n v="28"/>
    <s v="No"/>
    <s v="Yes"/>
    <s v="Yes"/>
    <x v="69"/>
    <s v="Yes"/>
    <s v="Yes"/>
    <x v="0"/>
    <x v="2"/>
    <s v="Yes"/>
    <x v="1"/>
    <n v="96.23"/>
    <n v="2393.85"/>
    <s v="Rawalpindi"/>
    <s v="No"/>
    <n v="0"/>
  </r>
  <r>
    <s v="CUST-00854"/>
    <n v="43"/>
    <s v="No"/>
    <s v="Yes"/>
    <s v="No"/>
    <x v="34"/>
    <s v="No"/>
    <s v="No phone service"/>
    <x v="0"/>
    <x v="0"/>
    <s v="No"/>
    <x v="0"/>
    <n v="100.76"/>
    <n v="1587.33"/>
    <s v="Karachi"/>
    <s v="No"/>
    <n v="0"/>
  </r>
  <r>
    <s v="CUST-00855"/>
    <n v="36"/>
    <s v="No"/>
    <s v="Yes"/>
    <s v="No"/>
    <x v="40"/>
    <s v="No"/>
    <s v="No phone service"/>
    <x v="1"/>
    <x v="2"/>
    <s v="No"/>
    <x v="2"/>
    <n v="68.81"/>
    <n v="4805.2299999999996"/>
    <s v="Faisalabad"/>
    <s v="Yes"/>
    <n v="1"/>
  </r>
  <r>
    <s v="CUST-00856"/>
    <n v="63"/>
    <s v="Yes"/>
    <s v="No"/>
    <s v="Yes"/>
    <x v="52"/>
    <s v="Yes"/>
    <s v="No"/>
    <x v="0"/>
    <x v="1"/>
    <s v="Yes"/>
    <x v="3"/>
    <n v="79.38"/>
    <n v="3330.36"/>
    <s v="Islamabad"/>
    <s v="No"/>
    <n v="0"/>
  </r>
  <r>
    <s v="CUST-00857"/>
    <n v="24"/>
    <s v="No"/>
    <s v="Yes"/>
    <s v="No"/>
    <x v="50"/>
    <s v="Yes"/>
    <s v="Yes"/>
    <x v="0"/>
    <x v="2"/>
    <s v="Yes"/>
    <x v="3"/>
    <n v="111.04"/>
    <n v="2434.84"/>
    <s v="Islamabad"/>
    <s v="No"/>
    <n v="0"/>
  </r>
  <r>
    <s v="CUST-00858"/>
    <n v="41"/>
    <s v="No"/>
    <s v="No"/>
    <s v="No"/>
    <x v="55"/>
    <s v="Yes"/>
    <s v="Yes"/>
    <x v="1"/>
    <x v="2"/>
    <s v="Yes"/>
    <x v="3"/>
    <n v="50.52"/>
    <n v="3463.86"/>
    <s v="Faisalabad"/>
    <s v="No"/>
    <n v="0"/>
  </r>
  <r>
    <s v="CUST-00859"/>
    <n v="59"/>
    <s v="No"/>
    <s v="No"/>
    <s v="No"/>
    <x v="0"/>
    <s v="No"/>
    <s v="No phone service"/>
    <x v="2"/>
    <x v="2"/>
    <s v="Yes"/>
    <x v="1"/>
    <n v="29.87"/>
    <n v="1022.59"/>
    <s v="Karachi"/>
    <s v="No"/>
    <n v="0"/>
  </r>
  <r>
    <s v="CUST-00860"/>
    <n v="27"/>
    <s v="No"/>
    <s v="Yes"/>
    <s v="No"/>
    <x v="11"/>
    <s v="Yes"/>
    <s v="Yes"/>
    <x v="0"/>
    <x v="1"/>
    <s v="No"/>
    <x v="1"/>
    <n v="86.35"/>
    <n v="86.35"/>
    <s v="Faisalabad"/>
    <s v="Yes"/>
    <n v="1"/>
  </r>
  <r>
    <s v="CUST-00861"/>
    <n v="43"/>
    <s v="No"/>
    <s v="No"/>
    <s v="No"/>
    <x v="12"/>
    <s v="No"/>
    <s v="No phone service"/>
    <x v="0"/>
    <x v="2"/>
    <s v="Yes"/>
    <x v="2"/>
    <n v="117.27"/>
    <n v="7439.84"/>
    <s v="Peshawar"/>
    <s v="No"/>
    <n v="0"/>
  </r>
  <r>
    <s v="CUST-00862"/>
    <n v="45"/>
    <s v="No"/>
    <s v="No"/>
    <s v="No"/>
    <x v="54"/>
    <s v="No"/>
    <s v="No phone service"/>
    <x v="1"/>
    <x v="0"/>
    <s v="Yes"/>
    <x v="3"/>
    <n v="54.63"/>
    <n v="1795.45"/>
    <s v="Multan"/>
    <s v="No"/>
    <n v="0"/>
  </r>
  <r>
    <s v="CUST-00863"/>
    <n v="45"/>
    <s v="No"/>
    <s v="Yes"/>
    <s v="Yes"/>
    <x v="63"/>
    <s v="Yes"/>
    <s v="Yes"/>
    <x v="0"/>
    <x v="2"/>
    <s v="Yes"/>
    <x v="3"/>
    <n v="85.52"/>
    <n v="3986.37"/>
    <s v="Islamabad"/>
    <s v="Yes"/>
    <n v="1"/>
  </r>
  <r>
    <s v="CUST-00864"/>
    <n v="50"/>
    <s v="No"/>
    <s v="Yes"/>
    <s v="No"/>
    <x v="24"/>
    <s v="No"/>
    <s v="No phone service"/>
    <x v="1"/>
    <x v="2"/>
    <s v="No"/>
    <x v="3"/>
    <n v="42.29"/>
    <n v="213.28"/>
    <s v="Multan"/>
    <s v="Yes"/>
    <n v="1"/>
  </r>
  <r>
    <s v="CUST-00865"/>
    <n v="48"/>
    <s v="No"/>
    <s v="No"/>
    <s v="No"/>
    <x v="23"/>
    <s v="Yes"/>
    <s v="Yes"/>
    <x v="1"/>
    <x v="2"/>
    <s v="Yes"/>
    <x v="1"/>
    <n v="47.08"/>
    <n v="1128.44"/>
    <s v="Peshawar"/>
    <s v="Yes"/>
    <n v="1"/>
  </r>
  <r>
    <s v="CUST-00866"/>
    <n v="72"/>
    <s v="Yes"/>
    <s v="Yes"/>
    <s v="Yes"/>
    <x v="71"/>
    <s v="Yes"/>
    <s v="Yes"/>
    <x v="1"/>
    <x v="1"/>
    <s v="No"/>
    <x v="2"/>
    <n v="47.77"/>
    <n v="2760.14"/>
    <s v="Peshawar"/>
    <s v="Yes"/>
    <n v="1"/>
  </r>
  <r>
    <s v="CUST-00867"/>
    <n v="61"/>
    <s v="Yes"/>
    <s v="No"/>
    <s v="Yes"/>
    <x v="53"/>
    <s v="No"/>
    <s v="No phone service"/>
    <x v="1"/>
    <x v="2"/>
    <s v="Yes"/>
    <x v="3"/>
    <n v="73"/>
    <n v="3431.63"/>
    <s v="Lahore"/>
    <s v="No"/>
    <n v="0"/>
  </r>
  <r>
    <s v="CUST-00868"/>
    <n v="29"/>
    <s v="No"/>
    <s v="No"/>
    <s v="Yes"/>
    <x v="0"/>
    <s v="No"/>
    <s v="No phone service"/>
    <x v="1"/>
    <x v="2"/>
    <s v="Yes"/>
    <x v="3"/>
    <n v="62.42"/>
    <n v="2144.04"/>
    <s v="Peshawar"/>
    <s v="No"/>
    <n v="0"/>
  </r>
  <r>
    <s v="CUST-00869"/>
    <n v="62"/>
    <s v="Yes"/>
    <s v="Yes"/>
    <s v="No"/>
    <x v="2"/>
    <s v="Yes"/>
    <s v="Yes"/>
    <x v="0"/>
    <x v="2"/>
    <s v="No"/>
    <x v="0"/>
    <n v="118.29"/>
    <n v="1464.91"/>
    <s v="Karachi"/>
    <s v="No"/>
    <n v="0"/>
  </r>
  <r>
    <s v="CUST-00870"/>
    <n v="58"/>
    <s v="No"/>
    <s v="No"/>
    <s v="No"/>
    <x v="32"/>
    <s v="Yes"/>
    <s v="Yes"/>
    <x v="2"/>
    <x v="0"/>
    <s v="Yes"/>
    <x v="1"/>
    <n v="26.86"/>
    <n v="288.74"/>
    <s v="Islamabad"/>
    <s v="No"/>
    <n v="0"/>
  </r>
  <r>
    <s v="CUST-00871"/>
    <n v="29"/>
    <s v="No"/>
    <s v="No"/>
    <s v="Yes"/>
    <x v="52"/>
    <s v="Yes"/>
    <s v="Yes"/>
    <x v="0"/>
    <x v="2"/>
    <s v="No"/>
    <x v="3"/>
    <n v="91.98"/>
    <n v="3586.73"/>
    <s v="Islamabad"/>
    <s v="Yes"/>
    <n v="1"/>
  </r>
  <r>
    <s v="CUST-00872"/>
    <n v="40"/>
    <s v="No"/>
    <s v="No"/>
    <s v="Yes"/>
    <x v="24"/>
    <s v="No"/>
    <s v="No phone service"/>
    <x v="2"/>
    <x v="2"/>
    <s v="Yes"/>
    <x v="2"/>
    <n v="23.21"/>
    <n v="118.08"/>
    <s v="Islamabad"/>
    <s v="No"/>
    <n v="0"/>
  </r>
  <r>
    <s v="CUST-00873"/>
    <n v="31"/>
    <s v="No"/>
    <s v="No"/>
    <s v="No"/>
    <x v="2"/>
    <s v="Yes"/>
    <s v="Yes"/>
    <x v="1"/>
    <x v="2"/>
    <s v="Yes"/>
    <x v="2"/>
    <n v="60.68"/>
    <n v="739.62"/>
    <s v="Rawalpindi"/>
    <s v="No"/>
    <n v="0"/>
  </r>
  <r>
    <s v="CUST-00874"/>
    <n v="55"/>
    <s v="No"/>
    <s v="No"/>
    <s v="No"/>
    <x v="63"/>
    <s v="Yes"/>
    <s v="Yes"/>
    <x v="1"/>
    <x v="2"/>
    <s v="No"/>
    <x v="2"/>
    <n v="40.32"/>
    <n v="1957.05"/>
    <s v="Multan"/>
    <s v="No"/>
    <n v="0"/>
  </r>
  <r>
    <s v="CUST-00875"/>
    <n v="75"/>
    <s v="Yes"/>
    <s v="Yes"/>
    <s v="Yes"/>
    <x v="4"/>
    <s v="No"/>
    <s v="No phone service"/>
    <x v="0"/>
    <x v="2"/>
    <s v="Yes"/>
    <x v="0"/>
    <n v="100.83"/>
    <n v="4690.26"/>
    <s v="Multan"/>
    <s v="No"/>
    <n v="0"/>
  </r>
  <r>
    <s v="CUST-00876"/>
    <n v="43"/>
    <s v="No"/>
    <s v="No"/>
    <s v="Yes"/>
    <x v="54"/>
    <s v="No"/>
    <s v="No phone service"/>
    <x v="1"/>
    <x v="2"/>
    <s v="No"/>
    <x v="3"/>
    <n v="78.83"/>
    <n v="2719.21"/>
    <s v="Faisalabad"/>
    <s v="No"/>
    <n v="0"/>
  </r>
  <r>
    <s v="CUST-00877"/>
    <n v="24"/>
    <s v="No"/>
    <s v="No"/>
    <s v="No"/>
    <x v="61"/>
    <s v="No"/>
    <s v="No phone service"/>
    <x v="2"/>
    <x v="0"/>
    <s v="Yes"/>
    <x v="0"/>
    <n v="29.07"/>
    <n v="1064.6500000000001"/>
    <s v="Faisalabad"/>
    <s v="No"/>
    <n v="0"/>
  </r>
  <r>
    <s v="CUST-00878"/>
    <n v="30"/>
    <s v="No"/>
    <s v="Yes"/>
    <s v="Yes"/>
    <x v="21"/>
    <s v="Yes"/>
    <s v="No"/>
    <x v="1"/>
    <x v="2"/>
    <s v="Yes"/>
    <x v="1"/>
    <n v="58.35"/>
    <n v="2408.29"/>
    <s v="Karachi"/>
    <s v="Yes"/>
    <n v="1"/>
  </r>
  <r>
    <s v="CUST-00879"/>
    <n v="30"/>
    <s v="No"/>
    <s v="Yes"/>
    <s v="No"/>
    <x v="70"/>
    <s v="Yes"/>
    <s v="No"/>
    <x v="0"/>
    <x v="2"/>
    <s v="Yes"/>
    <x v="3"/>
    <n v="97.77"/>
    <n v="4040.14"/>
    <s v="Karachi"/>
    <s v="Yes"/>
    <n v="1"/>
  </r>
  <r>
    <s v="CUST-00880"/>
    <n v="40"/>
    <s v="No"/>
    <s v="Yes"/>
    <s v="No"/>
    <x v="60"/>
    <s v="Yes"/>
    <s v="No"/>
    <x v="1"/>
    <x v="0"/>
    <s v="No"/>
    <x v="1"/>
    <n v="70.52"/>
    <n v="4764.08"/>
    <s v="Peshawar"/>
    <s v="Yes"/>
    <n v="1"/>
  </r>
  <r>
    <s v="CUST-00881"/>
    <n v="26"/>
    <s v="No"/>
    <s v="No"/>
    <s v="No"/>
    <x v="28"/>
    <s v="No"/>
    <s v="No phone service"/>
    <x v="2"/>
    <x v="0"/>
    <s v="Yes"/>
    <x v="3"/>
    <n v="26.04"/>
    <n v="1017.85"/>
    <s v="Faisalabad"/>
    <s v="Yes"/>
    <n v="1"/>
  </r>
  <r>
    <s v="CUST-00882"/>
    <n v="29"/>
    <s v="No"/>
    <s v="Yes"/>
    <s v="No"/>
    <x v="53"/>
    <s v="Yes"/>
    <s v="No"/>
    <x v="0"/>
    <x v="0"/>
    <s v="Yes"/>
    <x v="1"/>
    <n v="76.900000000000006"/>
    <n v="3478.97"/>
    <s v="Rawalpindi"/>
    <s v="Yes"/>
    <n v="1"/>
  </r>
  <r>
    <s v="CUST-00883"/>
    <n v="23"/>
    <s v="No"/>
    <s v="No"/>
    <s v="No"/>
    <x v="66"/>
    <s v="No"/>
    <s v="No phone service"/>
    <x v="0"/>
    <x v="2"/>
    <s v="No"/>
    <x v="3"/>
    <n v="117.93"/>
    <n v="2803.74"/>
    <s v="Multan"/>
    <s v="Yes"/>
    <n v="1"/>
  </r>
  <r>
    <s v="CUST-00884"/>
    <n v="51"/>
    <s v="No"/>
    <s v="Yes"/>
    <s v="No"/>
    <x v="32"/>
    <s v="Yes"/>
    <s v="No"/>
    <x v="0"/>
    <x v="2"/>
    <s v="Yes"/>
    <x v="3"/>
    <n v="76.44"/>
    <n v="841.54"/>
    <s v="Lahore"/>
    <s v="No"/>
    <n v="0"/>
  </r>
  <r>
    <s v="CUST-00885"/>
    <n v="49"/>
    <s v="No"/>
    <s v="No"/>
    <s v="No"/>
    <x v="16"/>
    <s v="No"/>
    <s v="No phone service"/>
    <x v="0"/>
    <x v="0"/>
    <s v="Yes"/>
    <x v="1"/>
    <n v="110.12"/>
    <n v="766.24"/>
    <s v="Rawalpindi"/>
    <s v="No"/>
    <n v="0"/>
  </r>
  <r>
    <s v="CUST-00886"/>
    <n v="63"/>
    <s v="Yes"/>
    <s v="No"/>
    <s v="No"/>
    <x v="7"/>
    <s v="No"/>
    <s v="No phone service"/>
    <x v="1"/>
    <x v="2"/>
    <s v="No"/>
    <x v="2"/>
    <n v="43.2"/>
    <n v="609.66"/>
    <s v="Multan"/>
    <s v="No"/>
    <n v="0"/>
  </r>
  <r>
    <s v="CUST-00887"/>
    <n v="55"/>
    <s v="No"/>
    <s v="No"/>
    <s v="Yes"/>
    <x v="29"/>
    <s v="No"/>
    <s v="No phone service"/>
    <x v="2"/>
    <x v="2"/>
    <s v="No"/>
    <x v="3"/>
    <n v="19.46"/>
    <n v="1282.76"/>
    <s v="Faisalabad"/>
    <s v="No"/>
    <n v="0"/>
  </r>
  <r>
    <s v="CUST-00888"/>
    <n v="61"/>
    <s v="Yes"/>
    <s v="No"/>
    <s v="No"/>
    <x v="46"/>
    <s v="No"/>
    <s v="No phone service"/>
    <x v="0"/>
    <x v="0"/>
    <s v="Yes"/>
    <x v="0"/>
    <n v="78.94"/>
    <n v="4267.1400000000003"/>
    <s v="Islamabad"/>
    <s v="Yes"/>
    <n v="1"/>
  </r>
  <r>
    <s v="CUST-00889"/>
    <n v="37"/>
    <s v="No"/>
    <s v="Yes"/>
    <s v="Yes"/>
    <x v="4"/>
    <s v="No"/>
    <s v="No phone service"/>
    <x v="1"/>
    <x v="2"/>
    <s v="Yes"/>
    <x v="0"/>
    <n v="45.04"/>
    <n v="1983.49"/>
    <s v="Islamabad"/>
    <s v="No"/>
    <n v="0"/>
  </r>
  <r>
    <s v="CUST-00890"/>
    <n v="40"/>
    <s v="No"/>
    <s v="No"/>
    <s v="Yes"/>
    <x v="19"/>
    <s v="Yes"/>
    <s v="Yes"/>
    <x v="1"/>
    <x v="2"/>
    <s v="Yes"/>
    <x v="1"/>
    <n v="68.95"/>
    <n v="4864.41"/>
    <s v="Faisalabad"/>
    <s v="Yes"/>
    <n v="1"/>
  </r>
  <r>
    <s v="CUST-00891"/>
    <n v="64"/>
    <s v="Yes"/>
    <s v="Yes"/>
    <s v="No"/>
    <x v="9"/>
    <s v="Yes"/>
    <s v="Yes"/>
    <x v="0"/>
    <x v="0"/>
    <s v="Yes"/>
    <x v="1"/>
    <n v="91.67"/>
    <n v="3410.57"/>
    <s v="Islamabad"/>
    <s v="Yes"/>
    <n v="1"/>
  </r>
  <r>
    <s v="CUST-00892"/>
    <n v="37"/>
    <s v="No"/>
    <s v="Yes"/>
    <s v="Yes"/>
    <x v="22"/>
    <s v="Yes"/>
    <s v="No"/>
    <x v="1"/>
    <x v="2"/>
    <s v="Yes"/>
    <x v="3"/>
    <n v="66.86"/>
    <n v="3249.57"/>
    <s v="Multan"/>
    <s v="No"/>
    <n v="0"/>
  </r>
  <r>
    <s v="CUST-00893"/>
    <n v="36"/>
    <s v="No"/>
    <s v="No"/>
    <s v="Yes"/>
    <x v="67"/>
    <s v="No"/>
    <s v="No phone service"/>
    <x v="0"/>
    <x v="0"/>
    <s v="No"/>
    <x v="3"/>
    <n v="99.95"/>
    <n v="5599.87"/>
    <s v="Karachi"/>
    <s v="Yes"/>
    <n v="1"/>
  </r>
  <r>
    <s v="CUST-00894"/>
    <n v="32"/>
    <s v="No"/>
    <s v="Yes"/>
    <s v="No"/>
    <x v="1"/>
    <s v="No"/>
    <s v="No phone service"/>
    <x v="0"/>
    <x v="0"/>
    <s v="No"/>
    <x v="0"/>
    <n v="101.74"/>
    <n v="2889.83"/>
    <s v="Faisalabad"/>
    <s v="No"/>
    <n v="0"/>
  </r>
  <r>
    <s v="CUST-00895"/>
    <n v="18"/>
    <s v="No"/>
    <s v="No"/>
    <s v="No"/>
    <x v="52"/>
    <s v="No"/>
    <s v="No phone service"/>
    <x v="0"/>
    <x v="2"/>
    <s v="No"/>
    <x v="3"/>
    <n v="104.89"/>
    <n v="4389.76"/>
    <s v="Lahore"/>
    <s v="Yes"/>
    <n v="1"/>
  </r>
  <r>
    <s v="CUST-00896"/>
    <n v="60"/>
    <s v="Yes"/>
    <s v="Yes"/>
    <s v="No"/>
    <x v="55"/>
    <s v="Yes"/>
    <s v="Yes"/>
    <x v="2"/>
    <x v="1"/>
    <s v="No"/>
    <x v="3"/>
    <n v="27.01"/>
    <n v="1933.4"/>
    <s v="Karachi"/>
    <s v="No"/>
    <n v="0"/>
  </r>
  <r>
    <s v="CUST-00897"/>
    <n v="57"/>
    <s v="No"/>
    <s v="Yes"/>
    <s v="No"/>
    <x v="68"/>
    <s v="Yes"/>
    <s v="No"/>
    <x v="0"/>
    <x v="2"/>
    <s v="No"/>
    <x v="2"/>
    <n v="88.76"/>
    <n v="4992.9799999999996"/>
    <s v="Peshawar"/>
    <s v="Yes"/>
    <n v="1"/>
  </r>
  <r>
    <s v="CUST-00898"/>
    <n v="25"/>
    <s v="No"/>
    <s v="Yes"/>
    <s v="No"/>
    <x v="10"/>
    <s v="Yes"/>
    <s v="No"/>
    <x v="0"/>
    <x v="2"/>
    <s v="Yes"/>
    <x v="1"/>
    <n v="119.22"/>
    <n v="3530"/>
    <s v="Islamabad"/>
    <s v="No"/>
    <n v="0"/>
  </r>
  <r>
    <s v="CUST-00899"/>
    <n v="66"/>
    <s v="Yes"/>
    <s v="Yes"/>
    <s v="No"/>
    <x v="0"/>
    <s v="No"/>
    <s v="No phone service"/>
    <x v="0"/>
    <x v="0"/>
    <s v="No"/>
    <x v="0"/>
    <n v="96.63"/>
    <n v="3363.92"/>
    <s v="Peshawar"/>
    <s v="No"/>
    <n v="0"/>
  </r>
  <r>
    <s v="CUST-00900"/>
    <n v="47"/>
    <s v="No"/>
    <s v="No"/>
    <s v="No"/>
    <x v="50"/>
    <s v="Yes"/>
    <s v="No"/>
    <x v="2"/>
    <x v="2"/>
    <s v="No"/>
    <x v="1"/>
    <n v="25.87"/>
    <n v="555.22"/>
    <s v="Faisalabad"/>
    <s v="Yes"/>
    <n v="1"/>
  </r>
  <r>
    <s v="CUST-00901"/>
    <n v="59"/>
    <s v="No"/>
    <s v="No"/>
    <s v="No"/>
    <x v="67"/>
    <s v="Yes"/>
    <s v="No"/>
    <x v="0"/>
    <x v="2"/>
    <s v="Yes"/>
    <x v="0"/>
    <n v="106.61"/>
    <n v="5952.39"/>
    <s v="Karachi"/>
    <s v="Yes"/>
    <n v="1"/>
  </r>
  <r>
    <s v="CUST-00902"/>
    <n v="28"/>
    <s v="No"/>
    <s v="No"/>
    <s v="Yes"/>
    <x v="22"/>
    <s v="No"/>
    <s v="No phone service"/>
    <x v="0"/>
    <x v="0"/>
    <s v="Yes"/>
    <x v="2"/>
    <n v="78.069999999999993"/>
    <n v="3688.48"/>
    <s v="Karachi"/>
    <s v="No"/>
    <n v="0"/>
  </r>
  <r>
    <s v="CUST-00903"/>
    <n v="48"/>
    <s v="No"/>
    <s v="Yes"/>
    <s v="No"/>
    <x v="49"/>
    <s v="Yes"/>
    <s v="Yes"/>
    <x v="0"/>
    <x v="2"/>
    <s v="Yes"/>
    <x v="1"/>
    <n v="92.18"/>
    <n v="1518.52"/>
    <s v="Rawalpindi"/>
    <s v="Yes"/>
    <n v="1"/>
  </r>
  <r>
    <s v="CUST-00904"/>
    <n v="50"/>
    <s v="No"/>
    <s v="Yes"/>
    <s v="No"/>
    <x v="50"/>
    <s v="Yes"/>
    <s v="Yes"/>
    <x v="0"/>
    <x v="2"/>
    <s v="No"/>
    <x v="2"/>
    <n v="119.78"/>
    <n v="2624.7"/>
    <s v="Rawalpindi"/>
    <s v="Yes"/>
    <n v="1"/>
  </r>
  <r>
    <s v="CUST-00905"/>
    <n v="34"/>
    <s v="No"/>
    <s v="Yes"/>
    <s v="Yes"/>
    <x v="71"/>
    <s v="Yes"/>
    <s v="Yes"/>
    <x v="1"/>
    <x v="2"/>
    <s v="Yes"/>
    <x v="0"/>
    <n v="68.66"/>
    <n v="3919.05"/>
    <s v="Rawalpindi"/>
    <s v="No"/>
    <n v="0"/>
  </r>
  <r>
    <s v="CUST-00906"/>
    <n v="68"/>
    <s v="Yes"/>
    <s v="Yes"/>
    <s v="Yes"/>
    <x v="6"/>
    <s v="Yes"/>
    <s v="No"/>
    <x v="2"/>
    <x v="2"/>
    <s v="No"/>
    <x v="3"/>
    <n v="20.92"/>
    <n v="396.65"/>
    <s v="Islamabad"/>
    <s v="Yes"/>
    <n v="1"/>
  </r>
  <r>
    <s v="CUST-00907"/>
    <n v="59"/>
    <s v="No"/>
    <s v="Yes"/>
    <s v="No"/>
    <x v="31"/>
    <s v="No"/>
    <s v="No phone service"/>
    <x v="1"/>
    <x v="2"/>
    <s v="No"/>
    <x v="3"/>
    <n v="58.02"/>
    <n v="3549.08"/>
    <s v="Lahore"/>
    <s v="Yes"/>
    <n v="1"/>
  </r>
  <r>
    <s v="CUST-00908"/>
    <n v="66"/>
    <s v="Yes"/>
    <s v="Yes"/>
    <s v="Yes"/>
    <x v="40"/>
    <s v="Yes"/>
    <s v="No"/>
    <x v="0"/>
    <x v="0"/>
    <s v="No"/>
    <x v="3"/>
    <n v="105.79"/>
    <n v="7145.46"/>
    <s v="Multan"/>
    <s v="Yes"/>
    <n v="1"/>
  </r>
  <r>
    <s v="CUST-00909"/>
    <n v="46"/>
    <s v="No"/>
    <s v="No"/>
    <s v="Yes"/>
    <x v="49"/>
    <s v="No"/>
    <s v="No phone service"/>
    <x v="0"/>
    <x v="1"/>
    <s v="No"/>
    <x v="1"/>
    <n v="71.400000000000006"/>
    <n v="1171.8"/>
    <s v="Faisalabad"/>
    <s v="No"/>
    <n v="0"/>
  </r>
  <r>
    <s v="CUST-00910"/>
    <n v="18"/>
    <s v="No"/>
    <s v="No"/>
    <s v="No"/>
    <x v="29"/>
    <s v="No"/>
    <s v="No phone service"/>
    <x v="1"/>
    <x v="2"/>
    <s v="Yes"/>
    <x v="2"/>
    <n v="65.75"/>
    <n v="4384.87"/>
    <s v="Faisalabad"/>
    <s v="No"/>
    <n v="0"/>
  </r>
  <r>
    <s v="CUST-00911"/>
    <n v="41"/>
    <s v="No"/>
    <s v="No"/>
    <s v="No"/>
    <x v="51"/>
    <s v="No"/>
    <s v="No phone service"/>
    <x v="2"/>
    <x v="2"/>
    <s v="No"/>
    <x v="3"/>
    <n v="29.36"/>
    <n v="633.70000000000005"/>
    <s v="Karachi"/>
    <s v="Yes"/>
    <n v="1"/>
  </r>
  <r>
    <s v="CUST-00912"/>
    <n v="27"/>
    <s v="No"/>
    <s v="No"/>
    <s v="Yes"/>
    <x v="69"/>
    <s v="No"/>
    <s v="No phone service"/>
    <x v="0"/>
    <x v="0"/>
    <s v="Yes"/>
    <x v="1"/>
    <n v="112.29"/>
    <n v="3018.72"/>
    <s v="Karachi"/>
    <s v="No"/>
    <n v="0"/>
  </r>
  <r>
    <s v="CUST-00913"/>
    <n v="65"/>
    <s v="Yes"/>
    <s v="Yes"/>
    <s v="No"/>
    <x v="24"/>
    <s v="Yes"/>
    <s v="No"/>
    <x v="0"/>
    <x v="2"/>
    <s v="No"/>
    <x v="0"/>
    <n v="96.74"/>
    <n v="497.7"/>
    <s v="Peshawar"/>
    <s v="No"/>
    <n v="0"/>
  </r>
  <r>
    <s v="CUST-00914"/>
    <n v="21"/>
    <s v="No"/>
    <s v="No"/>
    <s v="Yes"/>
    <x v="36"/>
    <s v="Yes"/>
    <s v="No"/>
    <x v="0"/>
    <x v="0"/>
    <s v="Yes"/>
    <x v="3"/>
    <n v="105.87"/>
    <n v="3256.7"/>
    <s v="Islamabad"/>
    <s v="No"/>
    <n v="0"/>
  </r>
  <r>
    <s v="CUST-00915"/>
    <n v="53"/>
    <s v="No"/>
    <s v="No"/>
    <s v="Yes"/>
    <x v="3"/>
    <s v="Yes"/>
    <s v="No"/>
    <x v="1"/>
    <x v="2"/>
    <s v="No"/>
    <x v="3"/>
    <n v="49.1"/>
    <n v="1240.1199999999999"/>
    <s v="Rawalpindi"/>
    <s v="No"/>
    <n v="0"/>
  </r>
  <r>
    <s v="CUST-00916"/>
    <n v="24"/>
    <s v="No"/>
    <s v="Yes"/>
    <s v="No"/>
    <x v="18"/>
    <s v="Yes"/>
    <s v="No"/>
    <x v="0"/>
    <x v="2"/>
    <s v="Yes"/>
    <x v="0"/>
    <n v="80.75"/>
    <n v="806.26"/>
    <s v="Faisalabad"/>
    <s v="No"/>
    <n v="0"/>
  </r>
  <r>
    <s v="CUST-00917"/>
    <n v="45"/>
    <s v="No"/>
    <s v="Yes"/>
    <s v="No"/>
    <x v="3"/>
    <s v="No"/>
    <s v="No phone service"/>
    <x v="1"/>
    <x v="1"/>
    <s v="No"/>
    <x v="1"/>
    <n v="64.05"/>
    <n v="1599.83"/>
    <s v="Faisalabad"/>
    <s v="No"/>
    <n v="0"/>
  </r>
  <r>
    <s v="CUST-00918"/>
    <n v="48"/>
    <s v="No"/>
    <s v="No"/>
    <s v="No"/>
    <x v="15"/>
    <s v="Yes"/>
    <s v="Yes"/>
    <x v="2"/>
    <x v="0"/>
    <s v="No"/>
    <x v="1"/>
    <n v="19.34"/>
    <n v="677.81"/>
    <s v="Lahore"/>
    <s v="No"/>
    <n v="0"/>
  </r>
  <r>
    <s v="CUST-00919"/>
    <n v="38"/>
    <s v="No"/>
    <s v="No"/>
    <s v="No"/>
    <x v="50"/>
    <s v="No"/>
    <s v="No phone service"/>
    <x v="0"/>
    <x v="0"/>
    <s v="Yes"/>
    <x v="2"/>
    <n v="92.16"/>
    <n v="1967.38"/>
    <s v="Karachi"/>
    <s v="No"/>
    <n v="0"/>
  </r>
  <r>
    <s v="CUST-00920"/>
    <n v="30"/>
    <s v="No"/>
    <s v="Yes"/>
    <s v="Yes"/>
    <x v="10"/>
    <s v="No"/>
    <s v="No phone service"/>
    <x v="0"/>
    <x v="2"/>
    <s v="No"/>
    <x v="3"/>
    <n v="85"/>
    <n v="2411.2800000000002"/>
    <s v="Karachi"/>
    <s v="No"/>
    <n v="0"/>
  </r>
  <r>
    <s v="CUST-00921"/>
    <n v="38"/>
    <s v="No"/>
    <s v="Yes"/>
    <s v="Yes"/>
    <x v="44"/>
    <s v="Yes"/>
    <s v="No"/>
    <x v="1"/>
    <x v="2"/>
    <s v="No"/>
    <x v="1"/>
    <n v="71.55"/>
    <n v="3771.55"/>
    <s v="Islamabad"/>
    <s v="Yes"/>
    <n v="1"/>
  </r>
  <r>
    <s v="CUST-00922"/>
    <n v="48"/>
    <s v="No"/>
    <s v="No"/>
    <s v="No"/>
    <x v="6"/>
    <s v="No"/>
    <s v="No phone service"/>
    <x v="0"/>
    <x v="1"/>
    <s v="No"/>
    <x v="0"/>
    <n v="91.26"/>
    <n v="1711.79"/>
    <s v="Peshawar"/>
    <s v="No"/>
    <n v="0"/>
  </r>
  <r>
    <s v="CUST-00923"/>
    <n v="43"/>
    <s v="No"/>
    <s v="Yes"/>
    <s v="No"/>
    <x v="4"/>
    <s v="Yes"/>
    <s v="No"/>
    <x v="1"/>
    <x v="0"/>
    <s v="Yes"/>
    <x v="1"/>
    <n v="48.09"/>
    <n v="2255.16"/>
    <s v="Peshawar"/>
    <s v="No"/>
    <n v="0"/>
  </r>
  <r>
    <s v="CUST-00924"/>
    <n v="41"/>
    <s v="No"/>
    <s v="Yes"/>
    <s v="No"/>
    <x v="46"/>
    <s v="No"/>
    <s v="No phone service"/>
    <x v="1"/>
    <x v="0"/>
    <s v="Yes"/>
    <x v="1"/>
    <n v="64.7"/>
    <n v="3532.92"/>
    <s v="Lahore"/>
    <s v="No"/>
    <n v="0"/>
  </r>
  <r>
    <s v="CUST-00925"/>
    <n v="33"/>
    <s v="No"/>
    <s v="Yes"/>
    <s v="No"/>
    <x v="48"/>
    <s v="No"/>
    <s v="No phone service"/>
    <x v="2"/>
    <x v="1"/>
    <s v="Yes"/>
    <x v="1"/>
    <n v="22.68"/>
    <n v="1483.73"/>
    <s v="Karachi"/>
    <s v="No"/>
    <n v="0"/>
  </r>
  <r>
    <s v="CUST-00926"/>
    <n v="35"/>
    <s v="No"/>
    <s v="No"/>
    <s v="Yes"/>
    <x v="43"/>
    <s v="No"/>
    <s v="No phone service"/>
    <x v="0"/>
    <x v="2"/>
    <s v="No"/>
    <x v="0"/>
    <n v="84.21"/>
    <n v="1091.03"/>
    <s v="Lahore"/>
    <s v="No"/>
    <n v="0"/>
  </r>
  <r>
    <s v="CUST-00927"/>
    <n v="38"/>
    <s v="No"/>
    <s v="No"/>
    <s v="Yes"/>
    <x v="56"/>
    <s v="Yes"/>
    <s v="No"/>
    <x v="1"/>
    <x v="2"/>
    <s v="No"/>
    <x v="0"/>
    <n v="70.510000000000005"/>
    <n v="1369.71"/>
    <s v="Islamabad"/>
    <s v="No"/>
    <n v="0"/>
  </r>
  <r>
    <s v="CUST-00928"/>
    <n v="62"/>
    <s v="Yes"/>
    <s v="Yes"/>
    <s v="Yes"/>
    <x v="25"/>
    <s v="No"/>
    <s v="No phone service"/>
    <x v="2"/>
    <x v="1"/>
    <s v="No"/>
    <x v="2"/>
    <n v="23.35"/>
    <n v="219.85"/>
    <s v="Rawalpindi"/>
    <s v="Yes"/>
    <n v="1"/>
  </r>
  <r>
    <s v="CUST-00929"/>
    <n v="32"/>
    <s v="No"/>
    <s v="No"/>
    <s v="No"/>
    <x v="21"/>
    <s v="No"/>
    <s v="No phone service"/>
    <x v="0"/>
    <x v="2"/>
    <s v="Yes"/>
    <x v="3"/>
    <n v="102.11"/>
    <n v="4352.4399999999996"/>
    <s v="Peshawar"/>
    <s v="No"/>
    <n v="0"/>
  </r>
  <r>
    <s v="CUST-00930"/>
    <n v="21"/>
    <s v="No"/>
    <s v="Yes"/>
    <s v="No"/>
    <x v="47"/>
    <s v="Yes"/>
    <s v="No"/>
    <x v="1"/>
    <x v="1"/>
    <s v="No"/>
    <x v="1"/>
    <n v="59.68"/>
    <n v="180.65"/>
    <s v="Multan"/>
    <s v="No"/>
    <n v="0"/>
  </r>
  <r>
    <s v="CUST-00931"/>
    <n v="22"/>
    <s v="No"/>
    <s v="Yes"/>
    <s v="Yes"/>
    <x v="8"/>
    <s v="Yes"/>
    <s v="No"/>
    <x v="0"/>
    <x v="2"/>
    <s v="Yes"/>
    <x v="1"/>
    <n v="108.36"/>
    <n v="7414.88"/>
    <s v="Rawalpindi"/>
    <s v="Yes"/>
    <n v="1"/>
  </r>
  <r>
    <s v="CUST-00932"/>
    <n v="74"/>
    <s v="Yes"/>
    <s v="Yes"/>
    <s v="No"/>
    <x v="18"/>
    <s v="No"/>
    <s v="No phone service"/>
    <x v="0"/>
    <x v="2"/>
    <s v="No"/>
    <x v="2"/>
    <n v="90.07"/>
    <n v="878.41"/>
    <s v="Rawalpindi"/>
    <s v="No"/>
    <n v="0"/>
  </r>
  <r>
    <s v="CUST-00933"/>
    <n v="19"/>
    <s v="No"/>
    <s v="Yes"/>
    <s v="Yes"/>
    <x v="64"/>
    <s v="No"/>
    <s v="No phone service"/>
    <x v="0"/>
    <x v="1"/>
    <s v="No"/>
    <x v="0"/>
    <n v="102.68"/>
    <n v="4157.4799999999996"/>
    <s v="Islamabad"/>
    <s v="No"/>
    <n v="0"/>
  </r>
  <r>
    <s v="CUST-00934"/>
    <n v="75"/>
    <s v="Yes"/>
    <s v="Yes"/>
    <s v="Yes"/>
    <x v="6"/>
    <s v="Yes"/>
    <s v="Yes"/>
    <x v="0"/>
    <x v="2"/>
    <s v="Yes"/>
    <x v="1"/>
    <n v="97"/>
    <n v="1943.55"/>
    <s v="Islamabad"/>
    <s v="Yes"/>
    <n v="1"/>
  </r>
  <r>
    <s v="CUST-00935"/>
    <n v="32"/>
    <s v="No"/>
    <s v="Yes"/>
    <s v="Yes"/>
    <x v="9"/>
    <s v="No"/>
    <s v="No phone service"/>
    <x v="0"/>
    <x v="2"/>
    <s v="Yes"/>
    <x v="1"/>
    <n v="71.36"/>
    <n v="2909.16"/>
    <s v="Lahore"/>
    <s v="No"/>
    <n v="0"/>
  </r>
  <r>
    <s v="CUST-00936"/>
    <n v="71"/>
    <s v="Yes"/>
    <s v="No"/>
    <s v="Yes"/>
    <x v="71"/>
    <s v="Yes"/>
    <s v="No"/>
    <x v="2"/>
    <x v="2"/>
    <s v="No"/>
    <x v="3"/>
    <n v="27.25"/>
    <n v="1570.07"/>
    <s v="Karachi"/>
    <s v="Yes"/>
    <n v="1"/>
  </r>
  <r>
    <s v="CUST-00937"/>
    <n v="50"/>
    <s v="No"/>
    <s v="Yes"/>
    <s v="Yes"/>
    <x v="20"/>
    <s v="No"/>
    <s v="No phone service"/>
    <x v="0"/>
    <x v="0"/>
    <s v="No"/>
    <x v="1"/>
    <n v="85.84"/>
    <n v="2231.7399999999998"/>
    <s v="Peshawar"/>
    <s v="No"/>
    <n v="0"/>
  </r>
  <r>
    <s v="CUST-00938"/>
    <n v="50"/>
    <s v="No"/>
    <s v="No"/>
    <s v="No"/>
    <x v="54"/>
    <s v="No"/>
    <s v="No phone service"/>
    <x v="1"/>
    <x v="2"/>
    <s v="No"/>
    <x v="1"/>
    <n v="56.01"/>
    <n v="1927.62"/>
    <s v="Islamabad"/>
    <s v="No"/>
    <n v="0"/>
  </r>
  <r>
    <s v="CUST-00939"/>
    <n v="71"/>
    <s v="Yes"/>
    <s v="Yes"/>
    <s v="No"/>
    <x v="9"/>
    <s v="Yes"/>
    <s v="No"/>
    <x v="0"/>
    <x v="1"/>
    <s v="No"/>
    <x v="3"/>
    <n v="118.21"/>
    <n v="4737.2299999999996"/>
    <s v="Lahore"/>
    <s v="No"/>
    <n v="0"/>
  </r>
  <r>
    <s v="CUST-00940"/>
    <n v="27"/>
    <s v="No"/>
    <s v="Yes"/>
    <s v="Yes"/>
    <x v="65"/>
    <s v="Yes"/>
    <s v="Yes"/>
    <x v="0"/>
    <x v="2"/>
    <s v="Yes"/>
    <x v="3"/>
    <n v="110.12"/>
    <n v="229.92"/>
    <s v="Islamabad"/>
    <s v="Yes"/>
    <n v="1"/>
  </r>
  <r>
    <s v="CUST-00941"/>
    <n v="57"/>
    <s v="No"/>
    <s v="No"/>
    <s v="Yes"/>
    <x v="17"/>
    <s v="Yes"/>
    <s v="No"/>
    <x v="0"/>
    <x v="1"/>
    <s v="Yes"/>
    <x v="0"/>
    <n v="116.25"/>
    <n v="6493.36"/>
    <s v="Karachi"/>
    <s v="Yes"/>
    <n v="1"/>
  </r>
  <r>
    <s v="CUST-00942"/>
    <n v="37"/>
    <s v="No"/>
    <s v="No"/>
    <s v="No"/>
    <x v="15"/>
    <s v="Yes"/>
    <s v="No"/>
    <x v="1"/>
    <x v="2"/>
    <s v="No"/>
    <x v="3"/>
    <n v="74.88"/>
    <n v="2672.27"/>
    <s v="Rawalpindi"/>
    <s v="Yes"/>
    <n v="1"/>
  </r>
  <r>
    <s v="CUST-00943"/>
    <n v="66"/>
    <s v="Yes"/>
    <s v="Yes"/>
    <s v="Yes"/>
    <x v="43"/>
    <s v="Yes"/>
    <s v="Yes"/>
    <x v="0"/>
    <x v="1"/>
    <s v="Yes"/>
    <x v="2"/>
    <n v="93.22"/>
    <n v="1199.51"/>
    <s v="Rawalpindi"/>
    <s v="No"/>
    <n v="0"/>
  </r>
  <r>
    <s v="CUST-00944"/>
    <n v="26"/>
    <s v="No"/>
    <s v="Yes"/>
    <s v="No"/>
    <x v="12"/>
    <s v="No"/>
    <s v="No phone service"/>
    <x v="1"/>
    <x v="2"/>
    <s v="No"/>
    <x v="2"/>
    <n v="66.739999999999995"/>
    <n v="3873.97"/>
    <s v="Peshawar"/>
    <s v="No"/>
    <n v="0"/>
  </r>
  <r>
    <s v="CUST-00945"/>
    <n v="72"/>
    <s v="Yes"/>
    <s v="Yes"/>
    <s v="Yes"/>
    <x v="1"/>
    <s v="Yes"/>
    <s v="Yes"/>
    <x v="1"/>
    <x v="2"/>
    <s v="Yes"/>
    <x v="1"/>
    <n v="51.29"/>
    <n v="1507.94"/>
    <s v="Islamabad"/>
    <s v="Yes"/>
    <n v="1"/>
  </r>
  <r>
    <s v="CUST-00946"/>
    <n v="29"/>
    <s v="No"/>
    <s v="No"/>
    <s v="No"/>
    <x v="45"/>
    <s v="No"/>
    <s v="No phone service"/>
    <x v="1"/>
    <x v="0"/>
    <s v="Yes"/>
    <x v="3"/>
    <n v="54.99"/>
    <n v="3158.93"/>
    <s v="Peshawar"/>
    <s v="No"/>
    <n v="0"/>
  </r>
  <r>
    <s v="CUST-00947"/>
    <n v="20"/>
    <s v="No"/>
    <s v="No"/>
    <s v="Yes"/>
    <x v="69"/>
    <s v="Yes"/>
    <s v="Yes"/>
    <x v="2"/>
    <x v="2"/>
    <s v="Yes"/>
    <x v="3"/>
    <n v="21.87"/>
    <n v="573.54"/>
    <s v="Islamabad"/>
    <s v="No"/>
    <n v="0"/>
  </r>
  <r>
    <s v="CUST-00948"/>
    <n v="30"/>
    <s v="No"/>
    <s v="No"/>
    <s v="No"/>
    <x v="10"/>
    <s v="No"/>
    <s v="No phone service"/>
    <x v="1"/>
    <x v="2"/>
    <s v="Yes"/>
    <x v="1"/>
    <n v="66.22"/>
    <n v="1857.38"/>
    <s v="Karachi"/>
    <s v="No"/>
    <n v="0"/>
  </r>
  <r>
    <s v="CUST-00949"/>
    <n v="34"/>
    <s v="No"/>
    <s v="No"/>
    <s v="No"/>
    <x v="60"/>
    <s v="Yes"/>
    <s v="No"/>
    <x v="1"/>
    <x v="2"/>
    <s v="No"/>
    <x v="3"/>
    <n v="54.62"/>
    <n v="3944.24"/>
    <s v="Karachi"/>
    <s v="No"/>
    <n v="0"/>
  </r>
  <r>
    <s v="CUST-00950"/>
    <n v="24"/>
    <s v="No"/>
    <s v="Yes"/>
    <s v="No"/>
    <x v="7"/>
    <s v="No"/>
    <s v="No phone service"/>
    <x v="0"/>
    <x v="2"/>
    <s v="No"/>
    <x v="3"/>
    <n v="91.81"/>
    <n v="1457.19"/>
    <s v="Peshawar"/>
    <s v="Yes"/>
    <n v="1"/>
  </r>
  <r>
    <s v="CUST-00951"/>
    <n v="50"/>
    <s v="No"/>
    <s v="Yes"/>
    <s v="No"/>
    <x v="29"/>
    <s v="Yes"/>
    <s v="No"/>
    <x v="0"/>
    <x v="2"/>
    <s v="No"/>
    <x v="0"/>
    <n v="109"/>
    <n v="7248.29"/>
    <s v="Lahore"/>
    <s v="No"/>
    <n v="0"/>
  </r>
  <r>
    <s v="CUST-00952"/>
    <n v="69"/>
    <s v="Yes"/>
    <s v="No"/>
    <s v="Yes"/>
    <x v="19"/>
    <s v="Yes"/>
    <s v="Yes"/>
    <x v="0"/>
    <x v="2"/>
    <s v="Yes"/>
    <x v="1"/>
    <n v="107.56"/>
    <n v="7008.69"/>
    <s v="Faisalabad"/>
    <s v="No"/>
    <n v="0"/>
  </r>
  <r>
    <s v="CUST-00953"/>
    <n v="45"/>
    <s v="No"/>
    <s v="Yes"/>
    <s v="No"/>
    <x v="16"/>
    <s v="No"/>
    <s v="No phone service"/>
    <x v="2"/>
    <x v="2"/>
    <s v="No"/>
    <x v="2"/>
    <n v="23.62"/>
    <n v="158.12"/>
    <s v="Lahore"/>
    <s v="No"/>
    <n v="0"/>
  </r>
  <r>
    <s v="CUST-00954"/>
    <n v="22"/>
    <s v="No"/>
    <s v="No"/>
    <s v="No"/>
    <x v="20"/>
    <s v="Yes"/>
    <s v="Yes"/>
    <x v="2"/>
    <x v="2"/>
    <s v="Yes"/>
    <x v="0"/>
    <n v="19.920000000000002"/>
    <n v="568.30999999999995"/>
    <s v="Karachi"/>
    <s v="No"/>
    <n v="0"/>
  </r>
  <r>
    <s v="CUST-00955"/>
    <n v="43"/>
    <s v="No"/>
    <s v="Yes"/>
    <s v="No"/>
    <x v="44"/>
    <s v="Yes"/>
    <s v="No"/>
    <x v="1"/>
    <x v="2"/>
    <s v="No"/>
    <x v="3"/>
    <n v="56.06"/>
    <n v="2936.59"/>
    <s v="Multan"/>
    <s v="No"/>
    <n v="0"/>
  </r>
  <r>
    <s v="CUST-00956"/>
    <n v="27"/>
    <s v="No"/>
    <s v="Yes"/>
    <s v="No"/>
    <x v="6"/>
    <s v="No"/>
    <s v="No phone service"/>
    <x v="1"/>
    <x v="2"/>
    <s v="Yes"/>
    <x v="0"/>
    <n v="60.97"/>
    <n v="1196.19"/>
    <s v="Karachi"/>
    <s v="No"/>
    <n v="0"/>
  </r>
  <r>
    <s v="CUST-00957"/>
    <n v="60"/>
    <s v="Yes"/>
    <s v="No"/>
    <s v="No"/>
    <x v="34"/>
    <s v="No"/>
    <s v="No phone service"/>
    <x v="1"/>
    <x v="2"/>
    <s v="No"/>
    <x v="2"/>
    <n v="77.98"/>
    <n v="1178.95"/>
    <s v="Islamabad"/>
    <s v="No"/>
    <n v="0"/>
  </r>
  <r>
    <s v="CUST-00958"/>
    <n v="25"/>
    <s v="No"/>
    <s v="No"/>
    <s v="No"/>
    <x v="51"/>
    <s v="No"/>
    <s v="No phone service"/>
    <x v="2"/>
    <x v="0"/>
    <s v="Yes"/>
    <x v="0"/>
    <n v="19.059999999999999"/>
    <n v="430.98"/>
    <s v="Peshawar"/>
    <s v="No"/>
    <n v="0"/>
  </r>
  <r>
    <s v="CUST-00959"/>
    <n v="41"/>
    <s v="No"/>
    <s v="Yes"/>
    <s v="No"/>
    <x v="68"/>
    <s v="Yes"/>
    <s v="No"/>
    <x v="0"/>
    <x v="2"/>
    <s v="No"/>
    <x v="2"/>
    <n v="102.01"/>
    <n v="5595.22"/>
    <s v="Islamabad"/>
    <s v="No"/>
    <n v="0"/>
  </r>
  <r>
    <s v="CUST-00960"/>
    <n v="40"/>
    <s v="No"/>
    <s v="Yes"/>
    <s v="Yes"/>
    <x v="43"/>
    <s v="No"/>
    <s v="No phone service"/>
    <x v="1"/>
    <x v="2"/>
    <s v="No"/>
    <x v="3"/>
    <n v="57.35"/>
    <n v="724.59"/>
    <s v="Peshawar"/>
    <s v="No"/>
    <n v="0"/>
  </r>
  <r>
    <s v="CUST-00961"/>
    <n v="63"/>
    <s v="Yes"/>
    <s v="No"/>
    <s v="No"/>
    <x v="40"/>
    <s v="No"/>
    <s v="No phone service"/>
    <x v="2"/>
    <x v="2"/>
    <s v="Yes"/>
    <x v="0"/>
    <n v="27.52"/>
    <n v="1944.31"/>
    <s v="Lahore"/>
    <s v="No"/>
    <n v="0"/>
  </r>
  <r>
    <s v="CUST-00962"/>
    <n v="66"/>
    <s v="Yes"/>
    <s v="Yes"/>
    <s v="No"/>
    <x v="17"/>
    <s v="Yes"/>
    <s v="Yes"/>
    <x v="2"/>
    <x v="0"/>
    <s v="No"/>
    <x v="0"/>
    <n v="24.27"/>
    <n v="1379.81"/>
    <s v="Multan"/>
    <s v="No"/>
    <n v="0"/>
  </r>
  <r>
    <s v="CUST-00963"/>
    <n v="65"/>
    <s v="Yes"/>
    <s v="No"/>
    <s v="Yes"/>
    <x v="10"/>
    <s v="Yes"/>
    <s v="No"/>
    <x v="1"/>
    <x v="2"/>
    <s v="No"/>
    <x v="2"/>
    <n v="72.08"/>
    <n v="2073.7199999999998"/>
    <s v="Islamabad"/>
    <s v="No"/>
    <n v="0"/>
  </r>
  <r>
    <s v="CUST-00964"/>
    <n v="40"/>
    <s v="No"/>
    <s v="No"/>
    <s v="No"/>
    <x v="36"/>
    <s v="Yes"/>
    <s v="Yes"/>
    <x v="0"/>
    <x v="0"/>
    <s v="No"/>
    <x v="1"/>
    <n v="78.03"/>
    <n v="2514.48"/>
    <s v="Multan"/>
    <s v="No"/>
    <n v="0"/>
  </r>
  <r>
    <s v="CUST-00965"/>
    <n v="38"/>
    <s v="No"/>
    <s v="No"/>
    <s v="No"/>
    <x v="23"/>
    <s v="Yes"/>
    <s v="Yes"/>
    <x v="2"/>
    <x v="0"/>
    <s v="Yes"/>
    <x v="3"/>
    <n v="21.67"/>
    <n v="523.17999999999995"/>
    <s v="Rawalpindi"/>
    <s v="Yes"/>
    <n v="1"/>
  </r>
  <r>
    <s v="CUST-00966"/>
    <n v="38"/>
    <s v="No"/>
    <s v="No"/>
    <s v="Yes"/>
    <x v="63"/>
    <s v="No"/>
    <s v="No phone service"/>
    <x v="0"/>
    <x v="2"/>
    <s v="No"/>
    <x v="2"/>
    <n v="107.74"/>
    <n v="5570.24"/>
    <s v="Lahore"/>
    <s v="Yes"/>
    <n v="1"/>
  </r>
  <r>
    <s v="CUST-00967"/>
    <n v="30"/>
    <s v="No"/>
    <s v="No"/>
    <s v="No"/>
    <x v="55"/>
    <s v="No"/>
    <s v="No phone service"/>
    <x v="1"/>
    <x v="0"/>
    <s v="Yes"/>
    <x v="3"/>
    <n v="43.62"/>
    <n v="3177.56"/>
    <s v="Rawalpindi"/>
    <s v="No"/>
    <n v="0"/>
  </r>
  <r>
    <s v="CUST-00968"/>
    <n v="72"/>
    <s v="Yes"/>
    <s v="No"/>
    <s v="Yes"/>
    <x v="13"/>
    <s v="No"/>
    <s v="No phone service"/>
    <x v="1"/>
    <x v="2"/>
    <s v="No"/>
    <x v="3"/>
    <n v="78.239999999999995"/>
    <n v="3572.51"/>
    <s v="Islamabad"/>
    <s v="No"/>
    <n v="0"/>
  </r>
  <r>
    <s v="CUST-00969"/>
    <n v="57"/>
    <s v="No"/>
    <s v="Yes"/>
    <s v="No"/>
    <x v="1"/>
    <s v="Yes"/>
    <s v="Yes"/>
    <x v="0"/>
    <x v="2"/>
    <s v="No"/>
    <x v="3"/>
    <n v="81.22"/>
    <n v="2410.52"/>
    <s v="Karachi"/>
    <s v="Yes"/>
    <n v="1"/>
  </r>
  <r>
    <s v="CUST-00970"/>
    <n v="46"/>
    <s v="No"/>
    <s v="Yes"/>
    <s v="Yes"/>
    <x v="65"/>
    <s v="Yes"/>
    <s v="No"/>
    <x v="0"/>
    <x v="2"/>
    <s v="No"/>
    <x v="0"/>
    <n v="97.56"/>
    <n v="196.71"/>
    <s v="Peshawar"/>
    <s v="Yes"/>
    <n v="1"/>
  </r>
  <r>
    <s v="CUST-00971"/>
    <n v="51"/>
    <s v="No"/>
    <s v="No"/>
    <s v="No"/>
    <x v="15"/>
    <s v="No"/>
    <s v="No phone service"/>
    <x v="1"/>
    <x v="1"/>
    <s v="No"/>
    <x v="0"/>
    <n v="54.58"/>
    <n v="1950.47"/>
    <s v="Faisalabad"/>
    <s v="No"/>
    <n v="0"/>
  </r>
  <r>
    <s v="CUST-00972"/>
    <n v="40"/>
    <s v="No"/>
    <s v="Yes"/>
    <s v="Yes"/>
    <x v="64"/>
    <s v="Yes"/>
    <s v="No"/>
    <x v="2"/>
    <x v="0"/>
    <s v="Yes"/>
    <x v="2"/>
    <n v="27.41"/>
    <n v="1152.25"/>
    <s v="Islamabad"/>
    <s v="No"/>
    <n v="0"/>
  </r>
  <r>
    <s v="CUST-00973"/>
    <n v="24"/>
    <s v="No"/>
    <s v="Yes"/>
    <s v="No"/>
    <x v="60"/>
    <s v="Yes"/>
    <s v="No"/>
    <x v="2"/>
    <x v="0"/>
    <s v="Yes"/>
    <x v="0"/>
    <n v="23.25"/>
    <n v="1668.79"/>
    <s v="Karachi"/>
    <s v="Yes"/>
    <n v="1"/>
  </r>
  <r>
    <s v="CUST-00974"/>
    <n v="19"/>
    <s v="No"/>
    <s v="No"/>
    <s v="Yes"/>
    <x v="62"/>
    <s v="Yes"/>
    <s v="Yes"/>
    <x v="1"/>
    <x v="2"/>
    <s v="No"/>
    <x v="0"/>
    <n v="77.89"/>
    <n v="3600.85"/>
    <s v="Rawalpindi"/>
    <s v="No"/>
    <n v="0"/>
  </r>
  <r>
    <s v="CUST-00975"/>
    <n v="45"/>
    <s v="No"/>
    <s v="Yes"/>
    <s v="No"/>
    <x v="10"/>
    <s v="No"/>
    <s v="No phone service"/>
    <x v="1"/>
    <x v="2"/>
    <s v="No"/>
    <x v="3"/>
    <n v="62.79"/>
    <n v="1837.44"/>
    <s v="Karachi"/>
    <s v="No"/>
    <n v="0"/>
  </r>
  <r>
    <s v="CUST-00976"/>
    <n v="67"/>
    <s v="Yes"/>
    <s v="No"/>
    <s v="Yes"/>
    <x v="16"/>
    <s v="No"/>
    <s v="No phone service"/>
    <x v="1"/>
    <x v="0"/>
    <s v="Yes"/>
    <x v="1"/>
    <n v="61.19"/>
    <n v="440.17"/>
    <s v="Karachi"/>
    <s v="No"/>
    <n v="0"/>
  </r>
  <r>
    <s v="CUST-00977"/>
    <n v="56"/>
    <s v="No"/>
    <s v="Yes"/>
    <s v="Yes"/>
    <x v="39"/>
    <s v="No"/>
    <s v="No phone service"/>
    <x v="1"/>
    <x v="0"/>
    <s v="No"/>
    <x v="3"/>
    <n v="77.849999999999994"/>
    <n v="314.17"/>
    <s v="Rawalpindi"/>
    <s v="No"/>
    <n v="0"/>
  </r>
  <r>
    <s v="CUST-00978"/>
    <n v="69"/>
    <s v="Yes"/>
    <s v="No"/>
    <s v="No"/>
    <x v="12"/>
    <s v="No"/>
    <s v="No phone service"/>
    <x v="0"/>
    <x v="2"/>
    <s v="No"/>
    <x v="0"/>
    <n v="105.36"/>
    <n v="6719.31"/>
    <s v="Karachi"/>
    <s v="No"/>
    <n v="0"/>
  </r>
  <r>
    <s v="CUST-00979"/>
    <n v="34"/>
    <s v="No"/>
    <s v="No"/>
    <s v="Yes"/>
    <x v="38"/>
    <s v="Yes"/>
    <s v="Yes"/>
    <x v="0"/>
    <x v="0"/>
    <s v="No"/>
    <x v="3"/>
    <n v="100.31"/>
    <n v="3183.36"/>
    <s v="Islamabad"/>
    <s v="Yes"/>
    <n v="1"/>
  </r>
  <r>
    <s v="CUST-00980"/>
    <n v="24"/>
    <s v="No"/>
    <s v="Yes"/>
    <s v="Yes"/>
    <x v="19"/>
    <s v="No"/>
    <s v="No phone service"/>
    <x v="0"/>
    <x v="2"/>
    <s v="Yes"/>
    <x v="1"/>
    <n v="98.4"/>
    <n v="6590.7"/>
    <s v="Karachi"/>
    <s v="Yes"/>
    <n v="1"/>
  </r>
  <r>
    <s v="CUST-00981"/>
    <n v="30"/>
    <s v="No"/>
    <s v="No"/>
    <s v="Yes"/>
    <x v="8"/>
    <s v="No"/>
    <s v="No phone service"/>
    <x v="0"/>
    <x v="2"/>
    <s v="Yes"/>
    <x v="0"/>
    <n v="98.7"/>
    <n v="7130.2"/>
    <s v="Peshawar"/>
    <s v="No"/>
    <n v="0"/>
  </r>
  <r>
    <s v="CUST-00982"/>
    <n v="29"/>
    <s v="No"/>
    <s v="Yes"/>
    <s v="No"/>
    <x v="39"/>
    <s v="Yes"/>
    <s v="No"/>
    <x v="1"/>
    <x v="2"/>
    <s v="No"/>
    <x v="3"/>
    <n v="67.319999999999993"/>
    <n v="272.19"/>
    <s v="Lahore"/>
    <s v="Yes"/>
    <n v="1"/>
  </r>
  <r>
    <s v="CUST-00983"/>
    <n v="49"/>
    <s v="No"/>
    <s v="Yes"/>
    <s v="Yes"/>
    <x v="13"/>
    <s v="No"/>
    <s v="No phone service"/>
    <x v="2"/>
    <x v="0"/>
    <s v="Yes"/>
    <x v="1"/>
    <n v="18.79"/>
    <n v="801.58"/>
    <s v="Peshawar"/>
    <s v="No"/>
    <n v="0"/>
  </r>
  <r>
    <s v="CUST-00984"/>
    <n v="49"/>
    <s v="No"/>
    <s v="Yes"/>
    <s v="No"/>
    <x v="42"/>
    <s v="No"/>
    <s v="No phone service"/>
    <x v="0"/>
    <x v="1"/>
    <s v="Yes"/>
    <x v="1"/>
    <n v="74.55"/>
    <n v="455.61"/>
    <s v="Faisalabad"/>
    <s v="No"/>
    <n v="0"/>
  </r>
  <r>
    <s v="CUST-00985"/>
    <n v="54"/>
    <s v="No"/>
    <s v="No"/>
    <s v="Yes"/>
    <x v="28"/>
    <s v="No"/>
    <s v="No phone service"/>
    <x v="0"/>
    <x v="0"/>
    <s v="No"/>
    <x v="2"/>
    <n v="91.32"/>
    <n v="3352.54"/>
    <s v="Lahore"/>
    <s v="Yes"/>
    <n v="1"/>
  </r>
  <r>
    <s v="CUST-00986"/>
    <n v="49"/>
    <s v="No"/>
    <s v="Yes"/>
    <s v="No"/>
    <x v="55"/>
    <s v="No"/>
    <s v="No phone service"/>
    <x v="1"/>
    <x v="2"/>
    <s v="No"/>
    <x v="1"/>
    <n v="67.959999999999994"/>
    <n v="4909.3"/>
    <s v="Lahore"/>
    <s v="Yes"/>
    <n v="1"/>
  </r>
  <r>
    <s v="CUST-00987"/>
    <n v="37"/>
    <s v="No"/>
    <s v="Yes"/>
    <s v="No"/>
    <x v="16"/>
    <s v="Yes"/>
    <s v="No"/>
    <x v="1"/>
    <x v="2"/>
    <s v="No"/>
    <x v="2"/>
    <n v="42.1"/>
    <n v="306.20999999999998"/>
    <s v="Multan"/>
    <s v="No"/>
    <n v="0"/>
  </r>
  <r>
    <s v="CUST-00988"/>
    <n v="50"/>
    <s v="No"/>
    <s v="Yes"/>
    <s v="No"/>
    <x v="42"/>
    <s v="Yes"/>
    <s v="No"/>
    <x v="2"/>
    <x v="2"/>
    <s v="Yes"/>
    <x v="1"/>
    <n v="18.88"/>
    <n v="109.25"/>
    <s v="Multan"/>
    <s v="Yes"/>
    <n v="1"/>
  </r>
  <r>
    <s v="CUST-00989"/>
    <n v="57"/>
    <s v="No"/>
    <s v="Yes"/>
    <s v="Yes"/>
    <x v="63"/>
    <s v="Yes"/>
    <s v="No"/>
    <x v="0"/>
    <x v="2"/>
    <s v="Yes"/>
    <x v="1"/>
    <n v="115.76"/>
    <n v="5557.04"/>
    <s v="Rawalpindi"/>
    <s v="Yes"/>
    <n v="1"/>
  </r>
  <r>
    <s v="CUST-00990"/>
    <n v="70"/>
    <s v="Yes"/>
    <s v="Yes"/>
    <s v="No"/>
    <x v="27"/>
    <s v="Yes"/>
    <s v="No"/>
    <x v="0"/>
    <x v="0"/>
    <s v="No"/>
    <x v="2"/>
    <n v="91.14"/>
    <n v="4779.3999999999996"/>
    <s v="Multan"/>
    <s v="No"/>
    <n v="0"/>
  </r>
  <r>
    <s v="CUST-00991"/>
    <n v="37"/>
    <s v="No"/>
    <s v="Yes"/>
    <s v="No"/>
    <x v="67"/>
    <s v="No"/>
    <s v="No phone service"/>
    <x v="1"/>
    <x v="1"/>
    <s v="No"/>
    <x v="3"/>
    <n v="76.040000000000006"/>
    <n v="4183.29"/>
    <s v="Faisalabad"/>
    <s v="No"/>
    <n v="0"/>
  </r>
  <r>
    <s v="CUST-00992"/>
    <n v="18"/>
    <s v="No"/>
    <s v="No"/>
    <s v="Yes"/>
    <x v="37"/>
    <s v="Yes"/>
    <s v="Yes"/>
    <x v="0"/>
    <x v="2"/>
    <s v="Yes"/>
    <x v="2"/>
    <n v="94.43"/>
    <n v="5268.83"/>
    <s v="Multan"/>
    <s v="Yes"/>
    <n v="1"/>
  </r>
  <r>
    <s v="CUST-00993"/>
    <n v="34"/>
    <s v="No"/>
    <s v="No"/>
    <s v="No"/>
    <x v="8"/>
    <s v="No"/>
    <s v="No phone service"/>
    <x v="0"/>
    <x v="2"/>
    <s v="Yes"/>
    <x v="0"/>
    <n v="114.28"/>
    <n v="7603.46"/>
    <s v="Peshawar"/>
    <s v="Yes"/>
    <n v="1"/>
  </r>
  <r>
    <s v="CUST-00994"/>
    <n v="49"/>
    <s v="No"/>
    <s v="Yes"/>
    <s v="Yes"/>
    <x v="40"/>
    <s v="No"/>
    <s v="No phone service"/>
    <x v="2"/>
    <x v="2"/>
    <s v="Yes"/>
    <x v="3"/>
    <n v="28"/>
    <n v="1804.97"/>
    <s v="Peshawar"/>
    <s v="No"/>
    <n v="0"/>
  </r>
  <r>
    <s v="CUST-00995"/>
    <n v="22"/>
    <s v="No"/>
    <s v="Yes"/>
    <s v="No"/>
    <x v="22"/>
    <s v="Yes"/>
    <s v="No"/>
    <x v="0"/>
    <x v="0"/>
    <s v="Yes"/>
    <x v="1"/>
    <n v="106.25"/>
    <n v="4820.78"/>
    <s v="Karachi"/>
    <s v="Yes"/>
    <n v="1"/>
  </r>
  <r>
    <s v="CUST-00996"/>
    <n v="39"/>
    <s v="No"/>
    <s v="No"/>
    <s v="Yes"/>
    <x v="62"/>
    <s v="Yes"/>
    <s v="No"/>
    <x v="1"/>
    <x v="2"/>
    <s v="No"/>
    <x v="0"/>
    <n v="49.01"/>
    <n v="2239.12"/>
    <s v="Multan"/>
    <s v="No"/>
    <n v="0"/>
  </r>
  <r>
    <s v="CUST-00997"/>
    <n v="46"/>
    <s v="No"/>
    <s v="Yes"/>
    <s v="No"/>
    <x v="25"/>
    <s v="No"/>
    <s v="No phone service"/>
    <x v="2"/>
    <x v="0"/>
    <s v="Yes"/>
    <x v="0"/>
    <n v="21.81"/>
    <n v="187.14"/>
    <s v="Faisalabad"/>
    <s v="Yes"/>
    <n v="1"/>
  </r>
  <r>
    <s v="CUST-00998"/>
    <n v="52"/>
    <s v="No"/>
    <s v="Yes"/>
    <s v="Yes"/>
    <x v="64"/>
    <s v="Yes"/>
    <s v="No"/>
    <x v="0"/>
    <x v="0"/>
    <s v="Yes"/>
    <x v="0"/>
    <n v="98.14"/>
    <n v="4277.05"/>
    <s v="Lahore"/>
    <s v="No"/>
    <n v="0"/>
  </r>
  <r>
    <s v="CUST-00999"/>
    <n v="72"/>
    <s v="Yes"/>
    <s v="Yes"/>
    <s v="Yes"/>
    <x v="14"/>
    <s v="No"/>
    <s v="No phone service"/>
    <x v="0"/>
    <x v="1"/>
    <s v="No"/>
    <x v="3"/>
    <n v="100.8"/>
    <n v="7013.39"/>
    <s v="Multan"/>
    <s v="No"/>
    <n v="0"/>
  </r>
  <r>
    <s v="CUST-01000"/>
    <n v="49"/>
    <s v="No"/>
    <s v="No"/>
    <s v="No"/>
    <x v="35"/>
    <s v="Yes"/>
    <s v="No"/>
    <x v="1"/>
    <x v="1"/>
    <s v="Yes"/>
    <x v="3"/>
    <n v="65.48"/>
    <n v="3712.35"/>
    <s v="Islamabad"/>
    <s v="No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UST-00001"/>
    <n v="58"/>
    <s v="No"/>
    <s v="Yes"/>
    <s v="Yes"/>
    <n v="36"/>
    <s v="Yes"/>
    <s v="No"/>
    <s v="Fiber optic"/>
    <x v="0"/>
    <s v="Yes"/>
    <s v="Credit card"/>
    <x v="0"/>
    <n v="2451.58"/>
    <s v="Faisalabad"/>
    <s v="No"/>
    <n v="0"/>
    <x v="0"/>
  </r>
  <r>
    <s v="CUST-00002"/>
    <n v="19"/>
    <s v="No"/>
    <s v="Yes"/>
    <s v="No"/>
    <n v="29"/>
    <s v="No"/>
    <s v="No phone service"/>
    <s v="Fiber optic"/>
    <x v="1"/>
    <s v="Yes"/>
    <s v="Bank Transfer"/>
    <x v="1"/>
    <n v="2240.42"/>
    <s v="Karachi"/>
    <s v="No"/>
    <n v="0"/>
    <x v="1"/>
  </r>
  <r>
    <s v="CUST-00003"/>
    <n v="66"/>
    <s v="Yes"/>
    <s v="No"/>
    <s v="Yes"/>
    <n v="12"/>
    <s v="No"/>
    <s v="No phone service"/>
    <s v="Fiber optic"/>
    <x v="1"/>
    <s v="No"/>
    <s v="Bank Transfer"/>
    <x v="2"/>
    <n v="1283.44"/>
    <s v="Rawalpindi"/>
    <s v="No"/>
    <n v="0"/>
    <x v="0"/>
  </r>
  <r>
    <s v="CUST-00004"/>
    <n v="23"/>
    <s v="No"/>
    <s v="No"/>
    <s v="No"/>
    <n v="25"/>
    <s v="Yes"/>
    <s v="No"/>
    <s v="DSL"/>
    <x v="0"/>
    <s v="Yes"/>
    <s v="Mailed check"/>
    <x v="3"/>
    <n v="1839.65"/>
    <s v="Peshawar"/>
    <s v="No"/>
    <n v="0"/>
    <x v="2"/>
  </r>
  <r>
    <s v="CUST-00005"/>
    <n v="41"/>
    <s v="No"/>
    <s v="Yes"/>
    <s v="No"/>
    <n v="46"/>
    <s v="No"/>
    <s v="No phone service"/>
    <s v="Fiber optic"/>
    <x v="0"/>
    <s v="Yes"/>
    <s v="Bank Transfer"/>
    <x v="4"/>
    <n v="3713.12"/>
    <s v="Rawalpindi"/>
    <s v="Yes"/>
    <n v="1"/>
    <x v="1"/>
  </r>
  <r>
    <s v="CUST-00006"/>
    <n v="35"/>
    <s v="No"/>
    <s v="Yes"/>
    <s v="No"/>
    <n v="8"/>
    <s v="Yes"/>
    <s v="No"/>
    <s v="Fiber optic"/>
    <x v="2"/>
    <s v="Yes"/>
    <s v="Electronic check"/>
    <x v="5"/>
    <n v="979.53"/>
    <s v="Multan"/>
    <s v="Yes"/>
    <n v="1"/>
    <x v="1"/>
  </r>
  <r>
    <s v="CUST-00007"/>
    <n v="49"/>
    <s v="No"/>
    <s v="No"/>
    <s v="No"/>
    <n v="19"/>
    <s v="Yes"/>
    <s v="No"/>
    <s v="Fiber optic"/>
    <x v="2"/>
    <s v="No"/>
    <s v="Mailed check"/>
    <x v="6"/>
    <n v="1651.85"/>
    <s v="Faisalabad"/>
    <s v="No"/>
    <n v="0"/>
    <x v="2"/>
  </r>
  <r>
    <s v="CUST-00008"/>
    <n v="49"/>
    <s v="No"/>
    <s v="Yes"/>
    <s v="Yes"/>
    <n v="15"/>
    <s v="Yes"/>
    <s v="No"/>
    <s v="Fiber optic"/>
    <x v="2"/>
    <s v="Yes"/>
    <s v="Credit card"/>
    <x v="7"/>
    <n v="1491.11"/>
    <s v="Faisalabad"/>
    <s v="Yes"/>
    <n v="1"/>
    <x v="2"/>
  </r>
  <r>
    <s v="CUST-00009"/>
    <n v="73"/>
    <s v="Yes"/>
    <s v="Yes"/>
    <s v="Yes"/>
    <n v="69"/>
    <s v="No"/>
    <s v="No phone service"/>
    <s v="DSL"/>
    <x v="2"/>
    <s v="No"/>
    <s v="Electronic check"/>
    <x v="8"/>
    <n v="2842.77"/>
    <s v="Faisalabad"/>
    <s v="No"/>
    <n v="0"/>
    <x v="2"/>
  </r>
  <r>
    <s v="CUST-00010"/>
    <n v="66"/>
    <s v="Yes"/>
    <s v="Yes"/>
    <s v="Yes"/>
    <n v="39"/>
    <s v="Yes"/>
    <s v="Yes"/>
    <s v="No internet"/>
    <x v="0"/>
    <s v="Yes"/>
    <s v="Credit card"/>
    <x v="9"/>
    <n v="887.2"/>
    <s v="Peshawar"/>
    <s v="No"/>
    <n v="0"/>
    <x v="2"/>
  </r>
  <r>
    <s v="CUST-00011"/>
    <n v="69"/>
    <s v="Yes"/>
    <s v="No"/>
    <s v="Yes"/>
    <n v="8"/>
    <s v="Yes"/>
    <s v="Yes"/>
    <s v="Fiber optic"/>
    <x v="2"/>
    <s v="Yes"/>
    <s v="Mailed check"/>
    <x v="10"/>
    <n v="738.4"/>
    <s v="Faisalabad"/>
    <s v="No"/>
    <n v="0"/>
    <x v="2"/>
  </r>
  <r>
    <s v="CUST-00012"/>
    <n v="28"/>
    <s v="No"/>
    <s v="No"/>
    <s v="No"/>
    <n v="28"/>
    <s v="Yes"/>
    <s v="No"/>
    <s v="No internet"/>
    <x v="2"/>
    <s v="No"/>
    <s v="Credit card"/>
    <x v="11"/>
    <n v="647.04999999999995"/>
    <s v="Islamabad"/>
    <s v="Yes"/>
    <n v="1"/>
    <x v="2"/>
  </r>
  <r>
    <s v="CUST-00013"/>
    <n v="19"/>
    <s v="No"/>
    <s v="Yes"/>
    <s v="Yes"/>
    <n v="1"/>
    <s v="Yes"/>
    <s v="Yes"/>
    <s v="Fiber optic"/>
    <x v="1"/>
    <s v="No"/>
    <s v="Electronic check"/>
    <x v="12"/>
    <n v="83.56"/>
    <s v="Karachi"/>
    <s v="Yes"/>
    <n v="1"/>
    <x v="0"/>
  </r>
  <r>
    <s v="CUST-00014"/>
    <n v="64"/>
    <s v="Yes"/>
    <s v="No"/>
    <s v="Yes"/>
    <n v="61"/>
    <s v="Yes"/>
    <s v="Yes"/>
    <s v="No internet"/>
    <x v="0"/>
    <s v="No"/>
    <s v="Credit card"/>
    <x v="13"/>
    <n v="1479.17"/>
    <s v="Multan"/>
    <s v="No"/>
    <n v="0"/>
    <x v="0"/>
  </r>
  <r>
    <s v="CUST-00015"/>
    <n v="24"/>
    <s v="No"/>
    <s v="Yes"/>
    <s v="No"/>
    <n v="44"/>
    <s v="Yes"/>
    <s v="Yes"/>
    <s v="No internet"/>
    <x v="2"/>
    <s v="No"/>
    <s v="Electronic check"/>
    <x v="14"/>
    <n v="884.81"/>
    <s v="Lahore"/>
    <s v="No"/>
    <n v="0"/>
    <x v="1"/>
  </r>
  <r>
    <s v="CUST-00016"/>
    <n v="46"/>
    <s v="No"/>
    <s v="Yes"/>
    <s v="Yes"/>
    <n v="70"/>
    <s v="Yes"/>
    <s v="No"/>
    <s v="No internet"/>
    <x v="1"/>
    <s v="Yes"/>
    <s v="Credit card"/>
    <x v="15"/>
    <n v="1737.44"/>
    <s v="Karachi"/>
    <s v="No"/>
    <n v="0"/>
    <x v="0"/>
  </r>
  <r>
    <s v="CUST-00017"/>
    <n v="42"/>
    <s v="No"/>
    <s v="Yes"/>
    <s v="No"/>
    <n v="34"/>
    <s v="No"/>
    <s v="No phone service"/>
    <s v="No internet"/>
    <x v="2"/>
    <s v="No"/>
    <s v="Electronic check"/>
    <x v="16"/>
    <n v="774.27"/>
    <s v="Faisalabad"/>
    <s v="No"/>
    <n v="0"/>
    <x v="2"/>
  </r>
  <r>
    <s v="CUST-00018"/>
    <n v="21"/>
    <s v="No"/>
    <s v="No"/>
    <s v="Yes"/>
    <n v="7"/>
    <s v="Yes"/>
    <s v="Yes"/>
    <s v="DSL"/>
    <x v="2"/>
    <s v="Yes"/>
    <s v="Electronic check"/>
    <x v="17"/>
    <n v="312.02"/>
    <s v="Faisalabad"/>
    <s v="Yes"/>
    <n v="1"/>
    <x v="2"/>
  </r>
  <r>
    <s v="CUST-00019"/>
    <n v="33"/>
    <s v="No"/>
    <s v="Yes"/>
    <s v="Yes"/>
    <n v="54"/>
    <s v="No"/>
    <s v="No phone service"/>
    <s v="DSL"/>
    <x v="1"/>
    <s v="Yes"/>
    <s v="Bank Transfer"/>
    <x v="18"/>
    <n v="2758.94"/>
    <s v="Multan"/>
    <s v="No"/>
    <n v="0"/>
    <x v="1"/>
  </r>
  <r>
    <s v="CUST-00020"/>
    <n v="37"/>
    <s v="No"/>
    <s v="No"/>
    <s v="No"/>
    <n v="10"/>
    <s v="Yes"/>
    <s v="Yes"/>
    <s v="Fiber optic"/>
    <x v="2"/>
    <s v="No"/>
    <s v="Electronic check"/>
    <x v="19"/>
    <n v="829.25"/>
    <s v="Islamabad"/>
    <s v="Yes"/>
    <n v="1"/>
    <x v="1"/>
  </r>
  <r>
    <s v="CUST-00021"/>
    <n v="28"/>
    <s v="No"/>
    <s v="No"/>
    <s v="No"/>
    <n v="68"/>
    <s v="No"/>
    <s v="No phone service"/>
    <s v="Fiber optic"/>
    <x v="1"/>
    <s v="Yes"/>
    <s v="Mailed check"/>
    <x v="20"/>
    <n v="4975.5600000000004"/>
    <s v="Faisalabad"/>
    <s v="Yes"/>
    <n v="1"/>
    <x v="1"/>
  </r>
  <r>
    <s v="CUST-00022"/>
    <n v="27"/>
    <s v="No"/>
    <s v="No"/>
    <s v="No"/>
    <n v="27"/>
    <s v="Yes"/>
    <s v="No"/>
    <s v="DSL"/>
    <x v="1"/>
    <s v="No"/>
    <s v="Electronic check"/>
    <x v="21"/>
    <n v="1949.82"/>
    <s v="Peshawar"/>
    <s v="No"/>
    <n v="0"/>
    <x v="1"/>
  </r>
  <r>
    <s v="CUST-00023"/>
    <n v="35"/>
    <s v="No"/>
    <s v="Yes"/>
    <s v="Yes"/>
    <n v="43"/>
    <s v="No"/>
    <s v="No phone service"/>
    <s v="DSL"/>
    <x v="2"/>
    <s v="No"/>
    <s v="Credit card"/>
    <x v="22"/>
    <n v="2311.2399999999998"/>
    <s v="Multan"/>
    <s v="Yes"/>
    <n v="1"/>
    <x v="1"/>
  </r>
  <r>
    <s v="CUST-00024"/>
    <n v="75"/>
    <s v="Yes"/>
    <s v="Yes"/>
    <s v="Yes"/>
    <n v="48"/>
    <s v="Yes"/>
    <s v="No"/>
    <s v="DSL"/>
    <x v="2"/>
    <s v="No"/>
    <s v="Mailed check"/>
    <x v="23"/>
    <n v="3597.58"/>
    <s v="Karachi"/>
    <s v="No"/>
    <n v="0"/>
    <x v="1"/>
  </r>
  <r>
    <s v="CUST-00025"/>
    <n v="61"/>
    <s v="Yes"/>
    <s v="Yes"/>
    <s v="Yes"/>
    <n v="46"/>
    <s v="No"/>
    <s v="No phone service"/>
    <s v="DSL"/>
    <x v="1"/>
    <s v="Yes"/>
    <s v="Mailed check"/>
    <x v="24"/>
    <n v="2183.46"/>
    <s v="Karachi"/>
    <s v="No"/>
    <n v="0"/>
    <x v="1"/>
  </r>
  <r>
    <s v="CUST-00026"/>
    <n v="74"/>
    <s v="Yes"/>
    <s v="No"/>
    <s v="Yes"/>
    <n v="23"/>
    <s v="No"/>
    <s v="No phone service"/>
    <s v="DSL"/>
    <x v="0"/>
    <s v="No"/>
    <s v="Bank Transfer"/>
    <x v="25"/>
    <n v="1778.83"/>
    <s v="Peshawar"/>
    <s v="No"/>
    <n v="0"/>
    <x v="1"/>
  </r>
  <r>
    <s v="CUST-00027"/>
    <n v="62"/>
    <s v="Yes"/>
    <s v="Yes"/>
    <s v="No"/>
    <n v="5"/>
    <s v="Yes"/>
    <s v="Yes"/>
    <s v="No internet"/>
    <x v="1"/>
    <s v="No"/>
    <s v="Electronic check"/>
    <x v="26"/>
    <n v="133.19999999999999"/>
    <s v="Karachi"/>
    <s v="Yes"/>
    <n v="1"/>
    <x v="1"/>
  </r>
  <r>
    <s v="CUST-00028"/>
    <n v="43"/>
    <s v="No"/>
    <s v="No"/>
    <s v="No"/>
    <n v="9"/>
    <s v="No"/>
    <s v="No phone service"/>
    <s v="No internet"/>
    <x v="2"/>
    <s v="No"/>
    <s v="Bank Transfer"/>
    <x v="27"/>
    <n v="247.95"/>
    <s v="Islamabad"/>
    <s v="Yes"/>
    <n v="1"/>
    <x v="1"/>
  </r>
  <r>
    <s v="CUST-00029"/>
    <n v="29"/>
    <s v="No"/>
    <s v="No"/>
    <s v="Yes"/>
    <n v="14"/>
    <s v="No"/>
    <s v="No phone service"/>
    <s v="DSL"/>
    <x v="0"/>
    <s v="No"/>
    <s v="Credit card"/>
    <x v="28"/>
    <n v="1059.93"/>
    <s v="Karachi"/>
    <s v="No"/>
    <n v="0"/>
    <x v="1"/>
  </r>
  <r>
    <s v="CUST-00030"/>
    <n v="34"/>
    <s v="No"/>
    <s v="Yes"/>
    <s v="No"/>
    <n v="1"/>
    <s v="Yes"/>
    <s v="No"/>
    <s v="DSL"/>
    <x v="2"/>
    <s v="No"/>
    <s v="Bank Transfer"/>
    <x v="29"/>
    <n v="63.54"/>
    <s v="Faisalabad"/>
    <s v="No"/>
    <n v="0"/>
    <x v="1"/>
  </r>
  <r>
    <s v="CUST-00031"/>
    <n v="37"/>
    <s v="No"/>
    <s v="No"/>
    <s v="No"/>
    <n v="52"/>
    <s v="Yes"/>
    <s v="Yes"/>
    <s v="DSL"/>
    <x v="0"/>
    <s v="No"/>
    <s v="Bank Transfer"/>
    <x v="30"/>
    <n v="4012.58"/>
    <s v="Faisalabad"/>
    <s v="No"/>
    <n v="0"/>
    <x v="1"/>
  </r>
  <r>
    <s v="CUST-00032"/>
    <n v="71"/>
    <s v="Yes"/>
    <s v="Yes"/>
    <s v="No"/>
    <n v="37"/>
    <s v="No"/>
    <s v="No phone service"/>
    <s v="Fiber optic"/>
    <x v="2"/>
    <s v="No"/>
    <s v="Bank Transfer"/>
    <x v="31"/>
    <n v="3660.35"/>
    <s v="Multan"/>
    <s v="No"/>
    <n v="0"/>
    <x v="1"/>
  </r>
  <r>
    <s v="CUST-00033"/>
    <n v="28"/>
    <s v="No"/>
    <s v="Yes"/>
    <s v="No"/>
    <n v="66"/>
    <s v="No"/>
    <s v="No phone service"/>
    <s v="DSL"/>
    <x v="2"/>
    <s v="Yes"/>
    <s v="Bank Transfer"/>
    <x v="32"/>
    <n v="3116.6"/>
    <s v="Karachi"/>
    <s v="Yes"/>
    <n v="1"/>
    <x v="1"/>
  </r>
  <r>
    <s v="CUST-00034"/>
    <n v="48"/>
    <s v="No"/>
    <s v="Yes"/>
    <s v="No"/>
    <n v="54"/>
    <s v="Yes"/>
    <s v="No"/>
    <s v="No internet"/>
    <x v="2"/>
    <s v="No"/>
    <s v="Electronic check"/>
    <x v="33"/>
    <n v="1314.09"/>
    <s v="Peshawar"/>
    <s v="No"/>
    <n v="0"/>
    <x v="1"/>
  </r>
  <r>
    <s v="CUST-00035"/>
    <n v="74"/>
    <s v="Yes"/>
    <s v="Yes"/>
    <s v="No"/>
    <n v="29"/>
    <s v="No"/>
    <s v="No phone service"/>
    <s v="Fiber optic"/>
    <x v="2"/>
    <s v="Yes"/>
    <s v="Mailed check"/>
    <x v="34"/>
    <n v="2108.9699999999998"/>
    <s v="Faisalabad"/>
    <s v="No"/>
    <n v="0"/>
    <x v="1"/>
  </r>
  <r>
    <s v="CUST-00036"/>
    <n v="53"/>
    <s v="No"/>
    <s v="No"/>
    <s v="No"/>
    <n v="65"/>
    <s v="No"/>
    <s v="No phone service"/>
    <s v="Fiber optic"/>
    <x v="1"/>
    <s v="No"/>
    <s v="Credit card"/>
    <x v="35"/>
    <n v="7278.56"/>
    <s v="Peshawar"/>
    <s v="No"/>
    <n v="0"/>
    <x v="1"/>
  </r>
  <r>
    <s v="CUST-00037"/>
    <n v="51"/>
    <s v="No"/>
    <s v="No"/>
    <s v="Yes"/>
    <n v="36"/>
    <s v="No"/>
    <s v="No phone service"/>
    <s v="Fiber optic"/>
    <x v="2"/>
    <s v="No"/>
    <s v="Electronic check"/>
    <x v="36"/>
    <n v="3340.81"/>
    <s v="Multan"/>
    <s v="Yes"/>
    <n v="1"/>
    <x v="1"/>
  </r>
  <r>
    <s v="CUST-00038"/>
    <n v="27"/>
    <s v="No"/>
    <s v="Yes"/>
    <s v="Yes"/>
    <n v="54"/>
    <s v="No"/>
    <s v="No phone service"/>
    <s v="Fiber optic"/>
    <x v="2"/>
    <s v="Yes"/>
    <s v="Bank Transfer"/>
    <x v="37"/>
    <n v="4987.8"/>
    <s v="Lahore"/>
    <s v="No"/>
    <n v="0"/>
    <x v="1"/>
  </r>
  <r>
    <s v="CUST-00039"/>
    <n v="72"/>
    <s v="Yes"/>
    <s v="No"/>
    <s v="No"/>
    <n v="1"/>
    <s v="No"/>
    <s v="No phone service"/>
    <s v="No internet"/>
    <x v="0"/>
    <s v="No"/>
    <s v="Credit card"/>
    <x v="38"/>
    <n v="27.79"/>
    <s v="Rawalpindi"/>
    <s v="No"/>
    <n v="0"/>
    <x v="1"/>
  </r>
  <r>
    <s v="CUST-00040"/>
    <n v="32"/>
    <s v="No"/>
    <s v="No"/>
    <s v="No"/>
    <n v="63"/>
    <s v="No"/>
    <s v="No phone service"/>
    <s v="Fiber optic"/>
    <x v="0"/>
    <s v="No"/>
    <s v="Bank Transfer"/>
    <x v="39"/>
    <n v="7413.22"/>
    <s v="Faisalabad"/>
    <s v="No"/>
    <n v="0"/>
    <x v="1"/>
  </r>
  <r>
    <s v="CUST-00041"/>
    <n v="19"/>
    <s v="No"/>
    <s v="No"/>
    <s v="Yes"/>
    <n v="11"/>
    <s v="Yes"/>
    <s v="No"/>
    <s v="DSL"/>
    <x v="2"/>
    <s v="No"/>
    <s v="Credit card"/>
    <x v="40"/>
    <n v="522.09"/>
    <s v="Rawalpindi"/>
    <s v="No"/>
    <n v="0"/>
    <x v="1"/>
  </r>
  <r>
    <s v="CUST-00042"/>
    <n v="35"/>
    <s v="No"/>
    <s v="No"/>
    <s v="No"/>
    <n v="11"/>
    <s v="Yes"/>
    <s v="No"/>
    <s v="DSL"/>
    <x v="2"/>
    <s v="Yes"/>
    <s v="Bank Transfer"/>
    <x v="41"/>
    <n v="748.94"/>
    <s v="Karachi"/>
    <s v="No"/>
    <n v="0"/>
    <x v="1"/>
  </r>
  <r>
    <s v="CUST-00043"/>
    <n v="71"/>
    <s v="Yes"/>
    <s v="Yes"/>
    <s v="Yes"/>
    <n v="31"/>
    <s v="Yes"/>
    <s v="No"/>
    <s v="Fiber optic"/>
    <x v="2"/>
    <s v="No"/>
    <s v="Bank Transfer"/>
    <x v="42"/>
    <n v="2461.36"/>
    <s v="Lahore"/>
    <s v="No"/>
    <n v="0"/>
    <x v="1"/>
  </r>
  <r>
    <s v="CUST-00044"/>
    <n v="67"/>
    <s v="Yes"/>
    <s v="Yes"/>
    <s v="No"/>
    <n v="14"/>
    <s v="No"/>
    <s v="No phone service"/>
    <s v="DSL"/>
    <x v="0"/>
    <s v="No"/>
    <s v="Credit card"/>
    <x v="43"/>
    <n v="911.53"/>
    <s v="Multan"/>
    <s v="No"/>
    <n v="0"/>
    <x v="1"/>
  </r>
  <r>
    <s v="CUST-00045"/>
    <n v="33"/>
    <s v="No"/>
    <s v="Yes"/>
    <s v="No"/>
    <n v="16"/>
    <s v="Yes"/>
    <s v="Yes"/>
    <s v="DSL"/>
    <x v="2"/>
    <s v="No"/>
    <s v="Electronic check"/>
    <x v="44"/>
    <n v="992.74"/>
    <s v="Rawalpindi"/>
    <s v="No"/>
    <n v="0"/>
    <x v="1"/>
  </r>
  <r>
    <s v="CUST-00046"/>
    <n v="24"/>
    <s v="No"/>
    <s v="No"/>
    <s v="No"/>
    <n v="59"/>
    <s v="No"/>
    <s v="No phone service"/>
    <s v="DSL"/>
    <x v="2"/>
    <s v="No"/>
    <s v="Bank Transfer"/>
    <x v="45"/>
    <n v="4679.32"/>
    <s v="Peshawar"/>
    <s v="No"/>
    <n v="0"/>
    <x v="1"/>
  </r>
  <r>
    <s v="CUST-00047"/>
    <n v="64"/>
    <s v="Yes"/>
    <s v="No"/>
    <s v="No"/>
    <n v="32"/>
    <s v="Yes"/>
    <s v="Yes"/>
    <s v="No internet"/>
    <x v="2"/>
    <s v="No"/>
    <s v="Credit card"/>
    <x v="46"/>
    <n v="816.29"/>
    <s v="Islamabad"/>
    <s v="No"/>
    <n v="0"/>
    <x v="1"/>
  </r>
  <r>
    <s v="CUST-00048"/>
    <n v="29"/>
    <s v="No"/>
    <s v="No"/>
    <s v="Yes"/>
    <n v="46"/>
    <s v="No"/>
    <s v="No phone service"/>
    <s v="DSL"/>
    <x v="2"/>
    <s v="No"/>
    <s v="Credit card"/>
    <x v="47"/>
    <n v="2687.36"/>
    <s v="Rawalpindi"/>
    <s v="Yes"/>
    <n v="1"/>
    <x v="1"/>
  </r>
  <r>
    <s v="CUST-00049"/>
    <n v="49"/>
    <s v="No"/>
    <s v="Yes"/>
    <s v="No"/>
    <n v="63"/>
    <s v="Yes"/>
    <s v="Yes"/>
    <s v="Fiber optic"/>
    <x v="2"/>
    <s v="Yes"/>
    <s v="Electronic check"/>
    <x v="48"/>
    <n v="6222.01"/>
    <s v="Rawalpindi"/>
    <s v="No"/>
    <n v="0"/>
    <x v="1"/>
  </r>
  <r>
    <s v="CUST-00050"/>
    <n v="65"/>
    <s v="Yes"/>
    <s v="No"/>
    <s v="No"/>
    <n v="59"/>
    <s v="No"/>
    <s v="No phone service"/>
    <s v="Fiber optic"/>
    <x v="2"/>
    <s v="Yes"/>
    <s v="Electronic check"/>
    <x v="49"/>
    <n v="6663.27"/>
    <s v="Karachi"/>
    <s v="No"/>
    <n v="0"/>
    <x v="1"/>
  </r>
  <r>
    <s v="CUST-00051"/>
    <n v="31"/>
    <s v="No"/>
    <s v="No"/>
    <s v="No"/>
    <n v="68"/>
    <s v="Yes"/>
    <s v="No"/>
    <s v="DSL"/>
    <x v="2"/>
    <s v="No"/>
    <s v="Electronic check"/>
    <x v="50"/>
    <n v="2770.06"/>
    <s v="Lahore"/>
    <s v="Yes"/>
    <n v="1"/>
    <x v="1"/>
  </r>
  <r>
    <s v="CUST-00052"/>
    <n v="53"/>
    <s v="No"/>
    <s v="No"/>
    <s v="Yes"/>
    <n v="63"/>
    <s v="Yes"/>
    <s v="No"/>
    <s v="Fiber optic"/>
    <x v="2"/>
    <s v="No"/>
    <s v="Electronic check"/>
    <x v="51"/>
    <n v="7229.7"/>
    <s v="Lahore"/>
    <s v="No"/>
    <n v="0"/>
    <x v="1"/>
  </r>
  <r>
    <s v="CUST-00053"/>
    <n v="70"/>
    <s v="Yes"/>
    <s v="Yes"/>
    <s v="No"/>
    <n v="63"/>
    <s v="Yes"/>
    <s v="Yes"/>
    <s v="Fiber optic"/>
    <x v="1"/>
    <s v="No"/>
    <s v="Electronic check"/>
    <x v="52"/>
    <n v="5228.01"/>
    <s v="Faisalabad"/>
    <s v="No"/>
    <n v="0"/>
    <x v="1"/>
  </r>
  <r>
    <s v="CUST-00054"/>
    <n v="68"/>
    <s v="Yes"/>
    <s v="Yes"/>
    <s v="No"/>
    <n v="58"/>
    <s v="No"/>
    <s v="No phone service"/>
    <s v="No internet"/>
    <x v="1"/>
    <s v="No"/>
    <s v="Electronic check"/>
    <x v="53"/>
    <n v="1495.52"/>
    <s v="Peshawar"/>
    <s v="No"/>
    <n v="0"/>
    <x v="1"/>
  </r>
  <r>
    <s v="CUST-00055"/>
    <n v="31"/>
    <s v="No"/>
    <s v="Yes"/>
    <s v="No"/>
    <n v="11"/>
    <s v="Yes"/>
    <s v="No"/>
    <s v="Fiber optic"/>
    <x v="2"/>
    <s v="No"/>
    <s v="Credit card"/>
    <x v="54"/>
    <n v="1069.1199999999999"/>
    <s v="Multan"/>
    <s v="Yes"/>
    <n v="1"/>
    <x v="1"/>
  </r>
  <r>
    <s v="CUST-00056"/>
    <n v="36"/>
    <s v="No"/>
    <s v="No"/>
    <s v="Yes"/>
    <n v="30"/>
    <s v="Yes"/>
    <s v="No"/>
    <s v="No internet"/>
    <x v="2"/>
    <s v="Yes"/>
    <s v="Mailed check"/>
    <x v="55"/>
    <n v="794.52"/>
    <s v="Islamabad"/>
    <s v="Yes"/>
    <n v="1"/>
    <x v="1"/>
  </r>
  <r>
    <s v="CUST-00057"/>
    <n v="56"/>
    <s v="No"/>
    <s v="No"/>
    <s v="No"/>
    <n v="16"/>
    <s v="No"/>
    <s v="No phone service"/>
    <s v="DSL"/>
    <x v="0"/>
    <s v="No"/>
    <s v="Credit card"/>
    <x v="56"/>
    <n v="907.87"/>
    <s v="Rawalpindi"/>
    <s v="Yes"/>
    <n v="1"/>
    <x v="1"/>
  </r>
  <r>
    <s v="CUST-00058"/>
    <n v="65"/>
    <s v="Yes"/>
    <s v="No"/>
    <s v="No"/>
    <n v="4"/>
    <s v="Yes"/>
    <s v="No"/>
    <s v="Fiber optic"/>
    <x v="0"/>
    <s v="No"/>
    <s v="Credit card"/>
    <x v="57"/>
    <n v="415.78"/>
    <s v="Rawalpindi"/>
    <s v="No"/>
    <n v="0"/>
    <x v="1"/>
  </r>
  <r>
    <s v="CUST-00059"/>
    <n v="35"/>
    <s v="No"/>
    <s v="Yes"/>
    <s v="No"/>
    <n v="63"/>
    <s v="No"/>
    <s v="No phone service"/>
    <s v="No internet"/>
    <x v="2"/>
    <s v="No"/>
    <s v="Electronic check"/>
    <x v="58"/>
    <n v="1163.99"/>
    <s v="Rawalpindi"/>
    <s v="No"/>
    <n v="0"/>
    <x v="1"/>
  </r>
  <r>
    <s v="CUST-00060"/>
    <n v="36"/>
    <s v="No"/>
    <s v="No"/>
    <s v="Yes"/>
    <n v="59"/>
    <s v="No"/>
    <s v="No phone service"/>
    <s v="Fiber optic"/>
    <x v="2"/>
    <s v="No"/>
    <s v="Mailed check"/>
    <x v="59"/>
    <n v="6170.83"/>
    <s v="Rawalpindi"/>
    <s v="No"/>
    <n v="0"/>
    <x v="1"/>
  </r>
  <r>
    <s v="CUST-00061"/>
    <n v="44"/>
    <s v="No"/>
    <s v="Yes"/>
    <s v="Yes"/>
    <n v="67"/>
    <s v="No"/>
    <s v="No phone service"/>
    <s v="Fiber optic"/>
    <x v="0"/>
    <s v="Yes"/>
    <s v="Electronic check"/>
    <x v="60"/>
    <n v="6864.94"/>
    <s v="Multan"/>
    <s v="No"/>
    <n v="0"/>
    <x v="1"/>
  </r>
  <r>
    <s v="CUST-00062"/>
    <n v="49"/>
    <s v="No"/>
    <s v="Yes"/>
    <s v="Yes"/>
    <n v="31"/>
    <s v="No"/>
    <s v="No phone service"/>
    <s v="DSL"/>
    <x v="0"/>
    <s v="No"/>
    <s v="Electronic check"/>
    <x v="61"/>
    <n v="2592.8000000000002"/>
    <s v="Lahore"/>
    <s v="No"/>
    <n v="0"/>
    <x v="1"/>
  </r>
  <r>
    <s v="CUST-00063"/>
    <n v="59"/>
    <s v="No"/>
    <s v="Yes"/>
    <s v="No"/>
    <n v="38"/>
    <s v="No"/>
    <s v="No phone service"/>
    <s v="DSL"/>
    <x v="2"/>
    <s v="No"/>
    <s v="Mailed check"/>
    <x v="62"/>
    <n v="1902.13"/>
    <s v="Faisalabad"/>
    <s v="No"/>
    <n v="0"/>
    <x v="1"/>
  </r>
  <r>
    <s v="CUST-00064"/>
    <n v="50"/>
    <s v="No"/>
    <s v="Yes"/>
    <s v="Yes"/>
    <n v="36"/>
    <s v="No"/>
    <s v="No phone service"/>
    <s v="DSL"/>
    <x v="2"/>
    <s v="No"/>
    <s v="Bank Transfer"/>
    <x v="63"/>
    <n v="1802.51"/>
    <s v="Multan"/>
    <s v="No"/>
    <n v="0"/>
    <x v="1"/>
  </r>
  <r>
    <s v="CUST-00065"/>
    <n v="49"/>
    <s v="No"/>
    <s v="Yes"/>
    <s v="No"/>
    <n v="69"/>
    <s v="No"/>
    <s v="No phone service"/>
    <s v="DSL"/>
    <x v="0"/>
    <s v="No"/>
    <s v="Credit card"/>
    <x v="64"/>
    <n v="3511.73"/>
    <s v="Faisalabad"/>
    <s v="No"/>
    <n v="0"/>
    <x v="1"/>
  </r>
  <r>
    <s v="CUST-00066"/>
    <n v="42"/>
    <s v="No"/>
    <s v="Yes"/>
    <s v="No"/>
    <n v="6"/>
    <s v="No"/>
    <s v="No phone service"/>
    <s v="Fiber optic"/>
    <x v="0"/>
    <s v="No"/>
    <s v="Credit card"/>
    <x v="65"/>
    <n v="642.91"/>
    <s v="Rawalpindi"/>
    <s v="No"/>
    <n v="0"/>
    <x v="1"/>
  </r>
  <r>
    <s v="CUST-00067"/>
    <n v="20"/>
    <s v="No"/>
    <s v="Yes"/>
    <s v="No"/>
    <n v="13"/>
    <s v="No"/>
    <s v="No phone service"/>
    <s v="No internet"/>
    <x v="2"/>
    <s v="No"/>
    <s v="Electronic check"/>
    <x v="66"/>
    <n v="267.91000000000003"/>
    <s v="Lahore"/>
    <s v="No"/>
    <n v="0"/>
    <x v="1"/>
  </r>
  <r>
    <s v="CUST-00068"/>
    <n v="48"/>
    <s v="No"/>
    <s v="No"/>
    <s v="No"/>
    <n v="51"/>
    <s v="No"/>
    <s v="No phone service"/>
    <s v="DSL"/>
    <x v="1"/>
    <s v="No"/>
    <s v="Mailed check"/>
    <x v="67"/>
    <n v="3472.86"/>
    <s v="Faisalabad"/>
    <s v="No"/>
    <n v="0"/>
    <x v="1"/>
  </r>
  <r>
    <s v="CUST-00069"/>
    <n v="20"/>
    <s v="No"/>
    <s v="Yes"/>
    <s v="Yes"/>
    <n v="37"/>
    <s v="Yes"/>
    <s v="No"/>
    <s v="No internet"/>
    <x v="2"/>
    <s v="Yes"/>
    <s v="Credit card"/>
    <x v="68"/>
    <n v="1021.37"/>
    <s v="Peshawar"/>
    <s v="Yes"/>
    <n v="1"/>
    <x v="1"/>
  </r>
  <r>
    <s v="CUST-00070"/>
    <n v="21"/>
    <s v="No"/>
    <s v="No"/>
    <s v="No"/>
    <n v="48"/>
    <s v="Yes"/>
    <s v="No"/>
    <s v="Fiber optic"/>
    <x v="0"/>
    <s v="Yes"/>
    <s v="Electronic check"/>
    <x v="69"/>
    <n v="3707.56"/>
    <s v="Karachi"/>
    <s v="No"/>
    <n v="0"/>
    <x v="1"/>
  </r>
  <r>
    <s v="CUST-00071"/>
    <n v="49"/>
    <s v="No"/>
    <s v="Yes"/>
    <s v="Yes"/>
    <n v="60"/>
    <s v="No"/>
    <s v="No phone service"/>
    <s v="DSL"/>
    <x v="2"/>
    <s v="Yes"/>
    <s v="Mailed check"/>
    <x v="70"/>
    <n v="3426.98"/>
    <s v="Lahore"/>
    <s v="No"/>
    <n v="0"/>
    <x v="1"/>
  </r>
  <r>
    <s v="CUST-00072"/>
    <n v="46"/>
    <s v="No"/>
    <s v="No"/>
    <s v="No"/>
    <n v="55"/>
    <s v="No"/>
    <s v="No phone service"/>
    <s v="DSL"/>
    <x v="1"/>
    <s v="Yes"/>
    <s v="Mailed check"/>
    <x v="71"/>
    <n v="3884.7"/>
    <s v="Islamabad"/>
    <s v="No"/>
    <n v="0"/>
    <x v="1"/>
  </r>
  <r>
    <s v="CUST-00073"/>
    <n v="54"/>
    <s v="No"/>
    <s v="No"/>
    <s v="No"/>
    <n v="3"/>
    <s v="No"/>
    <s v="No phone service"/>
    <s v="No internet"/>
    <x v="2"/>
    <s v="Yes"/>
    <s v="Mailed check"/>
    <x v="72"/>
    <n v="84.05"/>
    <s v="Peshawar"/>
    <s v="No"/>
    <n v="0"/>
    <x v="1"/>
  </r>
  <r>
    <s v="CUST-00074"/>
    <n v="69"/>
    <s v="Yes"/>
    <s v="Yes"/>
    <s v="No"/>
    <n v="29"/>
    <s v="No"/>
    <s v="No phone service"/>
    <s v="DSL"/>
    <x v="0"/>
    <s v="Yes"/>
    <s v="Bank Transfer"/>
    <x v="73"/>
    <n v="2246.84"/>
    <s v="Rawalpindi"/>
    <s v="No"/>
    <n v="0"/>
    <x v="1"/>
  </r>
  <r>
    <s v="CUST-00075"/>
    <n v="20"/>
    <s v="No"/>
    <s v="No"/>
    <s v="Yes"/>
    <n v="12"/>
    <s v="No"/>
    <s v="No phone service"/>
    <s v="No internet"/>
    <x v="0"/>
    <s v="Yes"/>
    <s v="Electronic check"/>
    <x v="74"/>
    <n v="344.16"/>
    <s v="Faisalabad"/>
    <s v="No"/>
    <n v="0"/>
    <x v="1"/>
  </r>
  <r>
    <s v="CUST-00076"/>
    <n v="35"/>
    <s v="No"/>
    <s v="Yes"/>
    <s v="No"/>
    <n v="62"/>
    <s v="No"/>
    <s v="No phone service"/>
    <s v="No internet"/>
    <x v="0"/>
    <s v="No"/>
    <s v="Bank Transfer"/>
    <x v="75"/>
    <n v="1389.81"/>
    <s v="Karachi"/>
    <s v="No"/>
    <n v="0"/>
    <x v="1"/>
  </r>
  <r>
    <s v="CUST-00077"/>
    <n v="73"/>
    <s v="Yes"/>
    <s v="No"/>
    <s v="No"/>
    <n v="12"/>
    <s v="Yes"/>
    <s v="Yes"/>
    <s v="DSL"/>
    <x v="2"/>
    <s v="No"/>
    <s v="Bank Transfer"/>
    <x v="76"/>
    <n v="810.82"/>
    <s v="Islamabad"/>
    <s v="No"/>
    <n v="0"/>
    <x v="1"/>
  </r>
  <r>
    <s v="CUST-00078"/>
    <n v="24"/>
    <s v="No"/>
    <s v="Yes"/>
    <s v="No"/>
    <n v="4"/>
    <s v="No"/>
    <s v="No phone service"/>
    <s v="DSL"/>
    <x v="1"/>
    <s v="Yes"/>
    <s v="Bank Transfer"/>
    <x v="77"/>
    <n v="260.56"/>
    <s v="Multan"/>
    <s v="No"/>
    <n v="0"/>
    <x v="1"/>
  </r>
  <r>
    <s v="CUST-00079"/>
    <n v="44"/>
    <s v="No"/>
    <s v="Yes"/>
    <s v="Yes"/>
    <n v="6"/>
    <s v="No"/>
    <s v="No phone service"/>
    <s v="No internet"/>
    <x v="1"/>
    <s v="Yes"/>
    <s v="Electronic check"/>
    <x v="78"/>
    <n v="164.38"/>
    <s v="Multan"/>
    <s v="No"/>
    <n v="0"/>
    <x v="1"/>
  </r>
  <r>
    <s v="CUST-00080"/>
    <n v="65"/>
    <s v="Yes"/>
    <s v="No"/>
    <s v="Yes"/>
    <n v="54"/>
    <s v="No"/>
    <s v="No phone service"/>
    <s v="DSL"/>
    <x v="0"/>
    <s v="No"/>
    <s v="Electronic check"/>
    <x v="79"/>
    <n v="2940.17"/>
    <s v="Peshawar"/>
    <s v="No"/>
    <n v="0"/>
    <x v="1"/>
  </r>
  <r>
    <s v="CUST-00081"/>
    <n v="41"/>
    <s v="No"/>
    <s v="Yes"/>
    <s v="No"/>
    <n v="70"/>
    <s v="No"/>
    <s v="No phone service"/>
    <s v="No internet"/>
    <x v="2"/>
    <s v="No"/>
    <s v="Electronic check"/>
    <x v="80"/>
    <n v="1419.82"/>
    <s v="Multan"/>
    <s v="No"/>
    <n v="0"/>
    <x v="1"/>
  </r>
  <r>
    <s v="CUST-00082"/>
    <n v="31"/>
    <s v="No"/>
    <s v="Yes"/>
    <s v="Yes"/>
    <n v="43"/>
    <s v="Yes"/>
    <s v="No"/>
    <s v="Fiber optic"/>
    <x v="2"/>
    <s v="Yes"/>
    <s v="Credit card"/>
    <x v="81"/>
    <n v="4605.5"/>
    <s v="Peshawar"/>
    <s v="No"/>
    <n v="0"/>
    <x v="1"/>
  </r>
  <r>
    <s v="CUST-00083"/>
    <n v="75"/>
    <s v="Yes"/>
    <s v="Yes"/>
    <s v="No"/>
    <n v="19"/>
    <s v="No"/>
    <s v="No phone service"/>
    <s v="No internet"/>
    <x v="0"/>
    <s v="Yes"/>
    <s v="Bank Transfer"/>
    <x v="82"/>
    <n v="327.64"/>
    <s v="Karachi"/>
    <s v="No"/>
    <n v="0"/>
    <x v="1"/>
  </r>
  <r>
    <s v="CUST-00084"/>
    <n v="55"/>
    <s v="No"/>
    <s v="No"/>
    <s v="Yes"/>
    <n v="23"/>
    <s v="Yes"/>
    <s v="No"/>
    <s v="Fiber optic"/>
    <x v="2"/>
    <s v="Yes"/>
    <s v="Credit card"/>
    <x v="83"/>
    <n v="2508.6799999999998"/>
    <s v="Faisalabad"/>
    <s v="Yes"/>
    <n v="1"/>
    <x v="1"/>
  </r>
  <r>
    <s v="CUST-00085"/>
    <n v="32"/>
    <s v="No"/>
    <s v="Yes"/>
    <s v="No"/>
    <n v="59"/>
    <s v="Yes"/>
    <s v="Yes"/>
    <s v="DSL"/>
    <x v="2"/>
    <s v="No"/>
    <s v="Credit card"/>
    <x v="84"/>
    <n v="2681.53"/>
    <s v="Lahore"/>
    <s v="No"/>
    <n v="0"/>
    <x v="1"/>
  </r>
  <r>
    <s v="CUST-00086"/>
    <n v="38"/>
    <s v="No"/>
    <s v="Yes"/>
    <s v="Yes"/>
    <n v="17"/>
    <s v="No"/>
    <s v="No phone service"/>
    <s v="Fiber optic"/>
    <x v="2"/>
    <s v="No"/>
    <s v="Credit card"/>
    <x v="85"/>
    <n v="1622.6"/>
    <s v="Peshawar"/>
    <s v="No"/>
    <n v="0"/>
    <x v="1"/>
  </r>
  <r>
    <s v="CUST-00087"/>
    <n v="59"/>
    <s v="No"/>
    <s v="Yes"/>
    <s v="No"/>
    <n v="58"/>
    <s v="No"/>
    <s v="No phone service"/>
    <s v="No internet"/>
    <x v="2"/>
    <s v="No"/>
    <s v="Credit card"/>
    <x v="86"/>
    <n v="1517.17"/>
    <s v="Islamabad"/>
    <s v="No"/>
    <n v="0"/>
    <x v="1"/>
  </r>
  <r>
    <s v="CUST-00088"/>
    <n v="41"/>
    <s v="No"/>
    <s v="Yes"/>
    <s v="No"/>
    <n v="9"/>
    <s v="Yes"/>
    <s v="Yes"/>
    <s v="Fiber optic"/>
    <x v="2"/>
    <s v="No"/>
    <s v="Bank Transfer"/>
    <x v="87"/>
    <n v="889.51"/>
    <s v="Islamabad"/>
    <s v="No"/>
    <n v="0"/>
    <x v="1"/>
  </r>
  <r>
    <s v="CUST-00089"/>
    <n v="60"/>
    <s v="Yes"/>
    <s v="Yes"/>
    <s v="No"/>
    <n v="46"/>
    <s v="No"/>
    <s v="No phone service"/>
    <s v="No internet"/>
    <x v="1"/>
    <s v="Yes"/>
    <s v="Mailed check"/>
    <x v="88"/>
    <n v="1138.56"/>
    <s v="Karachi"/>
    <s v="No"/>
    <n v="0"/>
    <x v="1"/>
  </r>
  <r>
    <s v="CUST-00090"/>
    <n v="27"/>
    <s v="No"/>
    <s v="No"/>
    <s v="Yes"/>
    <n v="14"/>
    <s v="No"/>
    <s v="No phone service"/>
    <s v="Fiber optic"/>
    <x v="2"/>
    <s v="No"/>
    <s v="Credit card"/>
    <x v="89"/>
    <n v="1609.03"/>
    <s v="Peshawar"/>
    <s v="No"/>
    <n v="0"/>
    <x v="1"/>
  </r>
  <r>
    <s v="CUST-00091"/>
    <n v="57"/>
    <s v="No"/>
    <s v="Yes"/>
    <s v="No"/>
    <n v="4"/>
    <s v="No"/>
    <s v="No phone service"/>
    <s v="Fiber optic"/>
    <x v="1"/>
    <s v="No"/>
    <s v="Electronic check"/>
    <x v="90"/>
    <n v="457.57"/>
    <s v="Karachi"/>
    <s v="Yes"/>
    <n v="1"/>
    <x v="1"/>
  </r>
  <r>
    <s v="CUST-00092"/>
    <n v="65"/>
    <s v="Yes"/>
    <s v="Yes"/>
    <s v="Yes"/>
    <n v="68"/>
    <s v="No"/>
    <s v="No phone service"/>
    <s v="Fiber optic"/>
    <x v="2"/>
    <s v="Yes"/>
    <s v="Credit card"/>
    <x v="91"/>
    <n v="7453.07"/>
    <s v="Lahore"/>
    <s v="No"/>
    <n v="0"/>
    <x v="1"/>
  </r>
  <r>
    <s v="CUST-00093"/>
    <n v="74"/>
    <s v="Yes"/>
    <s v="Yes"/>
    <s v="Yes"/>
    <n v="21"/>
    <s v="Yes"/>
    <s v="No"/>
    <s v="DSL"/>
    <x v="2"/>
    <s v="No"/>
    <s v="Credit card"/>
    <x v="92"/>
    <n v="1178.31"/>
    <s v="Lahore"/>
    <s v="No"/>
    <n v="0"/>
    <x v="1"/>
  </r>
  <r>
    <s v="CUST-00094"/>
    <n v="40"/>
    <s v="No"/>
    <s v="No"/>
    <s v="Yes"/>
    <n v="37"/>
    <s v="No"/>
    <s v="No phone service"/>
    <s v="DSL"/>
    <x v="2"/>
    <s v="No"/>
    <s v="Electronic check"/>
    <x v="93"/>
    <n v="2089.58"/>
    <s v="Islamabad"/>
    <s v="Yes"/>
    <n v="1"/>
    <x v="1"/>
  </r>
  <r>
    <s v="CUST-00095"/>
    <n v="31"/>
    <s v="No"/>
    <s v="Yes"/>
    <s v="No"/>
    <n v="38"/>
    <s v="Yes"/>
    <s v="No"/>
    <s v="Fiber optic"/>
    <x v="2"/>
    <s v="Yes"/>
    <s v="Credit card"/>
    <x v="94"/>
    <n v="3996.97"/>
    <s v="Peshawar"/>
    <s v="No"/>
    <n v="0"/>
    <x v="1"/>
  </r>
  <r>
    <s v="CUST-00096"/>
    <n v="40"/>
    <s v="No"/>
    <s v="Yes"/>
    <s v="No"/>
    <n v="6"/>
    <s v="No"/>
    <s v="No phone service"/>
    <s v="Fiber optic"/>
    <x v="1"/>
    <s v="No"/>
    <s v="Credit card"/>
    <x v="95"/>
    <n v="606.9"/>
    <s v="Lahore"/>
    <s v="Yes"/>
    <n v="1"/>
    <x v="1"/>
  </r>
  <r>
    <s v="CUST-00097"/>
    <n v="43"/>
    <s v="No"/>
    <s v="Yes"/>
    <s v="No"/>
    <n v="22"/>
    <s v="No"/>
    <s v="No phone service"/>
    <s v="No internet"/>
    <x v="1"/>
    <s v="No"/>
    <s v="Electronic check"/>
    <x v="96"/>
    <n v="599.79999999999995"/>
    <s v="Faisalabad"/>
    <s v="No"/>
    <n v="0"/>
    <x v="1"/>
  </r>
  <r>
    <s v="CUST-00098"/>
    <n v="23"/>
    <s v="No"/>
    <s v="No"/>
    <s v="No"/>
    <n v="44"/>
    <s v="Yes"/>
    <s v="Yes"/>
    <s v="Fiber optic"/>
    <x v="0"/>
    <s v="Yes"/>
    <s v="Mailed check"/>
    <x v="97"/>
    <n v="3953.69"/>
    <s v="Peshawar"/>
    <s v="No"/>
    <n v="0"/>
    <x v="1"/>
  </r>
  <r>
    <s v="CUST-00099"/>
    <n v="27"/>
    <s v="No"/>
    <s v="Yes"/>
    <s v="Yes"/>
    <n v="19"/>
    <s v="Yes"/>
    <s v="No"/>
    <s v="Fiber optic"/>
    <x v="0"/>
    <s v="Yes"/>
    <s v="Electronic check"/>
    <x v="98"/>
    <n v="2062.6999999999998"/>
    <s v="Peshawar"/>
    <s v="No"/>
    <n v="0"/>
    <x v="1"/>
  </r>
  <r>
    <s v="CUST-00100"/>
    <n v="55"/>
    <s v="No"/>
    <s v="No"/>
    <s v="No"/>
    <n v="41"/>
    <s v="Yes"/>
    <s v="No"/>
    <s v="Fiber optic"/>
    <x v="0"/>
    <s v="No"/>
    <s v="Credit card"/>
    <x v="99"/>
    <n v="3408.08"/>
    <s v="Lahore"/>
    <s v="No"/>
    <n v="0"/>
    <x v="1"/>
  </r>
  <r>
    <s v="CUST-00101"/>
    <n v="21"/>
    <s v="No"/>
    <s v="No"/>
    <s v="No"/>
    <n v="10"/>
    <s v="Yes"/>
    <s v="No"/>
    <s v="DSL"/>
    <x v="2"/>
    <s v="No"/>
    <s v="Credit card"/>
    <x v="100"/>
    <n v="804.11"/>
    <s v="Peshawar"/>
    <s v="Yes"/>
    <n v="1"/>
    <x v="1"/>
  </r>
  <r>
    <s v="CUST-00102"/>
    <n v="54"/>
    <s v="No"/>
    <s v="Yes"/>
    <s v="No"/>
    <n v="61"/>
    <s v="Yes"/>
    <s v="No"/>
    <s v="DSL"/>
    <x v="1"/>
    <s v="No"/>
    <s v="Mailed check"/>
    <x v="101"/>
    <n v="2691.96"/>
    <s v="Multan"/>
    <s v="Yes"/>
    <n v="1"/>
    <x v="1"/>
  </r>
  <r>
    <s v="CUST-00103"/>
    <n v="46"/>
    <s v="No"/>
    <s v="No"/>
    <s v="Yes"/>
    <n v="47"/>
    <s v="No"/>
    <s v="No phone service"/>
    <s v="Fiber optic"/>
    <x v="2"/>
    <s v="No"/>
    <s v="Bank Transfer"/>
    <x v="102"/>
    <n v="3466.75"/>
    <s v="Islamabad"/>
    <s v="Yes"/>
    <n v="1"/>
    <x v="1"/>
  </r>
  <r>
    <s v="CUST-00104"/>
    <n v="24"/>
    <s v="No"/>
    <s v="No"/>
    <s v="No"/>
    <n v="33"/>
    <s v="Yes"/>
    <s v="Yes"/>
    <s v="DSL"/>
    <x v="0"/>
    <s v="Yes"/>
    <s v="Mailed check"/>
    <x v="103"/>
    <n v="1761.92"/>
    <s v="Karachi"/>
    <s v="No"/>
    <n v="0"/>
    <x v="1"/>
  </r>
  <r>
    <s v="CUST-00105"/>
    <n v="56"/>
    <s v="No"/>
    <s v="Yes"/>
    <s v="No"/>
    <n v="72"/>
    <s v="No"/>
    <s v="No phone service"/>
    <s v="Fiber optic"/>
    <x v="1"/>
    <s v="Yes"/>
    <s v="Bank Transfer"/>
    <x v="104"/>
    <n v="6455.4"/>
    <s v="Karachi"/>
    <s v="No"/>
    <n v="0"/>
    <x v="1"/>
  </r>
  <r>
    <s v="CUST-00106"/>
    <n v="31"/>
    <s v="No"/>
    <s v="No"/>
    <s v="No"/>
    <n v="25"/>
    <s v="Yes"/>
    <s v="Yes"/>
    <s v="Fiber optic"/>
    <x v="2"/>
    <s v="Yes"/>
    <s v="Credit card"/>
    <x v="105"/>
    <n v="2494.19"/>
    <s v="Multan"/>
    <s v="No"/>
    <n v="0"/>
    <x v="1"/>
  </r>
  <r>
    <s v="CUST-00107"/>
    <n v="39"/>
    <s v="No"/>
    <s v="Yes"/>
    <s v="No"/>
    <n v="20"/>
    <s v="Yes"/>
    <s v="No"/>
    <s v="Fiber optic"/>
    <x v="2"/>
    <s v="No"/>
    <s v="Bank Transfer"/>
    <x v="106"/>
    <n v="1626.63"/>
    <s v="Multan"/>
    <s v="Yes"/>
    <n v="1"/>
    <x v="1"/>
  </r>
  <r>
    <s v="CUST-00108"/>
    <n v="68"/>
    <s v="Yes"/>
    <s v="No"/>
    <s v="Yes"/>
    <n v="69"/>
    <s v="No"/>
    <s v="No phone service"/>
    <s v="Fiber optic"/>
    <x v="1"/>
    <s v="Yes"/>
    <s v="Credit card"/>
    <x v="107"/>
    <n v="8568.59"/>
    <s v="Islamabad"/>
    <s v="No"/>
    <n v="0"/>
    <x v="1"/>
  </r>
  <r>
    <s v="CUST-00109"/>
    <n v="67"/>
    <s v="Yes"/>
    <s v="No"/>
    <s v="No"/>
    <n v="21"/>
    <s v="Yes"/>
    <s v="No"/>
    <s v="No internet"/>
    <x v="2"/>
    <s v="No"/>
    <s v="Mailed check"/>
    <x v="108"/>
    <n v="492.96"/>
    <s v="Peshawar"/>
    <s v="No"/>
    <n v="0"/>
    <x v="1"/>
  </r>
  <r>
    <s v="CUST-00110"/>
    <n v="25"/>
    <s v="No"/>
    <s v="No"/>
    <s v="Yes"/>
    <n v="21"/>
    <s v="Yes"/>
    <s v="No"/>
    <s v="Fiber optic"/>
    <x v="2"/>
    <s v="Yes"/>
    <s v="Bank Transfer"/>
    <x v="109"/>
    <n v="2522.75"/>
    <s v="Rawalpindi"/>
    <s v="No"/>
    <n v="0"/>
    <x v="1"/>
  </r>
  <r>
    <s v="CUST-00111"/>
    <n v="50"/>
    <s v="No"/>
    <s v="No"/>
    <s v="Yes"/>
    <n v="50"/>
    <s v="No"/>
    <s v="No phone service"/>
    <s v="No internet"/>
    <x v="2"/>
    <s v="No"/>
    <s v="Mailed check"/>
    <x v="110"/>
    <n v="1428.76"/>
    <s v="Karachi"/>
    <s v="No"/>
    <n v="0"/>
    <x v="1"/>
  </r>
  <r>
    <s v="CUST-00112"/>
    <n v="20"/>
    <s v="No"/>
    <s v="No"/>
    <s v="No"/>
    <n v="18"/>
    <s v="No"/>
    <s v="No phone service"/>
    <s v="DSL"/>
    <x v="2"/>
    <s v="Yes"/>
    <s v="Mailed check"/>
    <x v="111"/>
    <n v="708.65"/>
    <s v="Multan"/>
    <s v="Yes"/>
    <n v="1"/>
    <x v="1"/>
  </r>
  <r>
    <s v="CUST-00113"/>
    <n v="56"/>
    <s v="No"/>
    <s v="No"/>
    <s v="Yes"/>
    <n v="37"/>
    <s v="Yes"/>
    <s v="Yes"/>
    <s v="Fiber optic"/>
    <x v="2"/>
    <s v="No"/>
    <s v="Electronic check"/>
    <x v="112"/>
    <n v="4137.63"/>
    <s v="Multan"/>
    <s v="No"/>
    <n v="0"/>
    <x v="1"/>
  </r>
  <r>
    <s v="CUST-00114"/>
    <n v="50"/>
    <s v="No"/>
    <s v="Yes"/>
    <s v="Yes"/>
    <n v="38"/>
    <s v="No"/>
    <s v="No phone service"/>
    <s v="Fiber optic"/>
    <x v="2"/>
    <s v="No"/>
    <s v="Electronic check"/>
    <x v="113"/>
    <n v="3940.65"/>
    <s v="Faisalabad"/>
    <s v="Yes"/>
    <n v="1"/>
    <x v="1"/>
  </r>
  <r>
    <s v="CUST-00115"/>
    <n v="52"/>
    <s v="No"/>
    <s v="Yes"/>
    <s v="No"/>
    <n v="61"/>
    <s v="No"/>
    <s v="No phone service"/>
    <s v="Fiber optic"/>
    <x v="1"/>
    <s v="No"/>
    <s v="Bank Transfer"/>
    <x v="114"/>
    <n v="5080.76"/>
    <s v="Multan"/>
    <s v="No"/>
    <n v="0"/>
    <x v="1"/>
  </r>
  <r>
    <s v="CUST-00116"/>
    <n v="58"/>
    <s v="No"/>
    <s v="Yes"/>
    <s v="No"/>
    <n v="18"/>
    <s v="No"/>
    <s v="No phone service"/>
    <s v="Fiber optic"/>
    <x v="1"/>
    <s v="Yes"/>
    <s v="Bank Transfer"/>
    <x v="115"/>
    <n v="1984.39"/>
    <s v="Karachi"/>
    <s v="No"/>
    <n v="0"/>
    <x v="1"/>
  </r>
  <r>
    <s v="CUST-00117"/>
    <n v="69"/>
    <s v="Yes"/>
    <s v="Yes"/>
    <s v="Yes"/>
    <n v="59"/>
    <s v="Yes"/>
    <s v="Yes"/>
    <s v="Fiber optic"/>
    <x v="2"/>
    <s v="Yes"/>
    <s v="Electronic check"/>
    <x v="116"/>
    <n v="4982.8900000000003"/>
    <s v="Rawalpindi"/>
    <s v="No"/>
    <n v="0"/>
    <x v="1"/>
  </r>
  <r>
    <s v="CUST-00118"/>
    <n v="34"/>
    <s v="No"/>
    <s v="Yes"/>
    <s v="Yes"/>
    <n v="37"/>
    <s v="Yes"/>
    <s v="No"/>
    <s v="Fiber optic"/>
    <x v="2"/>
    <s v="Yes"/>
    <s v="Bank Transfer"/>
    <x v="117"/>
    <n v="3357.68"/>
    <s v="Rawalpindi"/>
    <s v="No"/>
    <n v="0"/>
    <x v="1"/>
  </r>
  <r>
    <s v="CUST-00119"/>
    <n v="39"/>
    <s v="No"/>
    <s v="Yes"/>
    <s v="No"/>
    <n v="64"/>
    <s v="No"/>
    <s v="No phone service"/>
    <s v="Fiber optic"/>
    <x v="1"/>
    <s v="No"/>
    <s v="Electronic check"/>
    <x v="118"/>
    <n v="6655.54"/>
    <s v="Islamabad"/>
    <s v="No"/>
    <n v="0"/>
    <x v="1"/>
  </r>
  <r>
    <s v="CUST-00120"/>
    <n v="24"/>
    <s v="No"/>
    <s v="Yes"/>
    <s v="No"/>
    <n v="38"/>
    <s v="No"/>
    <s v="No phone service"/>
    <s v="Fiber optic"/>
    <x v="2"/>
    <s v="No"/>
    <s v="Credit card"/>
    <x v="119"/>
    <n v="2862.25"/>
    <s v="Rawalpindi"/>
    <s v="Yes"/>
    <n v="1"/>
    <x v="1"/>
  </r>
  <r>
    <s v="CUST-00121"/>
    <n v="35"/>
    <s v="No"/>
    <s v="Yes"/>
    <s v="Yes"/>
    <n v="52"/>
    <s v="Yes"/>
    <s v="No"/>
    <s v="Fiber optic"/>
    <x v="2"/>
    <s v="No"/>
    <s v="Electronic check"/>
    <x v="120"/>
    <n v="3942.21"/>
    <s v="Rawalpindi"/>
    <s v="Yes"/>
    <n v="1"/>
    <x v="1"/>
  </r>
  <r>
    <s v="CUST-00122"/>
    <n v="54"/>
    <s v="No"/>
    <s v="Yes"/>
    <s v="Yes"/>
    <n v="58"/>
    <s v="No"/>
    <s v="No phone service"/>
    <s v="No internet"/>
    <x v="2"/>
    <s v="Yes"/>
    <s v="Credit card"/>
    <x v="121"/>
    <n v="1395.02"/>
    <s v="Karachi"/>
    <s v="No"/>
    <n v="0"/>
    <x v="1"/>
  </r>
  <r>
    <s v="CUST-00123"/>
    <n v="25"/>
    <s v="No"/>
    <s v="Yes"/>
    <s v="Yes"/>
    <n v="64"/>
    <s v="Yes"/>
    <s v="Yes"/>
    <s v="DSL"/>
    <x v="2"/>
    <s v="No"/>
    <s v="Electronic check"/>
    <x v="122"/>
    <n v="4222.78"/>
    <s v="Karachi"/>
    <s v="No"/>
    <n v="0"/>
    <x v="1"/>
  </r>
  <r>
    <s v="CUST-00124"/>
    <n v="25"/>
    <s v="No"/>
    <s v="Yes"/>
    <s v="Yes"/>
    <n v="58"/>
    <s v="No"/>
    <s v="No phone service"/>
    <s v="Fiber optic"/>
    <x v="1"/>
    <s v="No"/>
    <s v="Bank Transfer"/>
    <x v="123"/>
    <n v="6154.54"/>
    <s v="Islamabad"/>
    <s v="No"/>
    <n v="0"/>
    <x v="1"/>
  </r>
  <r>
    <s v="CUST-00125"/>
    <n v="72"/>
    <s v="Yes"/>
    <s v="Yes"/>
    <s v="Yes"/>
    <n v="47"/>
    <s v="Yes"/>
    <s v="No"/>
    <s v="DSL"/>
    <x v="0"/>
    <s v="Yes"/>
    <s v="Bank Transfer"/>
    <x v="124"/>
    <n v="1941.86"/>
    <s v="Peshawar"/>
    <s v="No"/>
    <n v="0"/>
    <x v="1"/>
  </r>
  <r>
    <s v="CUST-00126"/>
    <n v="53"/>
    <s v="No"/>
    <s v="Yes"/>
    <s v="Yes"/>
    <n v="9"/>
    <s v="No"/>
    <s v="No phone service"/>
    <s v="Fiber optic"/>
    <x v="2"/>
    <s v="No"/>
    <s v="Bank Transfer"/>
    <x v="125"/>
    <n v="700.8"/>
    <s v="Rawalpindi"/>
    <s v="No"/>
    <n v="0"/>
    <x v="1"/>
  </r>
  <r>
    <s v="CUST-00127"/>
    <n v="47"/>
    <s v="No"/>
    <s v="No"/>
    <s v="Yes"/>
    <n v="71"/>
    <s v="Yes"/>
    <s v="No"/>
    <s v="DSL"/>
    <x v="2"/>
    <s v="Yes"/>
    <s v="Bank Transfer"/>
    <x v="126"/>
    <n v="4209.79"/>
    <s v="Multan"/>
    <s v="Yes"/>
    <n v="1"/>
    <x v="1"/>
  </r>
  <r>
    <s v="CUST-00128"/>
    <n v="32"/>
    <s v="No"/>
    <s v="No"/>
    <s v="No"/>
    <n v="11"/>
    <s v="No"/>
    <s v="No phone service"/>
    <s v="Fiber optic"/>
    <x v="2"/>
    <s v="No"/>
    <s v="Bank Transfer"/>
    <x v="127"/>
    <n v="835.27"/>
    <s v="Faisalabad"/>
    <s v="No"/>
    <n v="0"/>
    <x v="1"/>
  </r>
  <r>
    <s v="CUST-00129"/>
    <n v="27"/>
    <s v="No"/>
    <s v="Yes"/>
    <s v="No"/>
    <n v="6"/>
    <s v="Yes"/>
    <s v="Yes"/>
    <s v="No internet"/>
    <x v="1"/>
    <s v="No"/>
    <s v="Bank Transfer"/>
    <x v="128"/>
    <n v="161.57"/>
    <s v="Rawalpindi"/>
    <s v="No"/>
    <n v="0"/>
    <x v="1"/>
  </r>
  <r>
    <s v="CUST-00130"/>
    <n v="74"/>
    <s v="Yes"/>
    <s v="No"/>
    <s v="No"/>
    <n v="62"/>
    <s v="No"/>
    <s v="No phone service"/>
    <s v="Fiber optic"/>
    <x v="2"/>
    <s v="Yes"/>
    <s v="Bank Transfer"/>
    <x v="129"/>
    <n v="4780.8999999999996"/>
    <s v="Islamabad"/>
    <s v="No"/>
    <n v="0"/>
    <x v="1"/>
  </r>
  <r>
    <s v="CUST-00131"/>
    <n v="56"/>
    <s v="No"/>
    <s v="Yes"/>
    <s v="No"/>
    <n v="41"/>
    <s v="No"/>
    <s v="No phone service"/>
    <s v="DSL"/>
    <x v="1"/>
    <s v="Yes"/>
    <s v="Bank Transfer"/>
    <x v="130"/>
    <n v="2367.1799999999998"/>
    <s v="Lahore"/>
    <s v="No"/>
    <n v="0"/>
    <x v="1"/>
  </r>
  <r>
    <s v="CUST-00132"/>
    <n v="35"/>
    <s v="No"/>
    <s v="No"/>
    <s v="Yes"/>
    <n v="19"/>
    <s v="No"/>
    <s v="No phone service"/>
    <s v="Fiber optic"/>
    <x v="1"/>
    <s v="No"/>
    <s v="Electronic check"/>
    <x v="131"/>
    <n v="2064.25"/>
    <s v="Faisalabad"/>
    <s v="No"/>
    <n v="0"/>
    <x v="1"/>
  </r>
  <r>
    <s v="CUST-00133"/>
    <n v="64"/>
    <s v="Yes"/>
    <s v="No"/>
    <s v="Yes"/>
    <n v="21"/>
    <s v="No"/>
    <s v="No phone service"/>
    <s v="DSL"/>
    <x v="2"/>
    <s v="No"/>
    <s v="Credit card"/>
    <x v="132"/>
    <n v="903.87"/>
    <s v="Karachi"/>
    <s v="No"/>
    <n v="0"/>
    <x v="1"/>
  </r>
  <r>
    <s v="CUST-00134"/>
    <n v="31"/>
    <s v="No"/>
    <s v="No"/>
    <s v="Yes"/>
    <n v="7"/>
    <s v="No"/>
    <s v="No phone service"/>
    <s v="Fiber optic"/>
    <x v="2"/>
    <s v="Yes"/>
    <s v="Bank Transfer"/>
    <x v="133"/>
    <n v="670.26"/>
    <s v="Peshawar"/>
    <s v="No"/>
    <n v="0"/>
    <x v="1"/>
  </r>
  <r>
    <s v="CUST-00135"/>
    <n v="43"/>
    <s v="No"/>
    <s v="No"/>
    <s v="Yes"/>
    <n v="52"/>
    <s v="Yes"/>
    <s v="No"/>
    <s v="Fiber optic"/>
    <x v="2"/>
    <s v="No"/>
    <s v="Credit card"/>
    <x v="134"/>
    <n v="5478.69"/>
    <s v="Multan"/>
    <s v="No"/>
    <n v="0"/>
    <x v="1"/>
  </r>
  <r>
    <s v="CUST-00136"/>
    <n v="57"/>
    <s v="No"/>
    <s v="Yes"/>
    <s v="Yes"/>
    <n v="13"/>
    <s v="No"/>
    <s v="No phone service"/>
    <s v="Fiber optic"/>
    <x v="0"/>
    <s v="No"/>
    <s v="Bank Transfer"/>
    <x v="135"/>
    <n v="1040.49"/>
    <s v="Lahore"/>
    <s v="No"/>
    <n v="0"/>
    <x v="1"/>
  </r>
  <r>
    <s v="CUST-00137"/>
    <n v="20"/>
    <s v="No"/>
    <s v="Yes"/>
    <s v="No"/>
    <n v="61"/>
    <s v="Yes"/>
    <s v="No"/>
    <s v="DSL"/>
    <x v="2"/>
    <s v="No"/>
    <s v="Mailed check"/>
    <x v="136"/>
    <n v="3175.81"/>
    <s v="Peshawar"/>
    <s v="No"/>
    <n v="0"/>
    <x v="1"/>
  </r>
  <r>
    <s v="CUST-00138"/>
    <n v="37"/>
    <s v="No"/>
    <s v="No"/>
    <s v="No"/>
    <n v="39"/>
    <s v="Yes"/>
    <s v="No"/>
    <s v="DSL"/>
    <x v="0"/>
    <s v="No"/>
    <s v="Credit card"/>
    <x v="137"/>
    <n v="2878.72"/>
    <s v="Lahore"/>
    <s v="No"/>
    <n v="0"/>
    <x v="1"/>
  </r>
  <r>
    <s v="CUST-00139"/>
    <n v="56"/>
    <s v="No"/>
    <s v="No"/>
    <s v="No"/>
    <n v="30"/>
    <s v="No"/>
    <s v="No phone service"/>
    <s v="DSL"/>
    <x v="2"/>
    <s v="No"/>
    <s v="Electronic check"/>
    <x v="138"/>
    <n v="1903.53"/>
    <s v="Lahore"/>
    <s v="No"/>
    <n v="0"/>
    <x v="1"/>
  </r>
  <r>
    <s v="CUST-00140"/>
    <n v="30"/>
    <s v="No"/>
    <s v="Yes"/>
    <s v="No"/>
    <n v="41"/>
    <s v="No"/>
    <s v="No phone service"/>
    <s v="Fiber optic"/>
    <x v="0"/>
    <s v="No"/>
    <s v="Credit card"/>
    <x v="139"/>
    <n v="4109.32"/>
    <s v="Multan"/>
    <s v="No"/>
    <n v="0"/>
    <x v="1"/>
  </r>
  <r>
    <s v="CUST-00141"/>
    <n v="21"/>
    <s v="No"/>
    <s v="Yes"/>
    <s v="Yes"/>
    <n v="72"/>
    <s v="No"/>
    <s v="No phone service"/>
    <s v="Fiber optic"/>
    <x v="2"/>
    <s v="No"/>
    <s v="Mailed check"/>
    <x v="140"/>
    <n v="6721.17"/>
    <s v="Multan"/>
    <s v="No"/>
    <n v="0"/>
    <x v="1"/>
  </r>
  <r>
    <s v="CUST-00142"/>
    <n v="67"/>
    <s v="Yes"/>
    <s v="No"/>
    <s v="No"/>
    <n v="25"/>
    <s v="No"/>
    <s v="No phone service"/>
    <s v="No internet"/>
    <x v="0"/>
    <s v="Yes"/>
    <s v="Mailed check"/>
    <x v="141"/>
    <n v="768.98"/>
    <s v="Multan"/>
    <s v="No"/>
    <n v="0"/>
    <x v="1"/>
  </r>
  <r>
    <s v="CUST-00143"/>
    <n v="63"/>
    <s v="Yes"/>
    <s v="No"/>
    <s v="No"/>
    <n v="62"/>
    <s v="No"/>
    <s v="No phone service"/>
    <s v="Fiber optic"/>
    <x v="2"/>
    <s v="No"/>
    <s v="Mailed check"/>
    <x v="142"/>
    <n v="5459.87"/>
    <s v="Karachi"/>
    <s v="No"/>
    <n v="0"/>
    <x v="1"/>
  </r>
  <r>
    <s v="CUST-00144"/>
    <n v="36"/>
    <s v="No"/>
    <s v="Yes"/>
    <s v="No"/>
    <n v="11"/>
    <s v="No"/>
    <s v="No phone service"/>
    <s v="Fiber optic"/>
    <x v="0"/>
    <s v="No"/>
    <s v="Electronic check"/>
    <x v="143"/>
    <n v="1191.75"/>
    <s v="Islamabad"/>
    <s v="No"/>
    <n v="0"/>
    <x v="1"/>
  </r>
  <r>
    <s v="CUST-00145"/>
    <n v="26"/>
    <s v="No"/>
    <s v="Yes"/>
    <s v="Yes"/>
    <n v="32"/>
    <s v="Yes"/>
    <s v="No"/>
    <s v="Fiber optic"/>
    <x v="2"/>
    <s v="No"/>
    <s v="Electronic check"/>
    <x v="144"/>
    <n v="3060.98"/>
    <s v="Faisalabad"/>
    <s v="Yes"/>
    <n v="1"/>
    <x v="1"/>
  </r>
  <r>
    <s v="CUST-00146"/>
    <n v="28"/>
    <s v="No"/>
    <s v="No"/>
    <s v="No"/>
    <n v="62"/>
    <s v="No"/>
    <s v="No phone service"/>
    <s v="DSL"/>
    <x v="2"/>
    <s v="Yes"/>
    <s v="Mailed check"/>
    <x v="145"/>
    <n v="2726"/>
    <s v="Multan"/>
    <s v="No"/>
    <n v="0"/>
    <x v="1"/>
  </r>
  <r>
    <s v="CUST-00147"/>
    <n v="72"/>
    <s v="Yes"/>
    <s v="Yes"/>
    <s v="Yes"/>
    <n v="54"/>
    <s v="Yes"/>
    <s v="No"/>
    <s v="No internet"/>
    <x v="2"/>
    <s v="No"/>
    <s v="Bank Transfer"/>
    <x v="146"/>
    <n v="1125.6199999999999"/>
    <s v="Islamabad"/>
    <s v="No"/>
    <n v="0"/>
    <x v="1"/>
  </r>
  <r>
    <s v="CUST-00148"/>
    <n v="74"/>
    <s v="Yes"/>
    <s v="Yes"/>
    <s v="Yes"/>
    <n v="39"/>
    <s v="Yes"/>
    <s v="No"/>
    <s v="DSL"/>
    <x v="2"/>
    <s v="No"/>
    <s v="Mailed check"/>
    <x v="147"/>
    <n v="2405.71"/>
    <s v="Peshawar"/>
    <s v="No"/>
    <n v="0"/>
    <x v="1"/>
  </r>
  <r>
    <s v="CUST-00149"/>
    <n v="50"/>
    <s v="No"/>
    <s v="No"/>
    <s v="No"/>
    <n v="25"/>
    <s v="No"/>
    <s v="No phone service"/>
    <s v="No internet"/>
    <x v="2"/>
    <s v="No"/>
    <s v="Bank Transfer"/>
    <x v="148"/>
    <n v="626.69000000000005"/>
    <s v="Islamabad"/>
    <s v="No"/>
    <n v="0"/>
    <x v="1"/>
  </r>
  <r>
    <s v="CUST-00150"/>
    <n v="54"/>
    <s v="No"/>
    <s v="Yes"/>
    <s v="Yes"/>
    <n v="52"/>
    <s v="No"/>
    <s v="No phone service"/>
    <s v="No internet"/>
    <x v="2"/>
    <s v="Yes"/>
    <s v="Electronic check"/>
    <x v="149"/>
    <n v="1002.21"/>
    <s v="Islamabad"/>
    <s v="Yes"/>
    <n v="1"/>
    <x v="1"/>
  </r>
  <r>
    <s v="CUST-00151"/>
    <n v="42"/>
    <s v="No"/>
    <s v="Yes"/>
    <s v="No"/>
    <n v="35"/>
    <s v="No"/>
    <s v="No phone service"/>
    <s v="No internet"/>
    <x v="0"/>
    <s v="Yes"/>
    <s v="Electronic check"/>
    <x v="150"/>
    <n v="756.14"/>
    <s v="Rawalpindi"/>
    <s v="No"/>
    <n v="0"/>
    <x v="1"/>
  </r>
  <r>
    <s v="CUST-00152"/>
    <n v="37"/>
    <s v="No"/>
    <s v="Yes"/>
    <s v="No"/>
    <n v="65"/>
    <s v="No"/>
    <s v="No phone service"/>
    <s v="No internet"/>
    <x v="0"/>
    <s v="No"/>
    <s v="Credit card"/>
    <x v="151"/>
    <n v="1415.92"/>
    <s v="Rawalpindi"/>
    <s v="No"/>
    <n v="0"/>
    <x v="1"/>
  </r>
  <r>
    <s v="CUST-00153"/>
    <n v="65"/>
    <s v="Yes"/>
    <s v="No"/>
    <s v="No"/>
    <n v="71"/>
    <s v="Yes"/>
    <s v="No"/>
    <s v="No internet"/>
    <x v="0"/>
    <s v="Yes"/>
    <s v="Credit card"/>
    <x v="152"/>
    <n v="1699.48"/>
    <s v="Lahore"/>
    <s v="No"/>
    <n v="0"/>
    <x v="1"/>
  </r>
  <r>
    <s v="CUST-00154"/>
    <n v="21"/>
    <s v="No"/>
    <s v="Yes"/>
    <s v="Yes"/>
    <n v="22"/>
    <s v="No"/>
    <s v="No phone service"/>
    <s v="Fiber optic"/>
    <x v="2"/>
    <s v="Yes"/>
    <s v="Bank Transfer"/>
    <x v="153"/>
    <n v="2177.13"/>
    <s v="Lahore"/>
    <s v="No"/>
    <n v="0"/>
    <x v="1"/>
  </r>
  <r>
    <s v="CUST-00155"/>
    <n v="47"/>
    <s v="No"/>
    <s v="Yes"/>
    <s v="No"/>
    <n v="59"/>
    <s v="No"/>
    <s v="No phone service"/>
    <s v="DSL"/>
    <x v="0"/>
    <s v="No"/>
    <s v="Bank Transfer"/>
    <x v="154"/>
    <n v="3419.67"/>
    <s v="Faisalabad"/>
    <s v="No"/>
    <n v="0"/>
    <x v="1"/>
  </r>
  <r>
    <s v="CUST-00156"/>
    <n v="22"/>
    <s v="No"/>
    <s v="Yes"/>
    <s v="No"/>
    <n v="45"/>
    <s v="Yes"/>
    <s v="No"/>
    <s v="DSL"/>
    <x v="2"/>
    <s v="No"/>
    <s v="Electronic check"/>
    <x v="155"/>
    <n v="2617.6"/>
    <s v="Multan"/>
    <s v="No"/>
    <n v="0"/>
    <x v="1"/>
  </r>
  <r>
    <s v="CUST-00157"/>
    <n v="59"/>
    <s v="No"/>
    <s v="No"/>
    <s v="No"/>
    <n v="49"/>
    <s v="No"/>
    <s v="No phone service"/>
    <s v="Fiber optic"/>
    <x v="2"/>
    <s v="Yes"/>
    <s v="Bank Transfer"/>
    <x v="156"/>
    <n v="4116.8900000000003"/>
    <s v="Faisalabad"/>
    <s v="No"/>
    <n v="0"/>
    <x v="1"/>
  </r>
  <r>
    <s v="CUST-00158"/>
    <n v="26"/>
    <s v="No"/>
    <s v="Yes"/>
    <s v="Yes"/>
    <n v="3"/>
    <s v="No"/>
    <s v="No phone service"/>
    <s v="No internet"/>
    <x v="0"/>
    <s v="No"/>
    <s v="Credit card"/>
    <x v="157"/>
    <n v="81.11"/>
    <s v="Islamabad"/>
    <s v="No"/>
    <n v="0"/>
    <x v="1"/>
  </r>
  <r>
    <s v="CUST-00159"/>
    <n v="30"/>
    <s v="No"/>
    <s v="Yes"/>
    <s v="Yes"/>
    <n v="54"/>
    <s v="Yes"/>
    <s v="Yes"/>
    <s v="DSL"/>
    <x v="2"/>
    <s v="Yes"/>
    <s v="Credit card"/>
    <x v="158"/>
    <n v="3772.83"/>
    <s v="Lahore"/>
    <s v="Yes"/>
    <n v="1"/>
    <x v="1"/>
  </r>
  <r>
    <s v="CUST-00160"/>
    <n v="43"/>
    <s v="No"/>
    <s v="No"/>
    <s v="Yes"/>
    <n v="70"/>
    <s v="Yes"/>
    <s v="Yes"/>
    <s v="Fiber optic"/>
    <x v="1"/>
    <s v="Yes"/>
    <s v="Bank Transfer"/>
    <x v="159"/>
    <n v="7298.47"/>
    <s v="Multan"/>
    <s v="No"/>
    <n v="0"/>
    <x v="1"/>
  </r>
  <r>
    <s v="CUST-00161"/>
    <n v="70"/>
    <s v="Yes"/>
    <s v="No"/>
    <s v="Yes"/>
    <n v="39"/>
    <s v="Yes"/>
    <s v="No"/>
    <s v="No internet"/>
    <x v="2"/>
    <s v="Yes"/>
    <s v="Bank Transfer"/>
    <x v="160"/>
    <n v="901.6"/>
    <s v="Multan"/>
    <s v="No"/>
    <n v="0"/>
    <x v="1"/>
  </r>
  <r>
    <s v="CUST-00162"/>
    <n v="60"/>
    <s v="Yes"/>
    <s v="No"/>
    <s v="No"/>
    <n v="54"/>
    <s v="No"/>
    <s v="No phone service"/>
    <s v="Fiber optic"/>
    <x v="2"/>
    <s v="No"/>
    <s v="Electronic check"/>
    <x v="161"/>
    <n v="4576.87"/>
    <s v="Rawalpindi"/>
    <s v="Yes"/>
    <n v="1"/>
    <x v="1"/>
  </r>
  <r>
    <s v="CUST-00163"/>
    <n v="21"/>
    <s v="No"/>
    <s v="No"/>
    <s v="No"/>
    <n v="72"/>
    <s v="No"/>
    <s v="No phone service"/>
    <s v="DSL"/>
    <x v="2"/>
    <s v="Yes"/>
    <s v="Electronic check"/>
    <x v="162"/>
    <n v="3088.8"/>
    <s v="Faisalabad"/>
    <s v="Yes"/>
    <n v="1"/>
    <x v="1"/>
  </r>
  <r>
    <s v="CUST-00164"/>
    <n v="64"/>
    <s v="Yes"/>
    <s v="Yes"/>
    <s v="Yes"/>
    <n v="35"/>
    <s v="Yes"/>
    <s v="No"/>
    <s v="Fiber optic"/>
    <x v="2"/>
    <s v="Yes"/>
    <s v="Credit card"/>
    <x v="163"/>
    <n v="3891.85"/>
    <s v="Lahore"/>
    <s v="No"/>
    <n v="0"/>
    <x v="1"/>
  </r>
  <r>
    <s v="CUST-00165"/>
    <n v="31"/>
    <s v="No"/>
    <s v="Yes"/>
    <s v="Yes"/>
    <n v="62"/>
    <s v="Yes"/>
    <s v="No"/>
    <s v="No internet"/>
    <x v="2"/>
    <s v="No"/>
    <s v="Bank Transfer"/>
    <x v="164"/>
    <n v="1404.99"/>
    <s v="Islamabad"/>
    <s v="No"/>
    <n v="0"/>
    <x v="1"/>
  </r>
  <r>
    <s v="CUST-00166"/>
    <n v="41"/>
    <s v="No"/>
    <s v="No"/>
    <s v="No"/>
    <n v="13"/>
    <s v="No"/>
    <s v="No phone service"/>
    <s v="No internet"/>
    <x v="0"/>
    <s v="No"/>
    <s v="Mailed check"/>
    <x v="165"/>
    <n v="288.83999999999997"/>
    <s v="Karachi"/>
    <s v="No"/>
    <n v="0"/>
    <x v="1"/>
  </r>
  <r>
    <s v="CUST-00167"/>
    <n v="65"/>
    <s v="Yes"/>
    <s v="Yes"/>
    <s v="Yes"/>
    <n v="34"/>
    <s v="No"/>
    <s v="No phone service"/>
    <s v="DSL"/>
    <x v="2"/>
    <s v="Yes"/>
    <s v="Electronic check"/>
    <x v="166"/>
    <n v="1951.53"/>
    <s v="Multan"/>
    <s v="No"/>
    <n v="0"/>
    <x v="1"/>
  </r>
  <r>
    <s v="CUST-00168"/>
    <n v="61"/>
    <s v="Yes"/>
    <s v="No"/>
    <s v="No"/>
    <n v="63"/>
    <s v="No"/>
    <s v="No phone service"/>
    <s v="No internet"/>
    <x v="2"/>
    <s v="No"/>
    <s v="Electronic check"/>
    <x v="167"/>
    <n v="1675.97"/>
    <s v="Faisalabad"/>
    <s v="No"/>
    <n v="0"/>
    <x v="1"/>
  </r>
  <r>
    <s v="CUST-00169"/>
    <n v="59"/>
    <s v="No"/>
    <s v="Yes"/>
    <s v="Yes"/>
    <n v="10"/>
    <s v="Yes"/>
    <s v="No"/>
    <s v="No internet"/>
    <x v="2"/>
    <s v="Yes"/>
    <s v="Electronic check"/>
    <x v="168"/>
    <n v="191.41"/>
    <s v="Lahore"/>
    <s v="No"/>
    <n v="0"/>
    <x v="1"/>
  </r>
  <r>
    <s v="CUST-00170"/>
    <n v="57"/>
    <s v="No"/>
    <s v="No"/>
    <s v="No"/>
    <n v="3"/>
    <s v="No"/>
    <s v="No phone service"/>
    <s v="Fiber optic"/>
    <x v="2"/>
    <s v="No"/>
    <s v="Credit card"/>
    <x v="169"/>
    <n v="253.06"/>
    <s v="Rawalpindi"/>
    <s v="No"/>
    <n v="0"/>
    <x v="1"/>
  </r>
  <r>
    <s v="CUST-00171"/>
    <n v="69"/>
    <s v="Yes"/>
    <s v="Yes"/>
    <s v="Yes"/>
    <n v="13"/>
    <s v="Yes"/>
    <s v="Yes"/>
    <s v="DSL"/>
    <x v="2"/>
    <s v="No"/>
    <s v="Electronic check"/>
    <x v="170"/>
    <n v="715.37"/>
    <s v="Faisalabad"/>
    <s v="No"/>
    <n v="0"/>
    <x v="1"/>
  </r>
  <r>
    <s v="CUST-00172"/>
    <n v="33"/>
    <s v="No"/>
    <s v="Yes"/>
    <s v="No"/>
    <n v="11"/>
    <s v="Yes"/>
    <s v="Yes"/>
    <s v="DSL"/>
    <x v="2"/>
    <s v="No"/>
    <s v="Electronic check"/>
    <x v="171"/>
    <n v="426.66"/>
    <s v="Rawalpindi"/>
    <s v="No"/>
    <n v="0"/>
    <x v="1"/>
  </r>
  <r>
    <s v="CUST-00173"/>
    <n v="59"/>
    <s v="No"/>
    <s v="No"/>
    <s v="Yes"/>
    <n v="68"/>
    <s v="Yes"/>
    <s v="Yes"/>
    <s v="No internet"/>
    <x v="1"/>
    <s v="No"/>
    <s v="Electronic check"/>
    <x v="172"/>
    <n v="2021.9"/>
    <s v="Faisalabad"/>
    <s v="No"/>
    <n v="0"/>
    <x v="1"/>
  </r>
  <r>
    <s v="CUST-00174"/>
    <n v="54"/>
    <s v="No"/>
    <s v="Yes"/>
    <s v="Yes"/>
    <n v="41"/>
    <s v="Yes"/>
    <s v="No"/>
    <s v="Fiber optic"/>
    <x v="0"/>
    <s v="No"/>
    <s v="Mailed check"/>
    <x v="173"/>
    <n v="3510.09"/>
    <s v="Peshawar"/>
    <s v="No"/>
    <n v="0"/>
    <x v="1"/>
  </r>
  <r>
    <s v="CUST-00175"/>
    <n v="42"/>
    <s v="No"/>
    <s v="No"/>
    <s v="No"/>
    <n v="18"/>
    <s v="Yes"/>
    <s v="No"/>
    <s v="DSL"/>
    <x v="1"/>
    <s v="Yes"/>
    <s v="Electronic check"/>
    <x v="174"/>
    <n v="842.08"/>
    <s v="Faisalabad"/>
    <s v="No"/>
    <n v="0"/>
    <x v="1"/>
  </r>
  <r>
    <s v="CUST-00176"/>
    <n v="56"/>
    <s v="No"/>
    <s v="No"/>
    <s v="No"/>
    <n v="4"/>
    <s v="No"/>
    <s v="No phone service"/>
    <s v="DSL"/>
    <x v="2"/>
    <s v="No"/>
    <s v="Credit card"/>
    <x v="175"/>
    <n v="211.78"/>
    <s v="Rawalpindi"/>
    <s v="No"/>
    <n v="0"/>
    <x v="1"/>
  </r>
  <r>
    <s v="CUST-00177"/>
    <n v="23"/>
    <s v="No"/>
    <s v="No"/>
    <s v="Yes"/>
    <n v="10"/>
    <s v="Yes"/>
    <s v="No"/>
    <s v="Fiber optic"/>
    <x v="0"/>
    <s v="Yes"/>
    <s v="Bank Transfer"/>
    <x v="176"/>
    <n v="817.78"/>
    <s v="Islamabad"/>
    <s v="Yes"/>
    <n v="1"/>
    <x v="1"/>
  </r>
  <r>
    <s v="CUST-00178"/>
    <n v="46"/>
    <s v="No"/>
    <s v="No"/>
    <s v="No"/>
    <n v="14"/>
    <s v="Yes"/>
    <s v="No"/>
    <s v="Fiber optic"/>
    <x v="0"/>
    <s v="No"/>
    <s v="Electronic check"/>
    <x v="177"/>
    <n v="1049.5"/>
    <s v="Peshawar"/>
    <s v="No"/>
    <n v="0"/>
    <x v="1"/>
  </r>
  <r>
    <s v="CUST-00179"/>
    <n v="38"/>
    <s v="No"/>
    <s v="No"/>
    <s v="Yes"/>
    <n v="38"/>
    <s v="Yes"/>
    <s v="No"/>
    <s v="Fiber optic"/>
    <x v="0"/>
    <s v="Yes"/>
    <s v="Credit card"/>
    <x v="178"/>
    <n v="2939.56"/>
    <s v="Islamabad"/>
    <s v="Yes"/>
    <n v="1"/>
    <x v="1"/>
  </r>
  <r>
    <s v="CUST-00180"/>
    <n v="35"/>
    <s v="No"/>
    <s v="No"/>
    <s v="Yes"/>
    <n v="9"/>
    <s v="No"/>
    <s v="No phone service"/>
    <s v="Fiber optic"/>
    <x v="2"/>
    <s v="No"/>
    <s v="Bank Transfer"/>
    <x v="179"/>
    <n v="834.79"/>
    <s v="Rawalpindi"/>
    <s v="No"/>
    <n v="0"/>
    <x v="1"/>
  </r>
  <r>
    <s v="CUST-00181"/>
    <n v="56"/>
    <s v="No"/>
    <s v="Yes"/>
    <s v="No"/>
    <n v="14"/>
    <s v="Yes"/>
    <s v="No"/>
    <s v="Fiber optic"/>
    <x v="2"/>
    <s v="No"/>
    <s v="Bank Transfer"/>
    <x v="180"/>
    <n v="1186.71"/>
    <s v="Peshawar"/>
    <s v="No"/>
    <n v="0"/>
    <x v="1"/>
  </r>
  <r>
    <s v="CUST-00182"/>
    <n v="59"/>
    <s v="No"/>
    <s v="Yes"/>
    <s v="No"/>
    <n v="42"/>
    <s v="Yes"/>
    <s v="No"/>
    <s v="DSL"/>
    <x v="2"/>
    <s v="No"/>
    <s v="Mailed check"/>
    <x v="181"/>
    <n v="2220.48"/>
    <s v="Faisalabad"/>
    <s v="No"/>
    <n v="0"/>
    <x v="1"/>
  </r>
  <r>
    <s v="CUST-00183"/>
    <n v="68"/>
    <s v="Yes"/>
    <s v="Yes"/>
    <s v="No"/>
    <n v="49"/>
    <s v="No"/>
    <s v="No phone service"/>
    <s v="Fiber optic"/>
    <x v="2"/>
    <s v="Yes"/>
    <s v="Credit card"/>
    <x v="182"/>
    <n v="4870.66"/>
    <s v="Multan"/>
    <s v="No"/>
    <n v="0"/>
    <x v="1"/>
  </r>
  <r>
    <s v="CUST-00184"/>
    <n v="47"/>
    <s v="No"/>
    <s v="Yes"/>
    <s v="No"/>
    <n v="38"/>
    <s v="Yes"/>
    <s v="No"/>
    <s v="No internet"/>
    <x v="0"/>
    <s v="No"/>
    <s v="Bank Transfer"/>
    <x v="183"/>
    <n v="729.78"/>
    <s v="Karachi"/>
    <s v="No"/>
    <n v="0"/>
    <x v="1"/>
  </r>
  <r>
    <s v="CUST-00185"/>
    <n v="63"/>
    <s v="Yes"/>
    <s v="No"/>
    <s v="No"/>
    <n v="10"/>
    <s v="No"/>
    <s v="No phone service"/>
    <s v="Fiber optic"/>
    <x v="0"/>
    <s v="No"/>
    <s v="Credit card"/>
    <x v="184"/>
    <n v="1076.94"/>
    <s v="Faisalabad"/>
    <s v="No"/>
    <n v="0"/>
    <x v="1"/>
  </r>
  <r>
    <s v="CUST-00186"/>
    <n v="56"/>
    <s v="No"/>
    <s v="Yes"/>
    <s v="Yes"/>
    <n v="32"/>
    <s v="No"/>
    <s v="No phone service"/>
    <s v="DSL"/>
    <x v="2"/>
    <s v="Yes"/>
    <s v="Credit card"/>
    <x v="185"/>
    <n v="2142.6799999999998"/>
    <s v="Islamabad"/>
    <s v="No"/>
    <n v="0"/>
    <x v="1"/>
  </r>
  <r>
    <s v="CUST-00187"/>
    <n v="68"/>
    <s v="Yes"/>
    <s v="No"/>
    <s v="Yes"/>
    <n v="2"/>
    <s v="Yes"/>
    <s v="No"/>
    <s v="Fiber optic"/>
    <x v="2"/>
    <s v="Yes"/>
    <s v="Credit card"/>
    <x v="186"/>
    <n v="184.97"/>
    <s v="Faisalabad"/>
    <s v="No"/>
    <n v="0"/>
    <x v="1"/>
  </r>
  <r>
    <s v="CUST-00188"/>
    <n v="27"/>
    <s v="No"/>
    <s v="No"/>
    <s v="Yes"/>
    <n v="62"/>
    <s v="No"/>
    <s v="No phone service"/>
    <s v="Fiber optic"/>
    <x v="1"/>
    <s v="Yes"/>
    <s v="Electronic check"/>
    <x v="187"/>
    <n v="6943.87"/>
    <s v="Rawalpindi"/>
    <s v="No"/>
    <n v="0"/>
    <x v="1"/>
  </r>
  <r>
    <s v="CUST-00189"/>
    <n v="68"/>
    <s v="Yes"/>
    <s v="Yes"/>
    <s v="No"/>
    <n v="45"/>
    <s v="No"/>
    <s v="No phone service"/>
    <s v="DSL"/>
    <x v="0"/>
    <s v="No"/>
    <s v="Electronic check"/>
    <x v="188"/>
    <n v="2427.5700000000002"/>
    <s v="Peshawar"/>
    <s v="Yes"/>
    <n v="1"/>
    <x v="1"/>
  </r>
  <r>
    <s v="CUST-00190"/>
    <n v="39"/>
    <s v="No"/>
    <s v="Yes"/>
    <s v="Yes"/>
    <n v="32"/>
    <s v="Yes"/>
    <s v="Yes"/>
    <s v="DSL"/>
    <x v="2"/>
    <s v="No"/>
    <s v="Electronic check"/>
    <x v="189"/>
    <n v="1730.3"/>
    <s v="Rawalpindi"/>
    <s v="No"/>
    <n v="0"/>
    <x v="1"/>
  </r>
  <r>
    <s v="CUST-00191"/>
    <n v="43"/>
    <s v="No"/>
    <s v="Yes"/>
    <s v="Yes"/>
    <n v="58"/>
    <s v="No"/>
    <s v="No phone service"/>
    <s v="DSL"/>
    <x v="2"/>
    <s v="Yes"/>
    <s v="Electronic check"/>
    <x v="190"/>
    <n v="4215.83"/>
    <s v="Lahore"/>
    <s v="Yes"/>
    <n v="1"/>
    <x v="1"/>
  </r>
  <r>
    <s v="CUST-00192"/>
    <n v="69"/>
    <s v="Yes"/>
    <s v="Yes"/>
    <s v="No"/>
    <n v="42"/>
    <s v="Yes"/>
    <s v="Yes"/>
    <s v="Fiber optic"/>
    <x v="1"/>
    <s v="No"/>
    <s v="Credit card"/>
    <x v="139"/>
    <n v="4268.04"/>
    <s v="Peshawar"/>
    <s v="No"/>
    <n v="0"/>
    <x v="1"/>
  </r>
  <r>
    <s v="CUST-00193"/>
    <n v="47"/>
    <s v="No"/>
    <s v="Yes"/>
    <s v="No"/>
    <n v="11"/>
    <s v="No"/>
    <s v="No phone service"/>
    <s v="DSL"/>
    <x v="2"/>
    <s v="No"/>
    <s v="Electronic check"/>
    <x v="191"/>
    <n v="578.23"/>
    <s v="Faisalabad"/>
    <s v="Yes"/>
    <n v="1"/>
    <x v="1"/>
  </r>
  <r>
    <s v="CUST-00194"/>
    <n v="26"/>
    <s v="No"/>
    <s v="No"/>
    <s v="No"/>
    <n v="24"/>
    <s v="Yes"/>
    <s v="No"/>
    <s v="DSL"/>
    <x v="2"/>
    <s v="Yes"/>
    <s v="Electronic check"/>
    <x v="192"/>
    <n v="1793.66"/>
    <s v="Lahore"/>
    <s v="No"/>
    <n v="0"/>
    <x v="1"/>
  </r>
  <r>
    <s v="CUST-00195"/>
    <n v="49"/>
    <s v="No"/>
    <s v="Yes"/>
    <s v="Yes"/>
    <n v="50"/>
    <s v="No"/>
    <s v="No phone service"/>
    <s v="No internet"/>
    <x v="2"/>
    <s v="No"/>
    <s v="Credit card"/>
    <x v="193"/>
    <n v="1402.1"/>
    <s v="Lahore"/>
    <s v="Yes"/>
    <n v="1"/>
    <x v="1"/>
  </r>
  <r>
    <s v="CUST-00196"/>
    <n v="68"/>
    <s v="Yes"/>
    <s v="Yes"/>
    <s v="No"/>
    <n v="5"/>
    <s v="No"/>
    <s v="No phone service"/>
    <s v="Fiber optic"/>
    <x v="2"/>
    <s v="No"/>
    <s v="Credit card"/>
    <x v="194"/>
    <n v="542.84"/>
    <s v="Faisalabad"/>
    <s v="Yes"/>
    <n v="1"/>
    <x v="1"/>
  </r>
  <r>
    <s v="CUST-00197"/>
    <n v="25"/>
    <s v="No"/>
    <s v="No"/>
    <s v="No"/>
    <n v="70"/>
    <s v="Yes"/>
    <s v="No"/>
    <s v="No internet"/>
    <x v="2"/>
    <s v="Yes"/>
    <s v="Mailed check"/>
    <x v="195"/>
    <n v="1399.42"/>
    <s v="Islamabad"/>
    <s v="No"/>
    <n v="0"/>
    <x v="1"/>
  </r>
  <r>
    <s v="CUST-00198"/>
    <n v="73"/>
    <s v="Yes"/>
    <s v="Yes"/>
    <s v="No"/>
    <n v="34"/>
    <s v="Yes"/>
    <s v="No"/>
    <s v="Fiber optic"/>
    <x v="1"/>
    <s v="Yes"/>
    <s v="Electronic check"/>
    <x v="196"/>
    <n v="3716.4"/>
    <s v="Faisalabad"/>
    <s v="No"/>
    <n v="0"/>
    <x v="1"/>
  </r>
  <r>
    <s v="CUST-00199"/>
    <n v="58"/>
    <s v="No"/>
    <s v="No"/>
    <s v="Yes"/>
    <n v="18"/>
    <s v="Yes"/>
    <s v="No"/>
    <s v="DSL"/>
    <x v="0"/>
    <s v="No"/>
    <s v="Credit card"/>
    <x v="197"/>
    <n v="889.68"/>
    <s v="Faisalabad"/>
    <s v="No"/>
    <n v="0"/>
    <x v="1"/>
  </r>
  <r>
    <s v="CUST-00200"/>
    <n v="35"/>
    <s v="No"/>
    <s v="Yes"/>
    <s v="Yes"/>
    <n v="53"/>
    <s v="No"/>
    <s v="No phone service"/>
    <s v="No internet"/>
    <x v="1"/>
    <s v="Yes"/>
    <s v="Bank Transfer"/>
    <x v="198"/>
    <n v="994.19"/>
    <s v="Karachi"/>
    <s v="No"/>
    <n v="0"/>
    <x v="1"/>
  </r>
  <r>
    <s v="CUST-00201"/>
    <n v="66"/>
    <s v="Yes"/>
    <s v="No"/>
    <s v="No"/>
    <n v="19"/>
    <s v="No"/>
    <s v="No phone service"/>
    <s v="DSL"/>
    <x v="0"/>
    <s v="No"/>
    <s v="Credit card"/>
    <x v="199"/>
    <n v="1298.29"/>
    <s v="Faisalabad"/>
    <s v="Yes"/>
    <n v="1"/>
    <x v="1"/>
  </r>
  <r>
    <s v="CUST-00202"/>
    <n v="65"/>
    <s v="Yes"/>
    <s v="No"/>
    <s v="No"/>
    <n v="59"/>
    <s v="No"/>
    <s v="No phone service"/>
    <s v="No internet"/>
    <x v="0"/>
    <s v="Yes"/>
    <s v="Bank Transfer"/>
    <x v="200"/>
    <n v="1413.81"/>
    <s v="Lahore"/>
    <s v="No"/>
    <n v="0"/>
    <x v="1"/>
  </r>
  <r>
    <s v="CUST-00203"/>
    <n v="68"/>
    <s v="Yes"/>
    <s v="No"/>
    <s v="Yes"/>
    <n v="55"/>
    <s v="No"/>
    <s v="No phone service"/>
    <s v="No internet"/>
    <x v="2"/>
    <s v="No"/>
    <s v="Electronic check"/>
    <x v="201"/>
    <n v="1382.59"/>
    <s v="Islamabad"/>
    <s v="No"/>
    <n v="0"/>
    <x v="1"/>
  </r>
  <r>
    <s v="CUST-00204"/>
    <n v="75"/>
    <s v="Yes"/>
    <s v="Yes"/>
    <s v="Yes"/>
    <n v="13"/>
    <s v="No"/>
    <s v="No phone service"/>
    <s v="DSL"/>
    <x v="2"/>
    <s v="Yes"/>
    <s v="Credit card"/>
    <x v="202"/>
    <n v="548.99"/>
    <s v="Multan"/>
    <s v="Yes"/>
    <n v="1"/>
    <x v="1"/>
  </r>
  <r>
    <s v="CUST-00205"/>
    <n v="26"/>
    <s v="No"/>
    <s v="No"/>
    <s v="Yes"/>
    <n v="36"/>
    <s v="No"/>
    <s v="No phone service"/>
    <s v="Fiber optic"/>
    <x v="2"/>
    <s v="No"/>
    <s v="Bank Transfer"/>
    <x v="203"/>
    <n v="3489.83"/>
    <s v="Multan"/>
    <s v="No"/>
    <n v="0"/>
    <x v="1"/>
  </r>
  <r>
    <s v="CUST-00206"/>
    <n v="62"/>
    <s v="Yes"/>
    <s v="Yes"/>
    <s v="No"/>
    <n v="12"/>
    <s v="Yes"/>
    <s v="Yes"/>
    <s v="DSL"/>
    <x v="2"/>
    <s v="Yes"/>
    <s v="Credit card"/>
    <x v="204"/>
    <n v="652.66"/>
    <s v="Lahore"/>
    <s v="Yes"/>
    <n v="1"/>
    <x v="1"/>
  </r>
  <r>
    <s v="CUST-00207"/>
    <n v="73"/>
    <s v="Yes"/>
    <s v="No"/>
    <s v="Yes"/>
    <n v="62"/>
    <s v="No"/>
    <s v="No phone service"/>
    <s v="Fiber optic"/>
    <x v="2"/>
    <s v="Yes"/>
    <s v="Electronic check"/>
    <x v="205"/>
    <n v="5347.56"/>
    <s v="Peshawar"/>
    <s v="Yes"/>
    <n v="1"/>
    <x v="1"/>
  </r>
  <r>
    <s v="CUST-00208"/>
    <n v="66"/>
    <s v="Yes"/>
    <s v="Yes"/>
    <s v="Yes"/>
    <n v="9"/>
    <s v="Yes"/>
    <s v="No"/>
    <s v="DSL"/>
    <x v="2"/>
    <s v="No"/>
    <s v="Bank Transfer"/>
    <x v="206"/>
    <n v="561.55999999999995"/>
    <s v="Multan"/>
    <s v="No"/>
    <n v="0"/>
    <x v="1"/>
  </r>
  <r>
    <s v="CUST-00209"/>
    <n v="46"/>
    <s v="No"/>
    <s v="Yes"/>
    <s v="Yes"/>
    <n v="13"/>
    <s v="Yes"/>
    <s v="No"/>
    <s v="Fiber optic"/>
    <x v="2"/>
    <s v="No"/>
    <s v="Electronic check"/>
    <x v="207"/>
    <n v="974.08"/>
    <s v="Faisalabad"/>
    <s v="Yes"/>
    <n v="1"/>
    <x v="1"/>
  </r>
  <r>
    <s v="CUST-00210"/>
    <n v="56"/>
    <s v="No"/>
    <s v="No"/>
    <s v="Yes"/>
    <n v="39"/>
    <s v="Yes"/>
    <s v="No"/>
    <s v="Fiber optic"/>
    <x v="2"/>
    <s v="Yes"/>
    <s v="Bank Transfer"/>
    <x v="208"/>
    <n v="4144.1000000000004"/>
    <s v="Karachi"/>
    <s v="Yes"/>
    <n v="1"/>
    <x v="1"/>
  </r>
  <r>
    <s v="CUST-00211"/>
    <n v="49"/>
    <s v="No"/>
    <s v="Yes"/>
    <s v="Yes"/>
    <n v="47"/>
    <s v="Yes"/>
    <s v="No"/>
    <s v="No internet"/>
    <x v="1"/>
    <s v="No"/>
    <s v="Credit card"/>
    <x v="209"/>
    <n v="1270.22"/>
    <s v="Peshawar"/>
    <s v="No"/>
    <n v="0"/>
    <x v="1"/>
  </r>
  <r>
    <s v="CUST-00212"/>
    <n v="22"/>
    <s v="No"/>
    <s v="Yes"/>
    <s v="Yes"/>
    <n v="2"/>
    <s v="Yes"/>
    <s v="No"/>
    <s v="Fiber optic"/>
    <x v="1"/>
    <s v="No"/>
    <s v="Credit card"/>
    <x v="210"/>
    <n v="202.89"/>
    <s v="Multan"/>
    <s v="No"/>
    <n v="0"/>
    <x v="1"/>
  </r>
  <r>
    <s v="CUST-00213"/>
    <n v="43"/>
    <s v="No"/>
    <s v="Yes"/>
    <s v="Yes"/>
    <n v="36"/>
    <s v="Yes"/>
    <s v="No"/>
    <s v="Fiber optic"/>
    <x v="2"/>
    <s v="Yes"/>
    <s v="Credit card"/>
    <x v="211"/>
    <n v="3275.39"/>
    <s v="Multan"/>
    <s v="No"/>
    <n v="0"/>
    <x v="1"/>
  </r>
  <r>
    <s v="CUST-00214"/>
    <n v="59"/>
    <s v="No"/>
    <s v="Yes"/>
    <s v="No"/>
    <n v="56"/>
    <s v="Yes"/>
    <s v="Yes"/>
    <s v="DSL"/>
    <x v="2"/>
    <s v="No"/>
    <s v="Electronic check"/>
    <x v="212"/>
    <n v="3418.6"/>
    <s v="Multan"/>
    <s v="No"/>
    <n v="0"/>
    <x v="1"/>
  </r>
  <r>
    <s v="CUST-00215"/>
    <n v="65"/>
    <s v="Yes"/>
    <s v="Yes"/>
    <s v="Yes"/>
    <n v="2"/>
    <s v="Yes"/>
    <s v="Yes"/>
    <s v="DSL"/>
    <x v="1"/>
    <s v="No"/>
    <s v="Electronic check"/>
    <x v="213"/>
    <n v="93.2"/>
    <s v="Lahore"/>
    <s v="Yes"/>
    <n v="1"/>
    <x v="1"/>
  </r>
  <r>
    <s v="CUST-00216"/>
    <n v="67"/>
    <s v="Yes"/>
    <s v="Yes"/>
    <s v="No"/>
    <n v="55"/>
    <s v="Yes"/>
    <s v="Yes"/>
    <s v="Fiber optic"/>
    <x v="1"/>
    <s v="Yes"/>
    <s v="Credit card"/>
    <x v="214"/>
    <n v="4974.38"/>
    <s v="Karachi"/>
    <s v="No"/>
    <n v="0"/>
    <x v="1"/>
  </r>
  <r>
    <s v="CUST-00217"/>
    <n v="41"/>
    <s v="No"/>
    <s v="Yes"/>
    <s v="No"/>
    <n v="14"/>
    <s v="Yes"/>
    <s v="Yes"/>
    <s v="No internet"/>
    <x v="2"/>
    <s v="Yes"/>
    <s v="Mailed check"/>
    <x v="215"/>
    <n v="240.26"/>
    <s v="Karachi"/>
    <s v="No"/>
    <n v="0"/>
    <x v="1"/>
  </r>
  <r>
    <s v="CUST-00218"/>
    <n v="29"/>
    <s v="No"/>
    <s v="Yes"/>
    <s v="No"/>
    <n v="29"/>
    <s v="No"/>
    <s v="No phone service"/>
    <s v="Fiber optic"/>
    <x v="1"/>
    <s v="No"/>
    <s v="Electronic check"/>
    <x v="216"/>
    <n v="2110.1"/>
    <s v="Lahore"/>
    <s v="No"/>
    <n v="0"/>
    <x v="1"/>
  </r>
  <r>
    <s v="CUST-00219"/>
    <n v="29"/>
    <s v="No"/>
    <s v="Yes"/>
    <s v="Yes"/>
    <n v="52"/>
    <s v="No"/>
    <s v="No phone service"/>
    <s v="Fiber optic"/>
    <x v="1"/>
    <s v="No"/>
    <s v="Electronic check"/>
    <x v="217"/>
    <n v="4777.99"/>
    <s v="Faisalabad"/>
    <s v="Yes"/>
    <n v="1"/>
    <x v="1"/>
  </r>
  <r>
    <s v="CUST-00220"/>
    <n v="68"/>
    <s v="Yes"/>
    <s v="No"/>
    <s v="Yes"/>
    <n v="60"/>
    <s v="No"/>
    <s v="No phone service"/>
    <s v="Fiber optic"/>
    <x v="1"/>
    <s v="Yes"/>
    <s v="Bank Transfer"/>
    <x v="218"/>
    <n v="6047.21"/>
    <s v="Rawalpindi"/>
    <s v="Yes"/>
    <n v="1"/>
    <x v="1"/>
  </r>
  <r>
    <s v="CUST-00221"/>
    <n v="19"/>
    <s v="No"/>
    <s v="Yes"/>
    <s v="No"/>
    <n v="2"/>
    <s v="Yes"/>
    <s v="No"/>
    <s v="No internet"/>
    <x v="2"/>
    <s v="No"/>
    <s v="Electronic check"/>
    <x v="219"/>
    <n v="47.19"/>
    <s v="Lahore"/>
    <s v="Yes"/>
    <n v="1"/>
    <x v="1"/>
  </r>
  <r>
    <s v="CUST-00222"/>
    <n v="27"/>
    <s v="No"/>
    <s v="No"/>
    <s v="Yes"/>
    <n v="6"/>
    <s v="No"/>
    <s v="No phone service"/>
    <s v="No internet"/>
    <x v="0"/>
    <s v="No"/>
    <s v="Credit card"/>
    <x v="220"/>
    <n v="163.38999999999999"/>
    <s v="Multan"/>
    <s v="No"/>
    <n v="0"/>
    <x v="1"/>
  </r>
  <r>
    <s v="CUST-00223"/>
    <n v="70"/>
    <s v="Yes"/>
    <s v="No"/>
    <s v="Yes"/>
    <n v="8"/>
    <s v="Yes"/>
    <s v="Yes"/>
    <s v="Fiber optic"/>
    <x v="2"/>
    <s v="No"/>
    <s v="Mailed check"/>
    <x v="221"/>
    <n v="745.76"/>
    <s v="Rawalpindi"/>
    <s v="Yes"/>
    <n v="1"/>
    <x v="1"/>
  </r>
  <r>
    <s v="CUST-00224"/>
    <n v="35"/>
    <s v="No"/>
    <s v="Yes"/>
    <s v="Yes"/>
    <n v="26"/>
    <s v="Yes"/>
    <s v="Yes"/>
    <s v="Fiber optic"/>
    <x v="2"/>
    <s v="No"/>
    <s v="Electronic check"/>
    <x v="222"/>
    <n v="1943.42"/>
    <s v="Rawalpindi"/>
    <s v="No"/>
    <n v="0"/>
    <x v="1"/>
  </r>
  <r>
    <s v="CUST-00225"/>
    <n v="37"/>
    <s v="No"/>
    <s v="No"/>
    <s v="No"/>
    <n v="16"/>
    <s v="No"/>
    <s v="No phone service"/>
    <s v="Fiber optic"/>
    <x v="1"/>
    <s v="Yes"/>
    <s v="Electronic check"/>
    <x v="223"/>
    <n v="1729.1"/>
    <s v="Islamabad"/>
    <s v="No"/>
    <n v="0"/>
    <x v="1"/>
  </r>
  <r>
    <s v="CUST-00226"/>
    <n v="43"/>
    <s v="No"/>
    <s v="Yes"/>
    <s v="No"/>
    <n v="34"/>
    <s v="Yes"/>
    <s v="Yes"/>
    <s v="No internet"/>
    <x v="2"/>
    <s v="No"/>
    <s v="Credit card"/>
    <x v="224"/>
    <n v="795.72"/>
    <s v="Peshawar"/>
    <s v="Yes"/>
    <n v="1"/>
    <x v="1"/>
  </r>
  <r>
    <s v="CUST-00227"/>
    <n v="26"/>
    <s v="No"/>
    <s v="Yes"/>
    <s v="Yes"/>
    <n v="8"/>
    <s v="Yes"/>
    <s v="Yes"/>
    <s v="No internet"/>
    <x v="1"/>
    <s v="No"/>
    <s v="Bank Transfer"/>
    <x v="225"/>
    <n v="222.32"/>
    <s v="Peshawar"/>
    <s v="No"/>
    <n v="0"/>
    <x v="1"/>
  </r>
  <r>
    <s v="CUST-00228"/>
    <n v="22"/>
    <s v="No"/>
    <s v="Yes"/>
    <s v="Yes"/>
    <n v="26"/>
    <s v="No"/>
    <s v="No phone service"/>
    <s v="No internet"/>
    <x v="1"/>
    <s v="Yes"/>
    <s v="Mailed check"/>
    <x v="226"/>
    <n v="712.01"/>
    <s v="Rawalpindi"/>
    <s v="Yes"/>
    <n v="1"/>
    <x v="1"/>
  </r>
  <r>
    <s v="CUST-00229"/>
    <n v="21"/>
    <s v="No"/>
    <s v="Yes"/>
    <s v="No"/>
    <n v="51"/>
    <s v="No"/>
    <s v="No phone service"/>
    <s v="DSL"/>
    <x v="0"/>
    <s v="Yes"/>
    <s v="Credit card"/>
    <x v="21"/>
    <n v="3787.72"/>
    <s v="Karachi"/>
    <s v="No"/>
    <n v="0"/>
    <x v="1"/>
  </r>
  <r>
    <s v="CUST-00230"/>
    <n v="20"/>
    <s v="No"/>
    <s v="Yes"/>
    <s v="No"/>
    <n v="64"/>
    <s v="No"/>
    <s v="No phone service"/>
    <s v="Fiber optic"/>
    <x v="2"/>
    <s v="No"/>
    <s v="Credit card"/>
    <x v="227"/>
    <n v="5921.09"/>
    <s v="Karachi"/>
    <s v="No"/>
    <n v="0"/>
    <x v="1"/>
  </r>
  <r>
    <s v="CUST-00231"/>
    <n v="58"/>
    <s v="No"/>
    <s v="Yes"/>
    <s v="No"/>
    <n v="46"/>
    <s v="No"/>
    <s v="No phone service"/>
    <s v="DSL"/>
    <x v="2"/>
    <s v="No"/>
    <s v="Credit card"/>
    <x v="228"/>
    <n v="2123.56"/>
    <s v="Peshawar"/>
    <s v="Yes"/>
    <n v="1"/>
    <x v="1"/>
  </r>
  <r>
    <s v="CUST-00232"/>
    <n v="67"/>
    <s v="Yes"/>
    <s v="No"/>
    <s v="Yes"/>
    <n v="61"/>
    <s v="Yes"/>
    <s v="No"/>
    <s v="DSL"/>
    <x v="2"/>
    <s v="Yes"/>
    <s v="Electronic check"/>
    <x v="229"/>
    <n v="4653.55"/>
    <s v="Karachi"/>
    <s v="Yes"/>
    <n v="1"/>
    <x v="1"/>
  </r>
  <r>
    <s v="CUST-00233"/>
    <n v="54"/>
    <s v="No"/>
    <s v="No"/>
    <s v="No"/>
    <n v="23"/>
    <s v="No"/>
    <s v="No phone service"/>
    <s v="Fiber optic"/>
    <x v="1"/>
    <s v="No"/>
    <s v="Mailed check"/>
    <x v="230"/>
    <n v="1681.96"/>
    <s v="Faisalabad"/>
    <s v="No"/>
    <n v="0"/>
    <x v="1"/>
  </r>
  <r>
    <s v="CUST-00234"/>
    <n v="27"/>
    <s v="No"/>
    <s v="Yes"/>
    <s v="No"/>
    <n v="70"/>
    <s v="No"/>
    <s v="No phone service"/>
    <s v="Fiber optic"/>
    <x v="2"/>
    <s v="Yes"/>
    <s v="Electronic check"/>
    <x v="231"/>
    <n v="5683.78"/>
    <s v="Faisalabad"/>
    <s v="Yes"/>
    <n v="1"/>
    <x v="1"/>
  </r>
  <r>
    <s v="CUST-00235"/>
    <n v="30"/>
    <s v="No"/>
    <s v="Yes"/>
    <s v="No"/>
    <n v="23"/>
    <s v="No"/>
    <s v="No phone service"/>
    <s v="No internet"/>
    <x v="2"/>
    <s v="Yes"/>
    <s v="Credit card"/>
    <x v="232"/>
    <n v="689.2"/>
    <s v="Peshawar"/>
    <s v="No"/>
    <n v="0"/>
    <x v="1"/>
  </r>
  <r>
    <s v="CUST-00236"/>
    <n v="41"/>
    <s v="No"/>
    <s v="Yes"/>
    <s v="No"/>
    <n v="51"/>
    <s v="No"/>
    <s v="No phone service"/>
    <s v="DSL"/>
    <x v="2"/>
    <s v="Yes"/>
    <s v="Mailed check"/>
    <x v="233"/>
    <n v="3507.02"/>
    <s v="Rawalpindi"/>
    <s v="No"/>
    <n v="0"/>
    <x v="1"/>
  </r>
  <r>
    <s v="CUST-00237"/>
    <n v="59"/>
    <s v="No"/>
    <s v="No"/>
    <s v="Yes"/>
    <n v="72"/>
    <s v="No"/>
    <s v="No phone service"/>
    <s v="DSL"/>
    <x v="2"/>
    <s v="Yes"/>
    <s v="Credit card"/>
    <x v="234"/>
    <n v="4870.78"/>
    <s v="Lahore"/>
    <s v="Yes"/>
    <n v="1"/>
    <x v="1"/>
  </r>
  <r>
    <s v="CUST-00238"/>
    <n v="62"/>
    <s v="Yes"/>
    <s v="No"/>
    <s v="Yes"/>
    <n v="24"/>
    <s v="Yes"/>
    <s v="No"/>
    <s v="DSL"/>
    <x v="2"/>
    <s v="No"/>
    <s v="Electronic check"/>
    <x v="235"/>
    <n v="1622.76"/>
    <s v="Karachi"/>
    <s v="No"/>
    <n v="0"/>
    <x v="1"/>
  </r>
  <r>
    <s v="CUST-00239"/>
    <n v="58"/>
    <s v="No"/>
    <s v="Yes"/>
    <s v="No"/>
    <n v="58"/>
    <s v="Yes"/>
    <s v="Yes"/>
    <s v="Fiber optic"/>
    <x v="2"/>
    <s v="No"/>
    <s v="Bank Transfer"/>
    <x v="236"/>
    <n v="5815.74"/>
    <s v="Rawalpindi"/>
    <s v="Yes"/>
    <n v="1"/>
    <x v="1"/>
  </r>
  <r>
    <s v="CUST-00240"/>
    <n v="28"/>
    <s v="No"/>
    <s v="No"/>
    <s v="No"/>
    <n v="49"/>
    <s v="No"/>
    <s v="No phone service"/>
    <s v="Fiber optic"/>
    <x v="2"/>
    <s v="No"/>
    <s v="Bank Transfer"/>
    <x v="237"/>
    <n v="4996.28"/>
    <s v="Rawalpindi"/>
    <s v="Yes"/>
    <n v="1"/>
    <x v="1"/>
  </r>
  <r>
    <s v="CUST-00241"/>
    <n v="22"/>
    <s v="No"/>
    <s v="Yes"/>
    <s v="No"/>
    <n v="3"/>
    <s v="Yes"/>
    <s v="Yes"/>
    <s v="Fiber optic"/>
    <x v="2"/>
    <s v="No"/>
    <s v="Electronic check"/>
    <x v="238"/>
    <n v="232.98"/>
    <s v="Islamabad"/>
    <s v="No"/>
    <n v="0"/>
    <x v="1"/>
  </r>
  <r>
    <s v="CUST-00242"/>
    <n v="56"/>
    <s v="No"/>
    <s v="No"/>
    <s v="Yes"/>
    <n v="56"/>
    <s v="Yes"/>
    <s v="No"/>
    <s v="No internet"/>
    <x v="2"/>
    <s v="Yes"/>
    <s v="Electronic check"/>
    <x v="239"/>
    <n v="1103.67"/>
    <s v="Multan"/>
    <s v="No"/>
    <n v="0"/>
    <x v="1"/>
  </r>
  <r>
    <s v="CUST-00243"/>
    <n v="64"/>
    <s v="Yes"/>
    <s v="No"/>
    <s v="No"/>
    <n v="39"/>
    <s v="Yes"/>
    <s v="No"/>
    <s v="Fiber optic"/>
    <x v="2"/>
    <s v="No"/>
    <s v="Electronic check"/>
    <x v="240"/>
    <n v="3403.73"/>
    <s v="Multan"/>
    <s v="Yes"/>
    <n v="1"/>
    <x v="1"/>
  </r>
  <r>
    <s v="CUST-00244"/>
    <n v="58"/>
    <s v="No"/>
    <s v="No"/>
    <s v="Yes"/>
    <n v="13"/>
    <s v="Yes"/>
    <s v="No"/>
    <s v="Fiber optic"/>
    <x v="1"/>
    <s v="No"/>
    <s v="Bank Transfer"/>
    <x v="241"/>
    <n v="1096.8"/>
    <s v="Multan"/>
    <s v="No"/>
    <n v="0"/>
    <x v="1"/>
  </r>
  <r>
    <s v="CUST-00245"/>
    <n v="34"/>
    <s v="No"/>
    <s v="Yes"/>
    <s v="No"/>
    <n v="24"/>
    <s v="No"/>
    <s v="No phone service"/>
    <s v="Fiber optic"/>
    <x v="2"/>
    <s v="No"/>
    <s v="Electronic check"/>
    <x v="242"/>
    <n v="2145.08"/>
    <s v="Faisalabad"/>
    <s v="No"/>
    <n v="0"/>
    <x v="1"/>
  </r>
  <r>
    <s v="CUST-00246"/>
    <n v="21"/>
    <s v="No"/>
    <s v="Yes"/>
    <s v="Yes"/>
    <n v="11"/>
    <s v="No"/>
    <s v="No phone service"/>
    <s v="DSL"/>
    <x v="1"/>
    <s v="Yes"/>
    <s v="Credit card"/>
    <x v="243"/>
    <n v="840.88"/>
    <s v="Faisalabad"/>
    <s v="No"/>
    <n v="0"/>
    <x v="1"/>
  </r>
  <r>
    <s v="CUST-00247"/>
    <n v="61"/>
    <s v="Yes"/>
    <s v="No"/>
    <s v="Yes"/>
    <n v="61"/>
    <s v="No"/>
    <s v="No phone service"/>
    <s v="Fiber optic"/>
    <x v="1"/>
    <s v="Yes"/>
    <s v="Credit card"/>
    <x v="244"/>
    <n v="7269.18"/>
    <s v="Faisalabad"/>
    <s v="No"/>
    <n v="0"/>
    <x v="1"/>
  </r>
  <r>
    <s v="CUST-00248"/>
    <n v="27"/>
    <s v="No"/>
    <s v="Yes"/>
    <s v="No"/>
    <n v="23"/>
    <s v="Yes"/>
    <s v="No"/>
    <s v="No internet"/>
    <x v="1"/>
    <s v="Yes"/>
    <s v="Electronic check"/>
    <x v="245"/>
    <n v="445.19"/>
    <s v="Peshawar"/>
    <s v="No"/>
    <n v="0"/>
    <x v="1"/>
  </r>
  <r>
    <s v="CUST-00249"/>
    <n v="58"/>
    <s v="No"/>
    <s v="Yes"/>
    <s v="No"/>
    <n v="41"/>
    <s v="Yes"/>
    <s v="Yes"/>
    <s v="No internet"/>
    <x v="0"/>
    <s v="No"/>
    <s v="Mailed check"/>
    <x v="246"/>
    <n v="1043.5899999999999"/>
    <s v="Multan"/>
    <s v="Yes"/>
    <n v="1"/>
    <x v="1"/>
  </r>
  <r>
    <s v="CUST-00250"/>
    <n v="57"/>
    <s v="No"/>
    <s v="No"/>
    <s v="Yes"/>
    <n v="54"/>
    <s v="Yes"/>
    <s v="No"/>
    <s v="Fiber optic"/>
    <x v="0"/>
    <s v="Yes"/>
    <s v="Bank Transfer"/>
    <x v="247"/>
    <n v="6401.24"/>
    <s v="Islamabad"/>
    <s v="No"/>
    <n v="0"/>
    <x v="1"/>
  </r>
  <r>
    <s v="CUST-00251"/>
    <n v="42"/>
    <s v="No"/>
    <s v="No"/>
    <s v="No"/>
    <n v="5"/>
    <s v="No"/>
    <s v="No phone service"/>
    <s v="Fiber optic"/>
    <x v="2"/>
    <s v="No"/>
    <s v="Electronic check"/>
    <x v="248"/>
    <n v="560.83000000000004"/>
    <s v="Multan"/>
    <s v="Yes"/>
    <n v="1"/>
    <x v="1"/>
  </r>
  <r>
    <s v="CUST-00252"/>
    <n v="48"/>
    <s v="No"/>
    <s v="No"/>
    <s v="No"/>
    <n v="3"/>
    <s v="No"/>
    <s v="No phone service"/>
    <s v="Fiber optic"/>
    <x v="2"/>
    <s v="No"/>
    <s v="Mailed check"/>
    <x v="249"/>
    <n v="330.45"/>
    <s v="Islamabad"/>
    <s v="Yes"/>
    <n v="1"/>
    <x v="1"/>
  </r>
  <r>
    <s v="CUST-00253"/>
    <n v="65"/>
    <s v="Yes"/>
    <s v="No"/>
    <s v="No"/>
    <n v="35"/>
    <s v="Yes"/>
    <s v="Yes"/>
    <s v="DSL"/>
    <x v="2"/>
    <s v="No"/>
    <s v="Bank Transfer"/>
    <x v="250"/>
    <n v="2571.84"/>
    <s v="Faisalabad"/>
    <s v="No"/>
    <n v="0"/>
    <x v="1"/>
  </r>
  <r>
    <s v="CUST-00254"/>
    <n v="68"/>
    <s v="Yes"/>
    <s v="Yes"/>
    <s v="Yes"/>
    <n v="40"/>
    <s v="No"/>
    <s v="No phone service"/>
    <s v="DSL"/>
    <x v="2"/>
    <s v="Yes"/>
    <s v="Electronic check"/>
    <x v="251"/>
    <n v="2892.65"/>
    <s v="Lahore"/>
    <s v="Yes"/>
    <n v="1"/>
    <x v="1"/>
  </r>
  <r>
    <s v="CUST-00255"/>
    <n v="47"/>
    <s v="No"/>
    <s v="Yes"/>
    <s v="No"/>
    <n v="26"/>
    <s v="No"/>
    <s v="No phone service"/>
    <s v="Fiber optic"/>
    <x v="2"/>
    <s v="Yes"/>
    <s v="Bank Transfer"/>
    <x v="252"/>
    <n v="2131.73"/>
    <s v="Peshawar"/>
    <s v="No"/>
    <n v="0"/>
    <x v="1"/>
  </r>
  <r>
    <s v="CUST-00256"/>
    <n v="48"/>
    <s v="No"/>
    <s v="No"/>
    <s v="No"/>
    <n v="21"/>
    <s v="No"/>
    <s v="No phone service"/>
    <s v="No internet"/>
    <x v="0"/>
    <s v="Yes"/>
    <s v="Electronic check"/>
    <x v="253"/>
    <n v="456.21"/>
    <s v="Karachi"/>
    <s v="No"/>
    <n v="0"/>
    <x v="1"/>
  </r>
  <r>
    <s v="CUST-00257"/>
    <n v="72"/>
    <s v="Yes"/>
    <s v="Yes"/>
    <s v="Yes"/>
    <n v="27"/>
    <s v="No"/>
    <s v="No phone service"/>
    <s v="Fiber optic"/>
    <x v="2"/>
    <s v="Yes"/>
    <s v="Credit card"/>
    <x v="254"/>
    <n v="1987.61"/>
    <s v="Karachi"/>
    <s v="No"/>
    <n v="0"/>
    <x v="1"/>
  </r>
  <r>
    <s v="CUST-00258"/>
    <n v="34"/>
    <s v="No"/>
    <s v="No"/>
    <s v="No"/>
    <n v="55"/>
    <s v="No"/>
    <s v="No phone service"/>
    <s v="No internet"/>
    <x v="2"/>
    <s v="Yes"/>
    <s v="Credit card"/>
    <x v="255"/>
    <n v="1493.08"/>
    <s v="Lahore"/>
    <s v="No"/>
    <n v="0"/>
    <x v="1"/>
  </r>
  <r>
    <s v="CUST-00259"/>
    <n v="18"/>
    <s v="No"/>
    <s v="No"/>
    <s v="No"/>
    <n v="39"/>
    <s v="No"/>
    <s v="No phone service"/>
    <s v="DSL"/>
    <x v="2"/>
    <s v="No"/>
    <s v="Bank Transfer"/>
    <x v="256"/>
    <n v="2820.71"/>
    <s v="Multan"/>
    <s v="No"/>
    <n v="0"/>
    <x v="1"/>
  </r>
  <r>
    <s v="CUST-00260"/>
    <n v="37"/>
    <s v="No"/>
    <s v="Yes"/>
    <s v="Yes"/>
    <n v="67"/>
    <s v="Yes"/>
    <s v="No"/>
    <s v="DSL"/>
    <x v="1"/>
    <s v="No"/>
    <s v="Bank Transfer"/>
    <x v="138"/>
    <n v="4624.0200000000004"/>
    <s v="Islamabad"/>
    <s v="No"/>
    <n v="0"/>
    <x v="1"/>
  </r>
  <r>
    <s v="CUST-00261"/>
    <n v="34"/>
    <s v="No"/>
    <s v="No"/>
    <s v="No"/>
    <n v="50"/>
    <s v="Yes"/>
    <s v="Yes"/>
    <s v="DSL"/>
    <x v="0"/>
    <s v="No"/>
    <s v="Mailed check"/>
    <x v="257"/>
    <n v="3346.43"/>
    <s v="Peshawar"/>
    <s v="No"/>
    <n v="0"/>
    <x v="1"/>
  </r>
  <r>
    <s v="CUST-00262"/>
    <n v="60"/>
    <s v="Yes"/>
    <s v="Yes"/>
    <s v="No"/>
    <n v="13"/>
    <s v="No"/>
    <s v="No phone service"/>
    <s v="DSL"/>
    <x v="0"/>
    <s v="Yes"/>
    <s v="Mailed check"/>
    <x v="258"/>
    <n v="1006.04"/>
    <s v="Karachi"/>
    <s v="No"/>
    <n v="0"/>
    <x v="1"/>
  </r>
  <r>
    <s v="CUST-00263"/>
    <n v="65"/>
    <s v="Yes"/>
    <s v="No"/>
    <s v="No"/>
    <n v="43"/>
    <s v="No"/>
    <s v="No phone service"/>
    <s v="Fiber optic"/>
    <x v="2"/>
    <s v="Yes"/>
    <s v="Credit card"/>
    <x v="259"/>
    <n v="4921.63"/>
    <s v="Lahore"/>
    <s v="No"/>
    <n v="0"/>
    <x v="1"/>
  </r>
  <r>
    <s v="CUST-00264"/>
    <n v="48"/>
    <s v="No"/>
    <s v="Yes"/>
    <s v="Yes"/>
    <n v="49"/>
    <s v="No"/>
    <s v="No phone service"/>
    <s v="DSL"/>
    <x v="2"/>
    <s v="Yes"/>
    <s v="Electronic check"/>
    <x v="260"/>
    <n v="2326.85"/>
    <s v="Rawalpindi"/>
    <s v="No"/>
    <n v="0"/>
    <x v="1"/>
  </r>
  <r>
    <s v="CUST-00265"/>
    <n v="27"/>
    <s v="No"/>
    <s v="No"/>
    <s v="Yes"/>
    <n v="11"/>
    <s v="Yes"/>
    <s v="Yes"/>
    <s v="DSL"/>
    <x v="2"/>
    <s v="No"/>
    <s v="Electronic check"/>
    <x v="261"/>
    <n v="744.13"/>
    <s v="Rawalpindi"/>
    <s v="No"/>
    <n v="0"/>
    <x v="1"/>
  </r>
  <r>
    <s v="CUST-00266"/>
    <n v="68"/>
    <s v="Yes"/>
    <s v="Yes"/>
    <s v="Yes"/>
    <n v="56"/>
    <s v="No"/>
    <s v="No phone service"/>
    <s v="DSL"/>
    <x v="2"/>
    <s v="No"/>
    <s v="Credit card"/>
    <x v="262"/>
    <n v="2240.71"/>
    <s v="Lahore"/>
    <s v="No"/>
    <n v="0"/>
    <x v="1"/>
  </r>
  <r>
    <s v="CUST-00267"/>
    <n v="75"/>
    <s v="Yes"/>
    <s v="No"/>
    <s v="Yes"/>
    <n v="3"/>
    <s v="Yes"/>
    <s v="Yes"/>
    <s v="DSL"/>
    <x v="1"/>
    <s v="No"/>
    <s v="Electronic check"/>
    <x v="263"/>
    <n v="167.79"/>
    <s v="Peshawar"/>
    <s v="Yes"/>
    <n v="1"/>
    <x v="1"/>
  </r>
  <r>
    <s v="CUST-00268"/>
    <n v="20"/>
    <s v="No"/>
    <s v="No"/>
    <s v="No"/>
    <n v="59"/>
    <s v="No"/>
    <s v="No phone service"/>
    <s v="DSL"/>
    <x v="2"/>
    <s v="Yes"/>
    <s v="Electronic check"/>
    <x v="264"/>
    <n v="4411.75"/>
    <s v="Peshawar"/>
    <s v="Yes"/>
    <n v="1"/>
    <x v="1"/>
  </r>
  <r>
    <s v="CUST-00269"/>
    <n v="43"/>
    <s v="No"/>
    <s v="Yes"/>
    <s v="Yes"/>
    <n v="29"/>
    <s v="Yes"/>
    <s v="Yes"/>
    <s v="DSL"/>
    <x v="2"/>
    <s v="Yes"/>
    <s v="Electronic check"/>
    <x v="265"/>
    <n v="2054.34"/>
    <s v="Multan"/>
    <s v="No"/>
    <n v="0"/>
    <x v="1"/>
  </r>
  <r>
    <s v="CUST-00270"/>
    <n v="34"/>
    <s v="No"/>
    <s v="Yes"/>
    <s v="Yes"/>
    <n v="14"/>
    <s v="Yes"/>
    <s v="Yes"/>
    <s v="DSL"/>
    <x v="2"/>
    <s v="No"/>
    <s v="Credit card"/>
    <x v="266"/>
    <n v="863.8"/>
    <s v="Multan"/>
    <s v="Yes"/>
    <n v="1"/>
    <x v="1"/>
  </r>
  <r>
    <s v="CUST-00271"/>
    <n v="61"/>
    <s v="Yes"/>
    <s v="Yes"/>
    <s v="No"/>
    <n v="54"/>
    <s v="No"/>
    <s v="No phone service"/>
    <s v="DSL"/>
    <x v="0"/>
    <s v="Yes"/>
    <s v="Credit card"/>
    <x v="267"/>
    <n v="4106.46"/>
    <s v="Islamabad"/>
    <s v="No"/>
    <n v="0"/>
    <x v="1"/>
  </r>
  <r>
    <s v="CUST-00272"/>
    <n v="25"/>
    <s v="No"/>
    <s v="Yes"/>
    <s v="No"/>
    <n v="26"/>
    <s v="No"/>
    <s v="No phone service"/>
    <s v="DSL"/>
    <x v="1"/>
    <s v="Yes"/>
    <s v="Credit card"/>
    <x v="268"/>
    <n v="1406.39"/>
    <s v="Karachi"/>
    <s v="No"/>
    <n v="0"/>
    <x v="1"/>
  </r>
  <r>
    <s v="CUST-00273"/>
    <n v="62"/>
    <s v="Yes"/>
    <s v="No"/>
    <s v="No"/>
    <n v="31"/>
    <s v="Yes"/>
    <s v="No"/>
    <s v="Fiber optic"/>
    <x v="1"/>
    <s v="No"/>
    <s v="Electronic check"/>
    <x v="269"/>
    <n v="2312.7399999999998"/>
    <s v="Lahore"/>
    <s v="No"/>
    <n v="0"/>
    <x v="1"/>
  </r>
  <r>
    <s v="CUST-00274"/>
    <n v="75"/>
    <s v="Yes"/>
    <s v="No"/>
    <s v="Yes"/>
    <n v="59"/>
    <s v="No"/>
    <s v="No phone service"/>
    <s v="No internet"/>
    <x v="2"/>
    <s v="Yes"/>
    <s v="Electronic check"/>
    <x v="270"/>
    <n v="1120.3599999999999"/>
    <s v="Peshawar"/>
    <s v="Yes"/>
    <n v="1"/>
    <x v="1"/>
  </r>
  <r>
    <s v="CUST-00275"/>
    <n v="61"/>
    <s v="Yes"/>
    <s v="No"/>
    <s v="No"/>
    <n v="15"/>
    <s v="Yes"/>
    <s v="Yes"/>
    <s v="Fiber optic"/>
    <x v="2"/>
    <s v="Yes"/>
    <s v="Electronic check"/>
    <x v="271"/>
    <n v="1814.93"/>
    <s v="Multan"/>
    <s v="Yes"/>
    <n v="1"/>
    <x v="1"/>
  </r>
  <r>
    <s v="CUST-00276"/>
    <n v="23"/>
    <s v="No"/>
    <s v="No"/>
    <s v="No"/>
    <n v="24"/>
    <s v="No"/>
    <s v="No phone service"/>
    <s v="Fiber optic"/>
    <x v="1"/>
    <s v="No"/>
    <s v="Bank Transfer"/>
    <x v="272"/>
    <n v="2501.4499999999998"/>
    <s v="Peshawar"/>
    <s v="No"/>
    <n v="0"/>
    <x v="1"/>
  </r>
  <r>
    <s v="CUST-00277"/>
    <n v="28"/>
    <s v="No"/>
    <s v="Yes"/>
    <s v="Yes"/>
    <n v="8"/>
    <s v="Yes"/>
    <s v="Yes"/>
    <s v="No internet"/>
    <x v="1"/>
    <s v="No"/>
    <s v="Bank Transfer"/>
    <x v="273"/>
    <n v="201.12"/>
    <s v="Islamabad"/>
    <s v="No"/>
    <n v="0"/>
    <x v="1"/>
  </r>
  <r>
    <s v="CUST-00278"/>
    <n v="57"/>
    <s v="No"/>
    <s v="Yes"/>
    <s v="Yes"/>
    <n v="62"/>
    <s v="Yes"/>
    <s v="No"/>
    <s v="No internet"/>
    <x v="2"/>
    <s v="Yes"/>
    <s v="Electronic check"/>
    <x v="274"/>
    <n v="1382.87"/>
    <s v="Peshawar"/>
    <s v="No"/>
    <n v="0"/>
    <x v="1"/>
  </r>
  <r>
    <s v="CUST-00279"/>
    <n v="65"/>
    <s v="Yes"/>
    <s v="Yes"/>
    <s v="No"/>
    <n v="67"/>
    <s v="Yes"/>
    <s v="No"/>
    <s v="DSL"/>
    <x v="0"/>
    <s v="No"/>
    <s v="Electronic check"/>
    <x v="275"/>
    <n v="4430.29"/>
    <s v="Faisalabad"/>
    <s v="No"/>
    <n v="0"/>
    <x v="1"/>
  </r>
  <r>
    <s v="CUST-00280"/>
    <n v="75"/>
    <s v="Yes"/>
    <s v="Yes"/>
    <s v="Yes"/>
    <n v="21"/>
    <s v="No"/>
    <s v="No phone service"/>
    <s v="DSL"/>
    <x v="1"/>
    <s v="Yes"/>
    <s v="Electronic check"/>
    <x v="276"/>
    <n v="1214.1099999999999"/>
    <s v="Lahore"/>
    <s v="No"/>
    <n v="0"/>
    <x v="1"/>
  </r>
  <r>
    <s v="CUST-00281"/>
    <n v="50"/>
    <s v="No"/>
    <s v="Yes"/>
    <s v="No"/>
    <n v="52"/>
    <s v="Yes"/>
    <s v="No"/>
    <s v="No internet"/>
    <x v="1"/>
    <s v="No"/>
    <s v="Electronic check"/>
    <x v="277"/>
    <n v="1219.44"/>
    <s v="Multan"/>
    <s v="No"/>
    <n v="0"/>
    <x v="1"/>
  </r>
  <r>
    <s v="CUST-00282"/>
    <n v="59"/>
    <s v="No"/>
    <s v="Yes"/>
    <s v="Yes"/>
    <n v="52"/>
    <s v="Yes"/>
    <s v="No"/>
    <s v="Fiber optic"/>
    <x v="0"/>
    <s v="No"/>
    <s v="Mailed check"/>
    <x v="278"/>
    <n v="5196.8900000000003"/>
    <s v="Islamabad"/>
    <s v="No"/>
    <n v="0"/>
    <x v="1"/>
  </r>
  <r>
    <s v="CUST-00283"/>
    <n v="41"/>
    <s v="No"/>
    <s v="Yes"/>
    <s v="Yes"/>
    <n v="59"/>
    <s v="No"/>
    <s v="No phone service"/>
    <s v="Fiber optic"/>
    <x v="0"/>
    <s v="No"/>
    <s v="Bank Transfer"/>
    <x v="279"/>
    <n v="4605.28"/>
    <s v="Islamabad"/>
    <s v="No"/>
    <n v="0"/>
    <x v="1"/>
  </r>
  <r>
    <s v="CUST-00284"/>
    <n v="40"/>
    <s v="No"/>
    <s v="No"/>
    <s v="No"/>
    <n v="14"/>
    <s v="Yes"/>
    <s v="No"/>
    <s v="Fiber optic"/>
    <x v="1"/>
    <s v="No"/>
    <s v="Electronic check"/>
    <x v="280"/>
    <n v="1354.78"/>
    <s v="Rawalpindi"/>
    <s v="No"/>
    <n v="0"/>
    <x v="1"/>
  </r>
  <r>
    <s v="CUST-00285"/>
    <n v="31"/>
    <s v="No"/>
    <s v="No"/>
    <s v="Yes"/>
    <n v="44"/>
    <s v="No"/>
    <s v="No phone service"/>
    <s v="Fiber optic"/>
    <x v="2"/>
    <s v="Yes"/>
    <s v="Bank Transfer"/>
    <x v="281"/>
    <n v="4148.74"/>
    <s v="Karachi"/>
    <s v="No"/>
    <n v="0"/>
    <x v="1"/>
  </r>
  <r>
    <s v="CUST-00286"/>
    <n v="49"/>
    <s v="No"/>
    <s v="Yes"/>
    <s v="Yes"/>
    <n v="71"/>
    <s v="No"/>
    <s v="No phone service"/>
    <s v="No internet"/>
    <x v="1"/>
    <s v="Yes"/>
    <s v="Bank Transfer"/>
    <x v="282"/>
    <n v="1479.61"/>
    <s v="Multan"/>
    <s v="No"/>
    <n v="0"/>
    <x v="1"/>
  </r>
  <r>
    <s v="CUST-00287"/>
    <n v="56"/>
    <s v="No"/>
    <s v="No"/>
    <s v="No"/>
    <n v="54"/>
    <s v="Yes"/>
    <s v="Yes"/>
    <s v="No internet"/>
    <x v="1"/>
    <s v="No"/>
    <s v="Credit card"/>
    <x v="283"/>
    <n v="1047.32"/>
    <s v="Multan"/>
    <s v="No"/>
    <n v="0"/>
    <x v="1"/>
  </r>
  <r>
    <s v="CUST-00288"/>
    <n v="50"/>
    <s v="No"/>
    <s v="No"/>
    <s v="No"/>
    <n v="71"/>
    <s v="Yes"/>
    <s v="Yes"/>
    <s v="DSL"/>
    <x v="0"/>
    <s v="No"/>
    <s v="Mailed check"/>
    <x v="284"/>
    <n v="3298.23"/>
    <s v="Karachi"/>
    <s v="No"/>
    <n v="0"/>
    <x v="1"/>
  </r>
  <r>
    <s v="CUST-00289"/>
    <n v="50"/>
    <s v="No"/>
    <s v="No"/>
    <s v="Yes"/>
    <n v="46"/>
    <s v="No"/>
    <s v="No phone service"/>
    <s v="DSL"/>
    <x v="0"/>
    <s v="No"/>
    <s v="Mailed check"/>
    <x v="285"/>
    <n v="2464.37"/>
    <s v="Rawalpindi"/>
    <s v="Yes"/>
    <n v="1"/>
    <x v="1"/>
  </r>
  <r>
    <s v="CUST-00290"/>
    <n v="27"/>
    <s v="No"/>
    <s v="Yes"/>
    <s v="Yes"/>
    <n v="26"/>
    <s v="Yes"/>
    <s v="No"/>
    <s v="Fiber optic"/>
    <x v="0"/>
    <s v="Yes"/>
    <s v="Bank Transfer"/>
    <x v="286"/>
    <n v="2650.97"/>
    <s v="Lahore"/>
    <s v="No"/>
    <n v="0"/>
    <x v="1"/>
  </r>
  <r>
    <s v="CUST-00291"/>
    <n v="40"/>
    <s v="No"/>
    <s v="No"/>
    <s v="Yes"/>
    <n v="72"/>
    <s v="No"/>
    <s v="No phone service"/>
    <s v="No internet"/>
    <x v="2"/>
    <s v="No"/>
    <s v="Bank Transfer"/>
    <x v="287"/>
    <n v="1317.33"/>
    <s v="Peshawar"/>
    <s v="No"/>
    <n v="0"/>
    <x v="1"/>
  </r>
  <r>
    <s v="CUST-00292"/>
    <n v="61"/>
    <s v="Yes"/>
    <s v="No"/>
    <s v="Yes"/>
    <n v="2"/>
    <s v="Yes"/>
    <s v="No"/>
    <s v="DSL"/>
    <x v="0"/>
    <s v="No"/>
    <s v="Bank Transfer"/>
    <x v="288"/>
    <n v="156.68"/>
    <s v="Peshawar"/>
    <s v="No"/>
    <n v="0"/>
    <x v="1"/>
  </r>
  <r>
    <s v="CUST-00293"/>
    <n v="55"/>
    <s v="No"/>
    <s v="Yes"/>
    <s v="Yes"/>
    <n v="38"/>
    <s v="Yes"/>
    <s v="Yes"/>
    <s v="Fiber optic"/>
    <x v="2"/>
    <s v="Yes"/>
    <s v="Credit card"/>
    <x v="289"/>
    <n v="3497.94"/>
    <s v="Faisalabad"/>
    <s v="Yes"/>
    <n v="1"/>
    <x v="1"/>
  </r>
  <r>
    <s v="CUST-00294"/>
    <n v="72"/>
    <s v="Yes"/>
    <s v="No"/>
    <s v="Yes"/>
    <n v="43"/>
    <s v="Yes"/>
    <s v="Yes"/>
    <s v="DSL"/>
    <x v="1"/>
    <s v="Yes"/>
    <s v="Bank Transfer"/>
    <x v="290"/>
    <n v="2910.54"/>
    <s v="Peshawar"/>
    <s v="No"/>
    <n v="0"/>
    <x v="1"/>
  </r>
  <r>
    <s v="CUST-00295"/>
    <n v="54"/>
    <s v="No"/>
    <s v="No"/>
    <s v="Yes"/>
    <n v="41"/>
    <s v="Yes"/>
    <s v="No"/>
    <s v="DSL"/>
    <x v="0"/>
    <s v="Yes"/>
    <s v="Credit card"/>
    <x v="291"/>
    <n v="2397.25"/>
    <s v="Karachi"/>
    <s v="No"/>
    <n v="0"/>
    <x v="1"/>
  </r>
  <r>
    <s v="CUST-00296"/>
    <n v="60"/>
    <s v="Yes"/>
    <s v="No"/>
    <s v="No"/>
    <n v="47"/>
    <s v="No"/>
    <s v="No phone service"/>
    <s v="Fiber optic"/>
    <x v="1"/>
    <s v="Yes"/>
    <s v="Electronic check"/>
    <x v="292"/>
    <n v="3975.25"/>
    <s v="Faisalabad"/>
    <s v="No"/>
    <n v="0"/>
    <x v="1"/>
  </r>
  <r>
    <s v="CUST-00297"/>
    <n v="33"/>
    <s v="No"/>
    <s v="Yes"/>
    <s v="No"/>
    <n v="49"/>
    <s v="Yes"/>
    <s v="No"/>
    <s v="No internet"/>
    <x v="2"/>
    <s v="No"/>
    <s v="Electronic check"/>
    <x v="293"/>
    <n v="1224.29"/>
    <s v="Faisalabad"/>
    <s v="No"/>
    <n v="0"/>
    <x v="1"/>
  </r>
  <r>
    <s v="CUST-00298"/>
    <n v="46"/>
    <s v="No"/>
    <s v="No"/>
    <s v="Yes"/>
    <n v="38"/>
    <s v="Yes"/>
    <s v="Yes"/>
    <s v="No internet"/>
    <x v="2"/>
    <s v="Yes"/>
    <s v="Electronic check"/>
    <x v="294"/>
    <n v="1125.3399999999999"/>
    <s v="Lahore"/>
    <s v="Yes"/>
    <n v="1"/>
    <x v="1"/>
  </r>
  <r>
    <s v="CUST-00299"/>
    <n v="31"/>
    <s v="No"/>
    <s v="Yes"/>
    <s v="No"/>
    <n v="14"/>
    <s v="No"/>
    <s v="No phone service"/>
    <s v="Fiber optic"/>
    <x v="0"/>
    <s v="Yes"/>
    <s v="Bank Transfer"/>
    <x v="295"/>
    <n v="1082.3399999999999"/>
    <s v="Lahore"/>
    <s v="No"/>
    <n v="0"/>
    <x v="1"/>
  </r>
  <r>
    <s v="CUST-00300"/>
    <n v="22"/>
    <s v="No"/>
    <s v="Yes"/>
    <s v="Yes"/>
    <n v="33"/>
    <s v="Yes"/>
    <s v="No"/>
    <s v="DSL"/>
    <x v="2"/>
    <s v="No"/>
    <s v="Bank Transfer"/>
    <x v="296"/>
    <n v="1781.9"/>
    <s v="Faisalabad"/>
    <s v="No"/>
    <n v="0"/>
    <x v="1"/>
  </r>
  <r>
    <s v="CUST-00301"/>
    <n v="18"/>
    <s v="No"/>
    <s v="Yes"/>
    <s v="Yes"/>
    <n v="10"/>
    <s v="Yes"/>
    <s v="Yes"/>
    <s v="Fiber optic"/>
    <x v="0"/>
    <s v="Yes"/>
    <s v="Electronic check"/>
    <x v="297"/>
    <n v="1146.75"/>
    <s v="Lahore"/>
    <s v="No"/>
    <n v="0"/>
    <x v="1"/>
  </r>
  <r>
    <s v="CUST-00302"/>
    <n v="48"/>
    <s v="No"/>
    <s v="Yes"/>
    <s v="Yes"/>
    <n v="18"/>
    <s v="No"/>
    <s v="No phone service"/>
    <s v="DSL"/>
    <x v="1"/>
    <s v="Yes"/>
    <s v="Electronic check"/>
    <x v="298"/>
    <n v="1434.51"/>
    <s v="Multan"/>
    <s v="No"/>
    <n v="0"/>
    <x v="1"/>
  </r>
  <r>
    <s v="CUST-00303"/>
    <n v="41"/>
    <s v="No"/>
    <s v="Yes"/>
    <s v="Yes"/>
    <n v="16"/>
    <s v="No"/>
    <s v="No phone service"/>
    <s v="Fiber optic"/>
    <x v="2"/>
    <s v="Yes"/>
    <s v="Electronic check"/>
    <x v="299"/>
    <n v="1801.78"/>
    <s v="Rawalpindi"/>
    <s v="Yes"/>
    <n v="1"/>
    <x v="1"/>
  </r>
  <r>
    <s v="CUST-00304"/>
    <n v="75"/>
    <s v="Yes"/>
    <s v="Yes"/>
    <s v="Yes"/>
    <n v="24"/>
    <s v="No"/>
    <s v="No phone service"/>
    <s v="Fiber optic"/>
    <x v="2"/>
    <s v="Yes"/>
    <s v="Bank Transfer"/>
    <x v="300"/>
    <n v="2234.41"/>
    <s v="Faisalabad"/>
    <s v="No"/>
    <n v="0"/>
    <x v="1"/>
  </r>
  <r>
    <s v="CUST-00305"/>
    <n v="47"/>
    <s v="No"/>
    <s v="Yes"/>
    <s v="No"/>
    <n v="9"/>
    <s v="Yes"/>
    <s v="No"/>
    <s v="Fiber optic"/>
    <x v="2"/>
    <s v="No"/>
    <s v="Credit card"/>
    <x v="301"/>
    <n v="902.35"/>
    <s v="Lahore"/>
    <s v="Yes"/>
    <n v="1"/>
    <x v="1"/>
  </r>
  <r>
    <s v="CUST-00306"/>
    <n v="75"/>
    <s v="Yes"/>
    <s v="Yes"/>
    <s v="No"/>
    <n v="63"/>
    <s v="No"/>
    <s v="No phone service"/>
    <s v="DSL"/>
    <x v="0"/>
    <s v="Yes"/>
    <s v="Credit card"/>
    <x v="302"/>
    <n v="3362.75"/>
    <s v="Lahore"/>
    <s v="No"/>
    <n v="0"/>
    <x v="1"/>
  </r>
  <r>
    <s v="CUST-00307"/>
    <n v="38"/>
    <s v="No"/>
    <s v="Yes"/>
    <s v="Yes"/>
    <n v="56"/>
    <s v="No"/>
    <s v="No phone service"/>
    <s v="Fiber optic"/>
    <x v="2"/>
    <s v="No"/>
    <s v="Mailed check"/>
    <x v="303"/>
    <n v="5127.43"/>
    <s v="Faisalabad"/>
    <s v="Yes"/>
    <n v="1"/>
    <x v="1"/>
  </r>
  <r>
    <s v="CUST-00308"/>
    <n v="24"/>
    <s v="No"/>
    <s v="Yes"/>
    <s v="Yes"/>
    <n v="36"/>
    <s v="Yes"/>
    <s v="No"/>
    <s v="No internet"/>
    <x v="2"/>
    <s v="Yes"/>
    <s v="Bank Transfer"/>
    <x v="304"/>
    <n v="1076.92"/>
    <s v="Peshawar"/>
    <s v="No"/>
    <n v="0"/>
    <x v="1"/>
  </r>
  <r>
    <s v="CUST-00309"/>
    <n v="55"/>
    <s v="No"/>
    <s v="No"/>
    <s v="Yes"/>
    <n v="5"/>
    <s v="No"/>
    <s v="No phone service"/>
    <s v="DSL"/>
    <x v="0"/>
    <s v="Yes"/>
    <s v="Credit card"/>
    <x v="305"/>
    <n v="252.64"/>
    <s v="Islamabad"/>
    <s v="No"/>
    <n v="0"/>
    <x v="1"/>
  </r>
  <r>
    <s v="CUST-00310"/>
    <n v="26"/>
    <s v="No"/>
    <s v="No"/>
    <s v="Yes"/>
    <n v="51"/>
    <s v="Yes"/>
    <s v="No"/>
    <s v="Fiber optic"/>
    <x v="1"/>
    <s v="Yes"/>
    <s v="Bank Transfer"/>
    <x v="306"/>
    <n v="3767.39"/>
    <s v="Faisalabad"/>
    <s v="No"/>
    <n v="0"/>
    <x v="1"/>
  </r>
  <r>
    <s v="CUST-00311"/>
    <n v="60"/>
    <s v="Yes"/>
    <s v="Yes"/>
    <s v="No"/>
    <n v="46"/>
    <s v="No"/>
    <s v="No phone service"/>
    <s v="Fiber optic"/>
    <x v="2"/>
    <s v="No"/>
    <s v="Credit card"/>
    <x v="307"/>
    <n v="3201.67"/>
    <s v="Islamabad"/>
    <s v="No"/>
    <n v="0"/>
    <x v="1"/>
  </r>
  <r>
    <s v="CUST-00312"/>
    <n v="42"/>
    <s v="No"/>
    <s v="No"/>
    <s v="No"/>
    <n v="6"/>
    <s v="No"/>
    <s v="No phone service"/>
    <s v="Fiber optic"/>
    <x v="2"/>
    <s v="No"/>
    <s v="Bank Transfer"/>
    <x v="308"/>
    <n v="501.68"/>
    <s v="Multan"/>
    <s v="Yes"/>
    <n v="1"/>
    <x v="1"/>
  </r>
  <r>
    <s v="CUST-00313"/>
    <n v="42"/>
    <s v="No"/>
    <s v="No"/>
    <s v="Yes"/>
    <n v="67"/>
    <s v="Yes"/>
    <s v="No"/>
    <s v="Fiber optic"/>
    <x v="2"/>
    <s v="No"/>
    <s v="Credit card"/>
    <x v="309"/>
    <n v="6384.22"/>
    <s v="Karachi"/>
    <s v="No"/>
    <n v="0"/>
    <x v="1"/>
  </r>
  <r>
    <s v="CUST-00314"/>
    <n v="46"/>
    <s v="No"/>
    <s v="Yes"/>
    <s v="Yes"/>
    <n v="10"/>
    <s v="No"/>
    <s v="No phone service"/>
    <s v="DSL"/>
    <x v="2"/>
    <s v="Yes"/>
    <s v="Electronic check"/>
    <x v="310"/>
    <n v="665.17"/>
    <s v="Rawalpindi"/>
    <s v="No"/>
    <n v="0"/>
    <x v="1"/>
  </r>
  <r>
    <s v="CUST-00315"/>
    <n v="69"/>
    <s v="Yes"/>
    <s v="No"/>
    <s v="Yes"/>
    <n v="62"/>
    <s v="No"/>
    <s v="No phone service"/>
    <s v="DSL"/>
    <x v="2"/>
    <s v="Yes"/>
    <s v="Bank Transfer"/>
    <x v="311"/>
    <n v="3391.64"/>
    <s v="Faisalabad"/>
    <s v="Yes"/>
    <n v="1"/>
    <x v="1"/>
  </r>
  <r>
    <s v="CUST-00316"/>
    <n v="28"/>
    <s v="No"/>
    <s v="Yes"/>
    <s v="Yes"/>
    <n v="19"/>
    <s v="No"/>
    <s v="No phone service"/>
    <s v="Fiber optic"/>
    <x v="1"/>
    <s v="No"/>
    <s v="Credit card"/>
    <x v="312"/>
    <n v="1757.66"/>
    <s v="Multan"/>
    <s v="No"/>
    <n v="0"/>
    <x v="1"/>
  </r>
  <r>
    <s v="CUST-00317"/>
    <n v="70"/>
    <s v="Yes"/>
    <s v="No"/>
    <s v="Yes"/>
    <n v="28"/>
    <s v="No"/>
    <s v="No phone service"/>
    <s v="Fiber optic"/>
    <x v="1"/>
    <s v="Yes"/>
    <s v="Electronic check"/>
    <x v="313"/>
    <n v="2426.4299999999998"/>
    <s v="Peshawar"/>
    <s v="No"/>
    <n v="0"/>
    <x v="1"/>
  </r>
  <r>
    <s v="CUST-00318"/>
    <n v="29"/>
    <s v="No"/>
    <s v="No"/>
    <s v="Yes"/>
    <n v="44"/>
    <s v="Yes"/>
    <s v="Yes"/>
    <s v="No internet"/>
    <x v="2"/>
    <s v="Yes"/>
    <s v="Electronic check"/>
    <x v="314"/>
    <n v="1120.3399999999999"/>
    <s v="Peshawar"/>
    <s v="No"/>
    <n v="0"/>
    <x v="1"/>
  </r>
  <r>
    <s v="CUST-00319"/>
    <n v="27"/>
    <s v="No"/>
    <s v="Yes"/>
    <s v="Yes"/>
    <n v="61"/>
    <s v="Yes"/>
    <s v="No"/>
    <s v="No internet"/>
    <x v="2"/>
    <s v="Yes"/>
    <s v="Electronic check"/>
    <x v="315"/>
    <n v="1656.75"/>
    <s v="Lahore"/>
    <s v="No"/>
    <n v="0"/>
    <x v="1"/>
  </r>
  <r>
    <s v="CUST-00320"/>
    <n v="75"/>
    <s v="Yes"/>
    <s v="No"/>
    <s v="No"/>
    <n v="48"/>
    <s v="No"/>
    <s v="No phone service"/>
    <s v="No internet"/>
    <x v="2"/>
    <s v="No"/>
    <s v="Bank Transfer"/>
    <x v="164"/>
    <n v="1094.94"/>
    <s v="Peshawar"/>
    <s v="No"/>
    <n v="0"/>
    <x v="1"/>
  </r>
  <r>
    <s v="CUST-00321"/>
    <n v="71"/>
    <s v="Yes"/>
    <s v="Yes"/>
    <s v="No"/>
    <n v="18"/>
    <s v="Yes"/>
    <s v="No"/>
    <s v="Fiber optic"/>
    <x v="2"/>
    <s v="No"/>
    <s v="Electronic check"/>
    <x v="316"/>
    <n v="1301.8399999999999"/>
    <s v="Faisalabad"/>
    <s v="Yes"/>
    <n v="1"/>
    <x v="1"/>
  </r>
  <r>
    <s v="CUST-00322"/>
    <n v="25"/>
    <s v="No"/>
    <s v="Yes"/>
    <s v="No"/>
    <n v="27"/>
    <s v="No"/>
    <s v="No phone service"/>
    <s v="DSL"/>
    <x v="2"/>
    <s v="Yes"/>
    <s v="Electronic check"/>
    <x v="317"/>
    <n v="1730.89"/>
    <s v="Rawalpindi"/>
    <s v="No"/>
    <n v="0"/>
    <x v="1"/>
  </r>
  <r>
    <s v="CUST-00323"/>
    <n v="54"/>
    <s v="No"/>
    <s v="No"/>
    <s v="No"/>
    <n v="51"/>
    <s v="No"/>
    <s v="No phone service"/>
    <s v="DSL"/>
    <x v="0"/>
    <s v="No"/>
    <s v="Electronic check"/>
    <x v="318"/>
    <n v="3174.16"/>
    <s v="Faisalabad"/>
    <s v="No"/>
    <n v="0"/>
    <x v="1"/>
  </r>
  <r>
    <s v="CUST-00324"/>
    <n v="40"/>
    <s v="No"/>
    <s v="No"/>
    <s v="Yes"/>
    <n v="16"/>
    <s v="No"/>
    <s v="No phone service"/>
    <s v="DSL"/>
    <x v="0"/>
    <s v="Yes"/>
    <s v="Electronic check"/>
    <x v="319"/>
    <n v="998.42"/>
    <s v="Faisalabad"/>
    <s v="No"/>
    <n v="0"/>
    <x v="1"/>
  </r>
  <r>
    <s v="CUST-00325"/>
    <n v="62"/>
    <s v="Yes"/>
    <s v="Yes"/>
    <s v="Yes"/>
    <n v="50"/>
    <s v="Yes"/>
    <s v="No"/>
    <s v="No internet"/>
    <x v="1"/>
    <s v="No"/>
    <s v="Mailed check"/>
    <x v="320"/>
    <n v="1100.27"/>
    <s v="Lahore"/>
    <s v="No"/>
    <n v="0"/>
    <x v="1"/>
  </r>
  <r>
    <s v="CUST-00326"/>
    <n v="56"/>
    <s v="No"/>
    <s v="Yes"/>
    <s v="No"/>
    <n v="52"/>
    <s v="No"/>
    <s v="No phone service"/>
    <s v="DSL"/>
    <x v="0"/>
    <s v="Yes"/>
    <s v="Mailed check"/>
    <x v="321"/>
    <n v="3849.86"/>
    <s v="Karachi"/>
    <s v="No"/>
    <n v="0"/>
    <x v="1"/>
  </r>
  <r>
    <s v="CUST-00327"/>
    <n v="72"/>
    <s v="Yes"/>
    <s v="No"/>
    <s v="Yes"/>
    <n v="5"/>
    <s v="Yes"/>
    <s v="No"/>
    <s v="DSL"/>
    <x v="0"/>
    <s v="No"/>
    <s v="Electronic check"/>
    <x v="322"/>
    <n v="191.83"/>
    <s v="Peshawar"/>
    <s v="No"/>
    <n v="0"/>
    <x v="1"/>
  </r>
  <r>
    <s v="CUST-00328"/>
    <n v="43"/>
    <s v="No"/>
    <s v="No"/>
    <s v="No"/>
    <n v="52"/>
    <s v="Yes"/>
    <s v="No"/>
    <s v="DSL"/>
    <x v="2"/>
    <s v="Yes"/>
    <s v="Credit card"/>
    <x v="323"/>
    <n v="3616.07"/>
    <s v="Islamabad"/>
    <s v="No"/>
    <n v="0"/>
    <x v="1"/>
  </r>
  <r>
    <s v="CUST-00329"/>
    <n v="70"/>
    <s v="Yes"/>
    <s v="No"/>
    <s v="Yes"/>
    <n v="25"/>
    <s v="No"/>
    <s v="No phone service"/>
    <s v="DSL"/>
    <x v="0"/>
    <s v="No"/>
    <s v="Electronic check"/>
    <x v="324"/>
    <n v="1516.85"/>
    <s v="Islamabad"/>
    <s v="No"/>
    <n v="0"/>
    <x v="1"/>
  </r>
  <r>
    <s v="CUST-00330"/>
    <n v="25"/>
    <s v="No"/>
    <s v="No"/>
    <s v="No"/>
    <n v="57"/>
    <s v="No"/>
    <s v="No phone service"/>
    <s v="No internet"/>
    <x v="0"/>
    <s v="No"/>
    <s v="Mailed check"/>
    <x v="325"/>
    <n v="1333.75"/>
    <s v="Lahore"/>
    <s v="No"/>
    <n v="0"/>
    <x v="1"/>
  </r>
  <r>
    <s v="CUST-00331"/>
    <n v="48"/>
    <s v="No"/>
    <s v="Yes"/>
    <s v="No"/>
    <n v="9"/>
    <s v="Yes"/>
    <s v="No"/>
    <s v="Fiber optic"/>
    <x v="2"/>
    <s v="No"/>
    <s v="Credit card"/>
    <x v="326"/>
    <n v="792.22"/>
    <s v="Islamabad"/>
    <s v="No"/>
    <n v="0"/>
    <x v="1"/>
  </r>
  <r>
    <s v="CUST-00332"/>
    <n v="33"/>
    <s v="No"/>
    <s v="No"/>
    <s v="Yes"/>
    <n v="52"/>
    <s v="No"/>
    <s v="No phone service"/>
    <s v="DSL"/>
    <x v="2"/>
    <s v="Yes"/>
    <s v="Credit card"/>
    <x v="327"/>
    <n v="2948.49"/>
    <s v="Multan"/>
    <s v="Yes"/>
    <n v="1"/>
    <x v="1"/>
  </r>
  <r>
    <s v="CUST-00333"/>
    <n v="61"/>
    <s v="Yes"/>
    <s v="Yes"/>
    <s v="No"/>
    <n v="26"/>
    <s v="Yes"/>
    <s v="No"/>
    <s v="Fiber optic"/>
    <x v="2"/>
    <s v="Yes"/>
    <s v="Bank Transfer"/>
    <x v="328"/>
    <n v="2857.09"/>
    <s v="Lahore"/>
    <s v="No"/>
    <n v="0"/>
    <x v="1"/>
  </r>
  <r>
    <s v="CUST-00334"/>
    <n v="23"/>
    <s v="No"/>
    <s v="No"/>
    <s v="Yes"/>
    <n v="70"/>
    <s v="No"/>
    <s v="No phone service"/>
    <s v="No internet"/>
    <x v="2"/>
    <s v="No"/>
    <s v="Credit card"/>
    <x v="329"/>
    <n v="2186.84"/>
    <s v="Rawalpindi"/>
    <s v="No"/>
    <n v="0"/>
    <x v="1"/>
  </r>
  <r>
    <s v="CUST-00335"/>
    <n v="29"/>
    <s v="No"/>
    <s v="No"/>
    <s v="No"/>
    <n v="29"/>
    <s v="Yes"/>
    <s v="Yes"/>
    <s v="DSL"/>
    <x v="0"/>
    <s v="No"/>
    <s v="Mailed check"/>
    <x v="330"/>
    <n v="1175.75"/>
    <s v="Peshawar"/>
    <s v="No"/>
    <n v="0"/>
    <x v="1"/>
  </r>
  <r>
    <s v="CUST-00336"/>
    <n v="29"/>
    <s v="No"/>
    <s v="No"/>
    <s v="Yes"/>
    <n v="67"/>
    <s v="Yes"/>
    <s v="Yes"/>
    <s v="DSL"/>
    <x v="2"/>
    <s v="Yes"/>
    <s v="Electronic check"/>
    <x v="331"/>
    <n v="4197.54"/>
    <s v="Karachi"/>
    <s v="No"/>
    <n v="0"/>
    <x v="1"/>
  </r>
  <r>
    <s v="CUST-00337"/>
    <n v="35"/>
    <s v="No"/>
    <s v="No"/>
    <s v="No"/>
    <n v="47"/>
    <s v="No"/>
    <s v="No phone service"/>
    <s v="Fiber optic"/>
    <x v="2"/>
    <s v="No"/>
    <s v="Credit card"/>
    <x v="332"/>
    <n v="4206.3900000000003"/>
    <s v="Faisalabad"/>
    <s v="No"/>
    <n v="0"/>
    <x v="1"/>
  </r>
  <r>
    <s v="CUST-00338"/>
    <n v="61"/>
    <s v="Yes"/>
    <s v="Yes"/>
    <s v="Yes"/>
    <n v="35"/>
    <s v="No"/>
    <s v="No phone service"/>
    <s v="No internet"/>
    <x v="1"/>
    <s v="Yes"/>
    <s v="Electronic check"/>
    <x v="333"/>
    <n v="989.41"/>
    <s v="Karachi"/>
    <s v="No"/>
    <n v="0"/>
    <x v="1"/>
  </r>
  <r>
    <s v="CUST-00339"/>
    <n v="44"/>
    <s v="No"/>
    <s v="No"/>
    <s v="Yes"/>
    <n v="67"/>
    <s v="No"/>
    <s v="No phone service"/>
    <s v="DSL"/>
    <x v="0"/>
    <s v="No"/>
    <s v="Electronic check"/>
    <x v="334"/>
    <n v="4710.45"/>
    <s v="Karachi"/>
    <s v="Yes"/>
    <n v="1"/>
    <x v="1"/>
  </r>
  <r>
    <s v="CUST-00340"/>
    <n v="21"/>
    <s v="No"/>
    <s v="Yes"/>
    <s v="No"/>
    <n v="61"/>
    <s v="Yes"/>
    <s v="No"/>
    <s v="No internet"/>
    <x v="2"/>
    <s v="No"/>
    <s v="Credit card"/>
    <x v="335"/>
    <n v="1562.12"/>
    <s v="Rawalpindi"/>
    <s v="No"/>
    <n v="0"/>
    <x v="1"/>
  </r>
  <r>
    <s v="CUST-00341"/>
    <n v="25"/>
    <s v="No"/>
    <s v="No"/>
    <s v="Yes"/>
    <n v="69"/>
    <s v="No"/>
    <s v="No phone service"/>
    <s v="Fiber optic"/>
    <x v="2"/>
    <s v="No"/>
    <s v="Bank Transfer"/>
    <x v="336"/>
    <n v="6049.78"/>
    <s v="Rawalpindi"/>
    <s v="No"/>
    <n v="0"/>
    <x v="1"/>
  </r>
  <r>
    <s v="CUST-00342"/>
    <n v="58"/>
    <s v="No"/>
    <s v="Yes"/>
    <s v="Yes"/>
    <n v="44"/>
    <s v="No"/>
    <s v="No phone service"/>
    <s v="Fiber optic"/>
    <x v="1"/>
    <s v="Yes"/>
    <s v="Electronic check"/>
    <x v="337"/>
    <n v="3750.06"/>
    <s v="Multan"/>
    <s v="No"/>
    <n v="0"/>
    <x v="1"/>
  </r>
  <r>
    <s v="CUST-00343"/>
    <n v="35"/>
    <s v="No"/>
    <s v="No"/>
    <s v="No"/>
    <n v="57"/>
    <s v="No"/>
    <s v="No phone service"/>
    <s v="DSL"/>
    <x v="0"/>
    <s v="No"/>
    <s v="Credit card"/>
    <x v="338"/>
    <n v="2545.0300000000002"/>
    <s v="Multan"/>
    <s v="No"/>
    <n v="0"/>
    <x v="1"/>
  </r>
  <r>
    <s v="CUST-00344"/>
    <n v="34"/>
    <s v="No"/>
    <s v="Yes"/>
    <s v="Yes"/>
    <n v="22"/>
    <s v="Yes"/>
    <s v="Yes"/>
    <s v="Fiber optic"/>
    <x v="1"/>
    <s v="Yes"/>
    <s v="Electronic check"/>
    <x v="339"/>
    <n v="2039.56"/>
    <s v="Islamabad"/>
    <s v="Yes"/>
    <n v="1"/>
    <x v="1"/>
  </r>
  <r>
    <s v="CUST-00345"/>
    <n v="57"/>
    <s v="No"/>
    <s v="Yes"/>
    <s v="Yes"/>
    <n v="50"/>
    <s v="Yes"/>
    <s v="No"/>
    <s v="Fiber optic"/>
    <x v="2"/>
    <s v="Yes"/>
    <s v="Electronic check"/>
    <x v="340"/>
    <n v="5279.9"/>
    <s v="Peshawar"/>
    <s v="No"/>
    <n v="0"/>
    <x v="1"/>
  </r>
  <r>
    <s v="CUST-00346"/>
    <n v="38"/>
    <s v="No"/>
    <s v="No"/>
    <s v="No"/>
    <n v="70"/>
    <s v="No"/>
    <s v="No phone service"/>
    <s v="No internet"/>
    <x v="2"/>
    <s v="Yes"/>
    <s v="Credit card"/>
    <x v="341"/>
    <n v="1692.69"/>
    <s v="Rawalpindi"/>
    <s v="No"/>
    <n v="0"/>
    <x v="1"/>
  </r>
  <r>
    <s v="CUST-00347"/>
    <n v="51"/>
    <s v="No"/>
    <s v="No"/>
    <s v="No"/>
    <n v="62"/>
    <s v="Yes"/>
    <s v="No"/>
    <s v="DSL"/>
    <x v="2"/>
    <s v="No"/>
    <s v="Electronic check"/>
    <x v="342"/>
    <n v="2513.0500000000002"/>
    <s v="Karachi"/>
    <s v="No"/>
    <n v="0"/>
    <x v="1"/>
  </r>
  <r>
    <s v="CUST-00348"/>
    <n v="40"/>
    <s v="No"/>
    <s v="No"/>
    <s v="No"/>
    <n v="69"/>
    <s v="No"/>
    <s v="No phone service"/>
    <s v="Fiber optic"/>
    <x v="1"/>
    <s v="No"/>
    <s v="Electronic check"/>
    <x v="343"/>
    <n v="7739.18"/>
    <s v="Peshawar"/>
    <s v="No"/>
    <n v="0"/>
    <x v="1"/>
  </r>
  <r>
    <s v="CUST-00349"/>
    <n v="18"/>
    <s v="No"/>
    <s v="No"/>
    <s v="Yes"/>
    <n v="53"/>
    <s v="No"/>
    <s v="No phone service"/>
    <s v="No internet"/>
    <x v="2"/>
    <s v="Yes"/>
    <s v="Bank Transfer"/>
    <x v="344"/>
    <n v="1418.54"/>
    <s v="Lahore"/>
    <s v="Yes"/>
    <n v="1"/>
    <x v="1"/>
  </r>
  <r>
    <s v="CUST-00350"/>
    <n v="45"/>
    <s v="No"/>
    <s v="Yes"/>
    <s v="No"/>
    <n v="37"/>
    <s v="No"/>
    <s v="No phone service"/>
    <s v="DSL"/>
    <x v="2"/>
    <s v="Yes"/>
    <s v="Electronic check"/>
    <x v="345"/>
    <n v="1939.81"/>
    <s v="Islamabad"/>
    <s v="No"/>
    <n v="0"/>
    <x v="1"/>
  </r>
  <r>
    <s v="CUST-00351"/>
    <n v="62"/>
    <s v="Yes"/>
    <s v="No"/>
    <s v="Yes"/>
    <n v="42"/>
    <s v="Yes"/>
    <s v="No"/>
    <s v="Fiber optic"/>
    <x v="2"/>
    <s v="Yes"/>
    <s v="Electronic check"/>
    <x v="346"/>
    <n v="3178.83"/>
    <s v="Lahore"/>
    <s v="Yes"/>
    <n v="1"/>
    <x v="1"/>
  </r>
  <r>
    <s v="CUST-00352"/>
    <n v="27"/>
    <s v="No"/>
    <s v="Yes"/>
    <s v="No"/>
    <n v="28"/>
    <s v="No"/>
    <s v="No phone service"/>
    <s v="Fiber optic"/>
    <x v="0"/>
    <s v="No"/>
    <s v="Mailed check"/>
    <x v="347"/>
    <n v="2700.28"/>
    <s v="Peshawar"/>
    <s v="No"/>
    <n v="0"/>
    <x v="1"/>
  </r>
  <r>
    <s v="CUST-00353"/>
    <n v="66"/>
    <s v="Yes"/>
    <s v="Yes"/>
    <s v="Yes"/>
    <n v="35"/>
    <s v="Yes"/>
    <s v="No"/>
    <s v="DSL"/>
    <x v="2"/>
    <s v="No"/>
    <s v="Bank Transfer"/>
    <x v="348"/>
    <n v="2443.44"/>
    <s v="Karachi"/>
    <s v="No"/>
    <n v="0"/>
    <x v="1"/>
  </r>
  <r>
    <s v="CUST-00354"/>
    <n v="42"/>
    <s v="No"/>
    <s v="No"/>
    <s v="Yes"/>
    <n v="5"/>
    <s v="Yes"/>
    <s v="No"/>
    <s v="Fiber optic"/>
    <x v="1"/>
    <s v="No"/>
    <s v="Credit card"/>
    <x v="349"/>
    <n v="621.20000000000005"/>
    <s v="Multan"/>
    <s v="Yes"/>
    <n v="1"/>
    <x v="1"/>
  </r>
  <r>
    <s v="CUST-00355"/>
    <n v="20"/>
    <s v="No"/>
    <s v="Yes"/>
    <s v="No"/>
    <n v="62"/>
    <s v="Yes"/>
    <s v="No"/>
    <s v="DSL"/>
    <x v="2"/>
    <s v="Yes"/>
    <s v="Mailed check"/>
    <x v="350"/>
    <n v="3041.06"/>
    <s v="Peshawar"/>
    <s v="Yes"/>
    <n v="1"/>
    <x v="1"/>
  </r>
  <r>
    <s v="CUST-00356"/>
    <n v="35"/>
    <s v="No"/>
    <s v="Yes"/>
    <s v="No"/>
    <n v="32"/>
    <s v="Yes"/>
    <s v="No"/>
    <s v="Fiber optic"/>
    <x v="0"/>
    <s v="Yes"/>
    <s v="Credit card"/>
    <x v="351"/>
    <n v="2285.15"/>
    <s v="Faisalabad"/>
    <s v="Yes"/>
    <n v="1"/>
    <x v="1"/>
  </r>
  <r>
    <s v="CUST-00357"/>
    <n v="39"/>
    <s v="No"/>
    <s v="Yes"/>
    <s v="Yes"/>
    <n v="46"/>
    <s v="Yes"/>
    <s v="Yes"/>
    <s v="DSL"/>
    <x v="2"/>
    <s v="No"/>
    <s v="Bank Transfer"/>
    <x v="352"/>
    <n v="2549.7600000000002"/>
    <s v="Islamabad"/>
    <s v="No"/>
    <n v="0"/>
    <x v="1"/>
  </r>
  <r>
    <s v="CUST-00358"/>
    <n v="64"/>
    <s v="Yes"/>
    <s v="Yes"/>
    <s v="No"/>
    <n v="6"/>
    <s v="No"/>
    <s v="No phone service"/>
    <s v="DSL"/>
    <x v="0"/>
    <s v="No"/>
    <s v="Electronic check"/>
    <x v="353"/>
    <n v="279.61"/>
    <s v="Islamabad"/>
    <s v="No"/>
    <n v="0"/>
    <x v="1"/>
  </r>
  <r>
    <s v="CUST-00359"/>
    <n v="73"/>
    <s v="Yes"/>
    <s v="Yes"/>
    <s v="Yes"/>
    <n v="68"/>
    <s v="No"/>
    <s v="No phone service"/>
    <s v="Fiber optic"/>
    <x v="1"/>
    <s v="No"/>
    <s v="Credit card"/>
    <x v="354"/>
    <n v="7403.69"/>
    <s v="Lahore"/>
    <s v="No"/>
    <n v="0"/>
    <x v="1"/>
  </r>
  <r>
    <s v="CUST-00360"/>
    <n v="57"/>
    <s v="No"/>
    <s v="No"/>
    <s v="Yes"/>
    <n v="42"/>
    <s v="No"/>
    <s v="No phone service"/>
    <s v="DSL"/>
    <x v="2"/>
    <s v="No"/>
    <s v="Bank Transfer"/>
    <x v="355"/>
    <n v="1888.67"/>
    <s v="Islamabad"/>
    <s v="No"/>
    <n v="0"/>
    <x v="1"/>
  </r>
  <r>
    <s v="CUST-00361"/>
    <n v="25"/>
    <s v="No"/>
    <s v="Yes"/>
    <s v="Yes"/>
    <n v="6"/>
    <s v="Yes"/>
    <s v="Yes"/>
    <s v="No internet"/>
    <x v="2"/>
    <s v="Yes"/>
    <s v="Credit card"/>
    <x v="356"/>
    <n v="116.12"/>
    <s v="Multan"/>
    <s v="No"/>
    <n v="0"/>
    <x v="1"/>
  </r>
  <r>
    <s v="CUST-00362"/>
    <n v="49"/>
    <s v="No"/>
    <s v="No"/>
    <s v="Yes"/>
    <n v="47"/>
    <s v="Yes"/>
    <s v="Yes"/>
    <s v="Fiber optic"/>
    <x v="1"/>
    <s v="No"/>
    <s v="Mailed check"/>
    <x v="357"/>
    <n v="5225.1000000000004"/>
    <s v="Islamabad"/>
    <s v="No"/>
    <n v="0"/>
    <x v="1"/>
  </r>
  <r>
    <s v="CUST-00363"/>
    <n v="53"/>
    <s v="No"/>
    <s v="No"/>
    <s v="No"/>
    <n v="8"/>
    <s v="No"/>
    <s v="No phone service"/>
    <s v="No internet"/>
    <x v="2"/>
    <s v="Yes"/>
    <s v="Bank Transfer"/>
    <x v="245"/>
    <n v="146.35"/>
    <s v="Lahore"/>
    <s v="No"/>
    <n v="0"/>
    <x v="1"/>
  </r>
  <r>
    <s v="CUST-00364"/>
    <n v="64"/>
    <s v="Yes"/>
    <s v="Yes"/>
    <s v="No"/>
    <n v="25"/>
    <s v="Yes"/>
    <s v="No"/>
    <s v="Fiber optic"/>
    <x v="1"/>
    <s v="No"/>
    <s v="Bank Transfer"/>
    <x v="358"/>
    <n v="2732.63"/>
    <s v="Multan"/>
    <s v="No"/>
    <n v="0"/>
    <x v="1"/>
  </r>
  <r>
    <s v="CUST-00365"/>
    <n v="60"/>
    <s v="Yes"/>
    <s v="No"/>
    <s v="Yes"/>
    <n v="22"/>
    <s v="No"/>
    <s v="No phone service"/>
    <s v="DSL"/>
    <x v="2"/>
    <s v="Yes"/>
    <s v="Credit card"/>
    <x v="359"/>
    <n v="1481.25"/>
    <s v="Faisalabad"/>
    <s v="No"/>
    <n v="0"/>
    <x v="1"/>
  </r>
  <r>
    <s v="CUST-00366"/>
    <n v="38"/>
    <s v="No"/>
    <s v="No"/>
    <s v="No"/>
    <n v="56"/>
    <s v="No"/>
    <s v="No phone service"/>
    <s v="No internet"/>
    <x v="0"/>
    <s v="Yes"/>
    <s v="Credit card"/>
    <x v="224"/>
    <n v="1418.03"/>
    <s v="Rawalpindi"/>
    <s v="No"/>
    <n v="0"/>
    <x v="1"/>
  </r>
  <r>
    <s v="CUST-00367"/>
    <n v="46"/>
    <s v="No"/>
    <s v="No"/>
    <s v="Yes"/>
    <n v="5"/>
    <s v="Yes"/>
    <s v="No"/>
    <s v="No internet"/>
    <x v="1"/>
    <s v="No"/>
    <s v="Electronic check"/>
    <x v="360"/>
    <n v="143.94999999999999"/>
    <s v="Peshawar"/>
    <s v="Yes"/>
    <n v="1"/>
    <x v="1"/>
  </r>
  <r>
    <s v="CUST-00368"/>
    <n v="70"/>
    <s v="Yes"/>
    <s v="No"/>
    <s v="Yes"/>
    <n v="13"/>
    <s v="No"/>
    <s v="No phone service"/>
    <s v="Fiber optic"/>
    <x v="2"/>
    <s v="No"/>
    <s v="Credit card"/>
    <x v="361"/>
    <n v="1247.1500000000001"/>
    <s v="Lahore"/>
    <s v="No"/>
    <n v="0"/>
    <x v="1"/>
  </r>
  <r>
    <s v="CUST-00369"/>
    <n v="54"/>
    <s v="No"/>
    <s v="No"/>
    <s v="Yes"/>
    <n v="10"/>
    <s v="No"/>
    <s v="No phone service"/>
    <s v="DSL"/>
    <x v="2"/>
    <s v="Yes"/>
    <s v="Credit card"/>
    <x v="362"/>
    <n v="534.61"/>
    <s v="Lahore"/>
    <s v="No"/>
    <n v="0"/>
    <x v="1"/>
  </r>
  <r>
    <s v="CUST-00370"/>
    <n v="67"/>
    <s v="Yes"/>
    <s v="Yes"/>
    <s v="No"/>
    <n v="45"/>
    <s v="No"/>
    <s v="No phone service"/>
    <s v="No internet"/>
    <x v="2"/>
    <s v="Yes"/>
    <s v="Mailed check"/>
    <x v="363"/>
    <n v="949.49"/>
    <s v="Lahore"/>
    <s v="No"/>
    <n v="0"/>
    <x v="1"/>
  </r>
  <r>
    <s v="CUST-00371"/>
    <n v="58"/>
    <s v="No"/>
    <s v="No"/>
    <s v="Yes"/>
    <n v="40"/>
    <s v="No"/>
    <s v="No phone service"/>
    <s v="DSL"/>
    <x v="2"/>
    <s v="Yes"/>
    <s v="Electronic check"/>
    <x v="364"/>
    <n v="2603.35"/>
    <s v="Rawalpindi"/>
    <s v="No"/>
    <n v="0"/>
    <x v="1"/>
  </r>
  <r>
    <s v="CUST-00372"/>
    <n v="46"/>
    <s v="No"/>
    <s v="Yes"/>
    <s v="Yes"/>
    <n v="56"/>
    <s v="No"/>
    <s v="No phone service"/>
    <s v="Fiber optic"/>
    <x v="2"/>
    <s v="No"/>
    <s v="Electronic check"/>
    <x v="365"/>
    <n v="5221.3900000000003"/>
    <s v="Lahore"/>
    <s v="Yes"/>
    <n v="1"/>
    <x v="1"/>
  </r>
  <r>
    <s v="CUST-00373"/>
    <n v="43"/>
    <s v="No"/>
    <s v="No"/>
    <s v="Yes"/>
    <n v="18"/>
    <s v="Yes"/>
    <s v="No"/>
    <s v="DSL"/>
    <x v="0"/>
    <s v="Yes"/>
    <s v="Credit card"/>
    <x v="366"/>
    <n v="1442.02"/>
    <s v="Islamabad"/>
    <s v="No"/>
    <n v="0"/>
    <x v="1"/>
  </r>
  <r>
    <s v="CUST-00374"/>
    <n v="67"/>
    <s v="Yes"/>
    <s v="No"/>
    <s v="No"/>
    <n v="12"/>
    <s v="No"/>
    <s v="No phone service"/>
    <s v="Fiber optic"/>
    <x v="2"/>
    <s v="No"/>
    <s v="Electronic check"/>
    <x v="367"/>
    <n v="1066.28"/>
    <s v="Karachi"/>
    <s v="No"/>
    <n v="0"/>
    <x v="1"/>
  </r>
  <r>
    <s v="CUST-00375"/>
    <n v="40"/>
    <s v="No"/>
    <s v="No"/>
    <s v="Yes"/>
    <n v="57"/>
    <s v="Yes"/>
    <s v="Yes"/>
    <s v="Fiber optic"/>
    <x v="2"/>
    <s v="Yes"/>
    <s v="Electronic check"/>
    <x v="368"/>
    <n v="4368.95"/>
    <s v="Peshawar"/>
    <s v="No"/>
    <n v="0"/>
    <x v="1"/>
  </r>
  <r>
    <s v="CUST-00376"/>
    <n v="71"/>
    <s v="Yes"/>
    <s v="No"/>
    <s v="Yes"/>
    <n v="44"/>
    <s v="Yes"/>
    <s v="Yes"/>
    <s v="DSL"/>
    <x v="2"/>
    <s v="No"/>
    <s v="Electronic check"/>
    <x v="369"/>
    <n v="2610.67"/>
    <s v="Islamabad"/>
    <s v="No"/>
    <n v="0"/>
    <x v="1"/>
  </r>
  <r>
    <s v="CUST-00377"/>
    <n v="53"/>
    <s v="No"/>
    <s v="No"/>
    <s v="Yes"/>
    <n v="3"/>
    <s v="Yes"/>
    <s v="Yes"/>
    <s v="Fiber optic"/>
    <x v="2"/>
    <s v="Yes"/>
    <s v="Bank Transfer"/>
    <x v="370"/>
    <n v="286.47000000000003"/>
    <s v="Lahore"/>
    <s v="No"/>
    <n v="0"/>
    <x v="1"/>
  </r>
  <r>
    <s v="CUST-00378"/>
    <n v="22"/>
    <s v="No"/>
    <s v="No"/>
    <s v="No"/>
    <n v="47"/>
    <s v="Yes"/>
    <s v="Yes"/>
    <s v="No internet"/>
    <x v="1"/>
    <s v="No"/>
    <s v="Electronic check"/>
    <x v="164"/>
    <n v="1121.46"/>
    <s v="Islamabad"/>
    <s v="Yes"/>
    <n v="1"/>
    <x v="1"/>
  </r>
  <r>
    <s v="CUST-00379"/>
    <n v="49"/>
    <s v="No"/>
    <s v="Yes"/>
    <s v="Yes"/>
    <n v="26"/>
    <s v="No"/>
    <s v="No phone service"/>
    <s v="DSL"/>
    <x v="0"/>
    <s v="Yes"/>
    <s v="Electronic check"/>
    <x v="371"/>
    <n v="1952.34"/>
    <s v="Multan"/>
    <s v="No"/>
    <n v="0"/>
    <x v="1"/>
  </r>
  <r>
    <s v="CUST-00380"/>
    <n v="28"/>
    <s v="No"/>
    <s v="Yes"/>
    <s v="No"/>
    <n v="46"/>
    <s v="No"/>
    <s v="No phone service"/>
    <s v="Fiber optic"/>
    <x v="2"/>
    <s v="No"/>
    <s v="Bank Transfer"/>
    <x v="372"/>
    <n v="4871.07"/>
    <s v="Peshawar"/>
    <s v="No"/>
    <n v="0"/>
    <x v="1"/>
  </r>
  <r>
    <s v="CUST-00381"/>
    <n v="19"/>
    <s v="No"/>
    <s v="No"/>
    <s v="Yes"/>
    <n v="20"/>
    <s v="No"/>
    <s v="No phone service"/>
    <s v="Fiber optic"/>
    <x v="0"/>
    <s v="Yes"/>
    <s v="Bank Transfer"/>
    <x v="373"/>
    <n v="1961.83"/>
    <s v="Multan"/>
    <s v="No"/>
    <n v="0"/>
    <x v="1"/>
  </r>
  <r>
    <s v="CUST-00382"/>
    <n v="32"/>
    <s v="No"/>
    <s v="No"/>
    <s v="Yes"/>
    <n v="20"/>
    <s v="No"/>
    <s v="No phone service"/>
    <s v="Fiber optic"/>
    <x v="1"/>
    <s v="No"/>
    <s v="Credit card"/>
    <x v="374"/>
    <n v="1559.83"/>
    <s v="Multan"/>
    <s v="No"/>
    <n v="0"/>
    <x v="1"/>
  </r>
  <r>
    <s v="CUST-00383"/>
    <n v="69"/>
    <s v="Yes"/>
    <s v="Yes"/>
    <s v="Yes"/>
    <n v="40"/>
    <s v="Yes"/>
    <s v="No"/>
    <s v="DSL"/>
    <x v="1"/>
    <s v="Yes"/>
    <s v="Bank Transfer"/>
    <x v="375"/>
    <n v="2400.87"/>
    <s v="Faisalabad"/>
    <s v="Yes"/>
    <n v="1"/>
    <x v="1"/>
  </r>
  <r>
    <s v="CUST-00384"/>
    <n v="64"/>
    <s v="Yes"/>
    <s v="Yes"/>
    <s v="Yes"/>
    <n v="41"/>
    <s v="Yes"/>
    <s v="No"/>
    <s v="No internet"/>
    <x v="0"/>
    <s v="No"/>
    <s v="Mailed check"/>
    <x v="376"/>
    <n v="913.39"/>
    <s v="Multan"/>
    <s v="No"/>
    <n v="0"/>
    <x v="1"/>
  </r>
  <r>
    <s v="CUST-00385"/>
    <n v="65"/>
    <s v="Yes"/>
    <s v="No"/>
    <s v="Yes"/>
    <n v="25"/>
    <s v="Yes"/>
    <s v="Yes"/>
    <s v="Fiber optic"/>
    <x v="1"/>
    <s v="No"/>
    <s v="Bank Transfer"/>
    <x v="377"/>
    <n v="2544.59"/>
    <s v="Lahore"/>
    <s v="Yes"/>
    <n v="1"/>
    <x v="1"/>
  </r>
  <r>
    <s v="CUST-00386"/>
    <n v="40"/>
    <s v="No"/>
    <s v="Yes"/>
    <s v="No"/>
    <n v="18"/>
    <s v="No"/>
    <s v="No phone service"/>
    <s v="DSL"/>
    <x v="0"/>
    <s v="No"/>
    <s v="Electronic check"/>
    <x v="378"/>
    <n v="995.86"/>
    <s v="Karachi"/>
    <s v="Yes"/>
    <n v="1"/>
    <x v="1"/>
  </r>
  <r>
    <s v="CUST-00387"/>
    <n v="20"/>
    <s v="No"/>
    <s v="No"/>
    <s v="Yes"/>
    <n v="35"/>
    <s v="Yes"/>
    <s v="No"/>
    <s v="No internet"/>
    <x v="1"/>
    <s v="Yes"/>
    <s v="Electronic check"/>
    <x v="379"/>
    <n v="1078.96"/>
    <s v="Rawalpindi"/>
    <s v="No"/>
    <n v="0"/>
    <x v="1"/>
  </r>
  <r>
    <s v="CUST-00388"/>
    <n v="62"/>
    <s v="Yes"/>
    <s v="No"/>
    <s v="No"/>
    <n v="32"/>
    <s v="Yes"/>
    <s v="No"/>
    <s v="Fiber optic"/>
    <x v="1"/>
    <s v="No"/>
    <s v="Credit card"/>
    <x v="380"/>
    <n v="3775.03"/>
    <s v="Multan"/>
    <s v="No"/>
    <n v="0"/>
    <x v="1"/>
  </r>
  <r>
    <s v="CUST-00389"/>
    <n v="74"/>
    <s v="Yes"/>
    <s v="Yes"/>
    <s v="Yes"/>
    <n v="58"/>
    <s v="Yes"/>
    <s v="No"/>
    <s v="DSL"/>
    <x v="2"/>
    <s v="No"/>
    <s v="Mailed check"/>
    <x v="381"/>
    <n v="2378.48"/>
    <s v="Lahore"/>
    <s v="No"/>
    <n v="0"/>
    <x v="1"/>
  </r>
  <r>
    <s v="CUST-00390"/>
    <n v="30"/>
    <s v="No"/>
    <s v="No"/>
    <s v="No"/>
    <n v="51"/>
    <s v="No"/>
    <s v="No phone service"/>
    <s v="No internet"/>
    <x v="2"/>
    <s v="No"/>
    <s v="Electronic check"/>
    <x v="382"/>
    <n v="1514.28"/>
    <s v="Rawalpindi"/>
    <s v="No"/>
    <n v="0"/>
    <x v="1"/>
  </r>
  <r>
    <s v="CUST-00391"/>
    <n v="71"/>
    <s v="Yes"/>
    <s v="No"/>
    <s v="Yes"/>
    <n v="65"/>
    <s v="Yes"/>
    <s v="No"/>
    <s v="Fiber optic"/>
    <x v="2"/>
    <s v="Yes"/>
    <s v="Electronic check"/>
    <x v="383"/>
    <n v="6633.86"/>
    <s v="Rawalpindi"/>
    <s v="Yes"/>
    <n v="1"/>
    <x v="1"/>
  </r>
  <r>
    <s v="CUST-00392"/>
    <n v="23"/>
    <s v="No"/>
    <s v="No"/>
    <s v="No"/>
    <n v="21"/>
    <s v="Yes"/>
    <s v="Yes"/>
    <s v="DSL"/>
    <x v="0"/>
    <s v="No"/>
    <s v="Electronic check"/>
    <x v="384"/>
    <n v="1473.13"/>
    <s v="Faisalabad"/>
    <s v="No"/>
    <n v="0"/>
    <x v="1"/>
  </r>
  <r>
    <s v="CUST-00393"/>
    <n v="28"/>
    <s v="No"/>
    <s v="No"/>
    <s v="No"/>
    <n v="6"/>
    <s v="No"/>
    <s v="No phone service"/>
    <s v="DSL"/>
    <x v="0"/>
    <s v="Yes"/>
    <s v="Electronic check"/>
    <x v="385"/>
    <n v="283.55"/>
    <s v="Islamabad"/>
    <s v="Yes"/>
    <n v="1"/>
    <x v="1"/>
  </r>
  <r>
    <s v="CUST-00394"/>
    <n v="37"/>
    <s v="No"/>
    <s v="No"/>
    <s v="No"/>
    <n v="24"/>
    <s v="Yes"/>
    <s v="No"/>
    <s v="Fiber optic"/>
    <x v="2"/>
    <s v="No"/>
    <s v="Electronic check"/>
    <x v="386"/>
    <n v="2276.75"/>
    <s v="Faisalabad"/>
    <s v="No"/>
    <n v="0"/>
    <x v="1"/>
  </r>
  <r>
    <s v="CUST-00395"/>
    <n v="74"/>
    <s v="Yes"/>
    <s v="No"/>
    <s v="Yes"/>
    <n v="28"/>
    <s v="No"/>
    <s v="No phone service"/>
    <s v="DSL"/>
    <x v="2"/>
    <s v="No"/>
    <s v="Electronic check"/>
    <x v="359"/>
    <n v="1737.1"/>
    <s v="Faisalabad"/>
    <s v="No"/>
    <n v="0"/>
    <x v="1"/>
  </r>
  <r>
    <s v="CUST-00396"/>
    <n v="58"/>
    <s v="No"/>
    <s v="Yes"/>
    <s v="Yes"/>
    <n v="24"/>
    <s v="No"/>
    <s v="No phone service"/>
    <s v="Fiber optic"/>
    <x v="2"/>
    <s v="Yes"/>
    <s v="Bank Transfer"/>
    <x v="387"/>
    <n v="2620.64"/>
    <s v="Lahore"/>
    <s v="No"/>
    <n v="0"/>
    <x v="1"/>
  </r>
  <r>
    <s v="CUST-00397"/>
    <n v="24"/>
    <s v="No"/>
    <s v="No"/>
    <s v="Yes"/>
    <n v="21"/>
    <s v="Yes"/>
    <s v="No"/>
    <s v="DSL"/>
    <x v="0"/>
    <s v="No"/>
    <s v="Mailed check"/>
    <x v="388"/>
    <n v="896.21"/>
    <s v="Rawalpindi"/>
    <s v="No"/>
    <n v="0"/>
    <x v="1"/>
  </r>
  <r>
    <s v="CUST-00398"/>
    <n v="70"/>
    <s v="Yes"/>
    <s v="Yes"/>
    <s v="No"/>
    <n v="71"/>
    <s v="No"/>
    <s v="No phone service"/>
    <s v="Fiber optic"/>
    <x v="2"/>
    <s v="No"/>
    <s v="Electronic check"/>
    <x v="389"/>
    <n v="6214.79"/>
    <s v="Lahore"/>
    <s v="Yes"/>
    <n v="1"/>
    <x v="1"/>
  </r>
  <r>
    <s v="CUST-00399"/>
    <n v="24"/>
    <s v="No"/>
    <s v="Yes"/>
    <s v="No"/>
    <n v="37"/>
    <s v="No"/>
    <s v="No phone service"/>
    <s v="Fiber optic"/>
    <x v="2"/>
    <s v="No"/>
    <s v="Mailed check"/>
    <x v="390"/>
    <n v="3724.66"/>
    <s v="Rawalpindi"/>
    <s v="No"/>
    <n v="0"/>
    <x v="1"/>
  </r>
  <r>
    <s v="CUST-00400"/>
    <n v="49"/>
    <s v="No"/>
    <s v="Yes"/>
    <s v="Yes"/>
    <n v="38"/>
    <s v="Yes"/>
    <s v="Yes"/>
    <s v="No internet"/>
    <x v="2"/>
    <s v="Yes"/>
    <s v="Bank Transfer"/>
    <x v="391"/>
    <n v="789.39"/>
    <s v="Lahore"/>
    <s v="No"/>
    <n v="0"/>
    <x v="1"/>
  </r>
  <r>
    <s v="CUST-00401"/>
    <n v="39"/>
    <s v="No"/>
    <s v="No"/>
    <s v="Yes"/>
    <n v="2"/>
    <s v="No"/>
    <s v="No phone service"/>
    <s v="DSL"/>
    <x v="2"/>
    <s v="Yes"/>
    <s v="Electronic check"/>
    <x v="392"/>
    <n v="117.99"/>
    <s v="Multan"/>
    <s v="Yes"/>
    <n v="1"/>
    <x v="1"/>
  </r>
  <r>
    <s v="CUST-00402"/>
    <n v="39"/>
    <s v="No"/>
    <s v="No"/>
    <s v="No"/>
    <n v="4"/>
    <s v="Yes"/>
    <s v="Yes"/>
    <s v="No internet"/>
    <x v="2"/>
    <s v="No"/>
    <s v="Mailed check"/>
    <x v="393"/>
    <n v="112.21"/>
    <s v="Multan"/>
    <s v="Yes"/>
    <n v="1"/>
    <x v="1"/>
  </r>
  <r>
    <s v="CUST-00403"/>
    <n v="47"/>
    <s v="No"/>
    <s v="No"/>
    <s v="No"/>
    <n v="53"/>
    <s v="Yes"/>
    <s v="No"/>
    <s v="No internet"/>
    <x v="2"/>
    <s v="No"/>
    <s v="Credit card"/>
    <x v="394"/>
    <n v="974.63"/>
    <s v="Peshawar"/>
    <s v="No"/>
    <n v="0"/>
    <x v="1"/>
  </r>
  <r>
    <s v="CUST-00404"/>
    <n v="40"/>
    <s v="No"/>
    <s v="Yes"/>
    <s v="Yes"/>
    <n v="36"/>
    <s v="No"/>
    <s v="No phone service"/>
    <s v="No internet"/>
    <x v="1"/>
    <s v="Yes"/>
    <s v="Credit card"/>
    <x v="395"/>
    <n v="825.44"/>
    <s v="Peshawar"/>
    <s v="No"/>
    <n v="0"/>
    <x v="1"/>
  </r>
  <r>
    <s v="CUST-00405"/>
    <n v="37"/>
    <s v="No"/>
    <s v="No"/>
    <s v="Yes"/>
    <n v="35"/>
    <s v="No"/>
    <s v="No phone service"/>
    <s v="Fiber optic"/>
    <x v="1"/>
    <s v="No"/>
    <s v="Credit card"/>
    <x v="396"/>
    <n v="3973.77"/>
    <s v="Lahore"/>
    <s v="No"/>
    <n v="0"/>
    <x v="1"/>
  </r>
  <r>
    <s v="CUST-00406"/>
    <n v="41"/>
    <s v="No"/>
    <s v="Yes"/>
    <s v="Yes"/>
    <n v="12"/>
    <s v="Yes"/>
    <s v="No"/>
    <s v="Fiber optic"/>
    <x v="1"/>
    <s v="Yes"/>
    <s v="Electronic check"/>
    <x v="397"/>
    <n v="1433.05"/>
    <s v="Peshawar"/>
    <s v="No"/>
    <n v="0"/>
    <x v="1"/>
  </r>
  <r>
    <s v="CUST-00407"/>
    <n v="38"/>
    <s v="No"/>
    <s v="Yes"/>
    <s v="Yes"/>
    <n v="67"/>
    <s v="Yes"/>
    <s v="Yes"/>
    <s v="DSL"/>
    <x v="2"/>
    <s v="No"/>
    <s v="Bank Transfer"/>
    <x v="398"/>
    <n v="3836.86"/>
    <s v="Multan"/>
    <s v="No"/>
    <n v="0"/>
    <x v="1"/>
  </r>
  <r>
    <s v="CUST-00408"/>
    <n v="72"/>
    <s v="Yes"/>
    <s v="Yes"/>
    <s v="No"/>
    <n v="60"/>
    <s v="Yes"/>
    <s v="No"/>
    <s v="No internet"/>
    <x v="0"/>
    <s v="No"/>
    <s v="Electronic check"/>
    <x v="399"/>
    <n v="1653.09"/>
    <s v="Karachi"/>
    <s v="Yes"/>
    <n v="1"/>
    <x v="1"/>
  </r>
  <r>
    <s v="CUST-00409"/>
    <n v="30"/>
    <s v="No"/>
    <s v="No"/>
    <s v="No"/>
    <n v="69"/>
    <s v="No"/>
    <s v="No phone service"/>
    <s v="Fiber optic"/>
    <x v="0"/>
    <s v="No"/>
    <s v="Electronic check"/>
    <x v="400"/>
    <n v="5438.06"/>
    <s v="Faisalabad"/>
    <s v="No"/>
    <n v="0"/>
    <x v="1"/>
  </r>
  <r>
    <s v="CUST-00410"/>
    <n v="24"/>
    <s v="No"/>
    <s v="Yes"/>
    <s v="No"/>
    <n v="71"/>
    <s v="Yes"/>
    <s v="No"/>
    <s v="Fiber optic"/>
    <x v="1"/>
    <s v="Yes"/>
    <s v="Electronic check"/>
    <x v="401"/>
    <n v="6361.44"/>
    <s v="Lahore"/>
    <s v="No"/>
    <n v="0"/>
    <x v="1"/>
  </r>
  <r>
    <s v="CUST-00411"/>
    <n v="26"/>
    <s v="No"/>
    <s v="Yes"/>
    <s v="No"/>
    <n v="7"/>
    <s v="Yes"/>
    <s v="Yes"/>
    <s v="Fiber optic"/>
    <x v="2"/>
    <s v="No"/>
    <s v="Bank Transfer"/>
    <x v="402"/>
    <n v="622.16999999999996"/>
    <s v="Multan"/>
    <s v="No"/>
    <n v="0"/>
    <x v="1"/>
  </r>
  <r>
    <s v="CUST-00412"/>
    <n v="69"/>
    <s v="Yes"/>
    <s v="Yes"/>
    <s v="No"/>
    <n v="17"/>
    <s v="No"/>
    <s v="No phone service"/>
    <s v="Fiber optic"/>
    <x v="2"/>
    <s v="No"/>
    <s v="Bank Transfer"/>
    <x v="403"/>
    <n v="1786.22"/>
    <s v="Karachi"/>
    <s v="Yes"/>
    <n v="1"/>
    <x v="1"/>
  </r>
  <r>
    <s v="CUST-00413"/>
    <n v="27"/>
    <s v="No"/>
    <s v="No"/>
    <s v="No"/>
    <n v="51"/>
    <s v="No"/>
    <s v="No phone service"/>
    <s v="Fiber optic"/>
    <x v="0"/>
    <s v="No"/>
    <s v="Credit card"/>
    <x v="404"/>
    <n v="3636.22"/>
    <s v="Rawalpindi"/>
    <s v="No"/>
    <n v="0"/>
    <x v="1"/>
  </r>
  <r>
    <s v="CUST-00414"/>
    <n v="72"/>
    <s v="Yes"/>
    <s v="Yes"/>
    <s v="No"/>
    <n v="45"/>
    <s v="Yes"/>
    <s v="No"/>
    <s v="DSL"/>
    <x v="2"/>
    <s v="Yes"/>
    <s v="Electronic check"/>
    <x v="405"/>
    <n v="3073.29"/>
    <s v="Rawalpindi"/>
    <s v="No"/>
    <n v="0"/>
    <x v="1"/>
  </r>
  <r>
    <s v="CUST-00415"/>
    <n v="55"/>
    <s v="No"/>
    <s v="No"/>
    <s v="Yes"/>
    <n v="32"/>
    <s v="No"/>
    <s v="No phone service"/>
    <s v="DSL"/>
    <x v="2"/>
    <s v="No"/>
    <s v="Electronic check"/>
    <x v="406"/>
    <n v="2150.4"/>
    <s v="Faisalabad"/>
    <s v="No"/>
    <n v="0"/>
    <x v="1"/>
  </r>
  <r>
    <s v="CUST-00416"/>
    <n v="68"/>
    <s v="Yes"/>
    <s v="No"/>
    <s v="Yes"/>
    <n v="23"/>
    <s v="Yes"/>
    <s v="No"/>
    <s v="DSL"/>
    <x v="0"/>
    <s v="No"/>
    <s v="Electronic check"/>
    <x v="407"/>
    <n v="1437.55"/>
    <s v="Rawalpindi"/>
    <s v="Yes"/>
    <n v="1"/>
    <x v="1"/>
  </r>
  <r>
    <s v="CUST-00417"/>
    <n v="29"/>
    <s v="No"/>
    <s v="No"/>
    <s v="No"/>
    <n v="9"/>
    <s v="No"/>
    <s v="No phone service"/>
    <s v="DSL"/>
    <x v="2"/>
    <s v="Yes"/>
    <s v="Electronic check"/>
    <x v="408"/>
    <n v="684.52"/>
    <s v="Multan"/>
    <s v="No"/>
    <n v="0"/>
    <x v="1"/>
  </r>
  <r>
    <s v="CUST-00418"/>
    <n v="69"/>
    <s v="Yes"/>
    <s v="Yes"/>
    <s v="Yes"/>
    <n v="20"/>
    <s v="No"/>
    <s v="No phone service"/>
    <s v="DSL"/>
    <x v="2"/>
    <s v="No"/>
    <s v="Electronic check"/>
    <x v="409"/>
    <n v="1315.59"/>
    <s v="Multan"/>
    <s v="No"/>
    <n v="0"/>
    <x v="1"/>
  </r>
  <r>
    <s v="CUST-00419"/>
    <n v="37"/>
    <s v="No"/>
    <s v="No"/>
    <s v="No"/>
    <n v="12"/>
    <s v="No"/>
    <s v="No phone service"/>
    <s v="DSL"/>
    <x v="1"/>
    <s v="No"/>
    <s v="Electronic check"/>
    <x v="222"/>
    <n v="963.71"/>
    <s v="Faisalabad"/>
    <s v="Yes"/>
    <n v="1"/>
    <x v="1"/>
  </r>
  <r>
    <s v="CUST-00420"/>
    <n v="70"/>
    <s v="Yes"/>
    <s v="No"/>
    <s v="Yes"/>
    <n v="37"/>
    <s v="Yes"/>
    <s v="No"/>
    <s v="No internet"/>
    <x v="0"/>
    <s v="No"/>
    <s v="Bank Transfer"/>
    <x v="410"/>
    <n v="839.61"/>
    <s v="Karachi"/>
    <s v="No"/>
    <n v="0"/>
    <x v="1"/>
  </r>
  <r>
    <s v="CUST-00421"/>
    <n v="48"/>
    <s v="No"/>
    <s v="Yes"/>
    <s v="Yes"/>
    <n v="72"/>
    <s v="No"/>
    <s v="No phone service"/>
    <s v="Fiber optic"/>
    <x v="1"/>
    <s v="Yes"/>
    <s v="Electronic check"/>
    <x v="411"/>
    <n v="7814.43"/>
    <s v="Multan"/>
    <s v="Yes"/>
    <n v="1"/>
    <x v="1"/>
  </r>
  <r>
    <s v="CUST-00422"/>
    <n v="19"/>
    <s v="No"/>
    <s v="Yes"/>
    <s v="No"/>
    <n v="56"/>
    <s v="Yes"/>
    <s v="Yes"/>
    <s v="No internet"/>
    <x v="0"/>
    <s v="No"/>
    <s v="Mailed check"/>
    <x v="412"/>
    <n v="1646.03"/>
    <s v="Faisalabad"/>
    <s v="No"/>
    <n v="0"/>
    <x v="1"/>
  </r>
  <r>
    <s v="CUST-00423"/>
    <n v="29"/>
    <s v="No"/>
    <s v="No"/>
    <s v="No"/>
    <n v="71"/>
    <s v="No"/>
    <s v="No phone service"/>
    <s v="No internet"/>
    <x v="2"/>
    <s v="Yes"/>
    <s v="Credit card"/>
    <x v="413"/>
    <n v="1284.1099999999999"/>
    <s v="Multan"/>
    <s v="No"/>
    <n v="0"/>
    <x v="1"/>
  </r>
  <r>
    <s v="CUST-00424"/>
    <n v="50"/>
    <s v="No"/>
    <s v="No"/>
    <s v="No"/>
    <n v="70"/>
    <s v="Yes"/>
    <s v="No"/>
    <s v="DSL"/>
    <x v="0"/>
    <s v="No"/>
    <s v="Electronic check"/>
    <x v="414"/>
    <n v="4243.03"/>
    <s v="Multan"/>
    <s v="Yes"/>
    <n v="1"/>
    <x v="1"/>
  </r>
  <r>
    <s v="CUST-00425"/>
    <n v="51"/>
    <s v="No"/>
    <s v="No"/>
    <s v="No"/>
    <n v="67"/>
    <s v="Yes"/>
    <s v="Yes"/>
    <s v="Fiber optic"/>
    <x v="0"/>
    <s v="Yes"/>
    <s v="Bank Transfer"/>
    <x v="415"/>
    <n v="6558.4"/>
    <s v="Islamabad"/>
    <s v="No"/>
    <n v="0"/>
    <x v="1"/>
  </r>
  <r>
    <s v="CUST-00426"/>
    <n v="52"/>
    <s v="No"/>
    <s v="Yes"/>
    <s v="No"/>
    <n v="59"/>
    <s v="No"/>
    <s v="No phone service"/>
    <s v="DSL"/>
    <x v="0"/>
    <s v="No"/>
    <s v="Credit card"/>
    <x v="416"/>
    <n v="4792.3599999999997"/>
    <s v="Lahore"/>
    <s v="No"/>
    <n v="0"/>
    <x v="1"/>
  </r>
  <r>
    <s v="CUST-00427"/>
    <n v="62"/>
    <s v="Yes"/>
    <s v="No"/>
    <s v="No"/>
    <n v="8"/>
    <s v="Yes"/>
    <s v="No"/>
    <s v="DSL"/>
    <x v="0"/>
    <s v="No"/>
    <s v="Bank Transfer"/>
    <x v="417"/>
    <n v="506.46"/>
    <s v="Faisalabad"/>
    <s v="Yes"/>
    <n v="1"/>
    <x v="1"/>
  </r>
  <r>
    <s v="CUST-00428"/>
    <n v="22"/>
    <s v="No"/>
    <s v="No"/>
    <s v="No"/>
    <n v="17"/>
    <s v="No"/>
    <s v="No phone service"/>
    <s v="DSL"/>
    <x v="1"/>
    <s v="Yes"/>
    <s v="Bank Transfer"/>
    <x v="418"/>
    <n v="1144.22"/>
    <s v="Multan"/>
    <s v="No"/>
    <n v="0"/>
    <x v="1"/>
  </r>
  <r>
    <s v="CUST-00429"/>
    <n v="46"/>
    <s v="No"/>
    <s v="No"/>
    <s v="Yes"/>
    <n v="34"/>
    <s v="Yes"/>
    <s v="No"/>
    <s v="DSL"/>
    <x v="0"/>
    <s v="Yes"/>
    <s v="Electronic check"/>
    <x v="419"/>
    <n v="1412.1"/>
    <s v="Karachi"/>
    <s v="No"/>
    <n v="0"/>
    <x v="1"/>
  </r>
  <r>
    <s v="CUST-00430"/>
    <n v="71"/>
    <s v="Yes"/>
    <s v="No"/>
    <s v="No"/>
    <n v="50"/>
    <s v="No"/>
    <s v="No phone service"/>
    <s v="Fiber optic"/>
    <x v="0"/>
    <s v="Yes"/>
    <s v="Electronic check"/>
    <x v="420"/>
    <n v="5236.8"/>
    <s v="Peshawar"/>
    <s v="No"/>
    <n v="0"/>
    <x v="1"/>
  </r>
  <r>
    <s v="CUST-00431"/>
    <n v="70"/>
    <s v="Yes"/>
    <s v="Yes"/>
    <s v="Yes"/>
    <n v="22"/>
    <s v="No"/>
    <s v="No phone service"/>
    <s v="DSL"/>
    <x v="2"/>
    <s v="Yes"/>
    <s v="Credit card"/>
    <x v="421"/>
    <n v="1496.26"/>
    <s v="Peshawar"/>
    <s v="Yes"/>
    <n v="1"/>
    <x v="1"/>
  </r>
  <r>
    <s v="CUST-00432"/>
    <n v="45"/>
    <s v="No"/>
    <s v="Yes"/>
    <s v="No"/>
    <n v="58"/>
    <s v="No"/>
    <s v="No phone service"/>
    <s v="Fiber optic"/>
    <x v="1"/>
    <s v="Yes"/>
    <s v="Electronic check"/>
    <x v="422"/>
    <n v="5502.24"/>
    <s v="Faisalabad"/>
    <s v="No"/>
    <n v="0"/>
    <x v="1"/>
  </r>
  <r>
    <s v="CUST-00433"/>
    <n v="59"/>
    <s v="No"/>
    <s v="No"/>
    <s v="No"/>
    <n v="35"/>
    <s v="Yes"/>
    <s v="Yes"/>
    <s v="Fiber optic"/>
    <x v="0"/>
    <s v="No"/>
    <s v="Bank Transfer"/>
    <x v="423"/>
    <n v="3866.49"/>
    <s v="Karachi"/>
    <s v="No"/>
    <n v="0"/>
    <x v="1"/>
  </r>
  <r>
    <s v="CUST-00434"/>
    <n v="51"/>
    <s v="No"/>
    <s v="No"/>
    <s v="Yes"/>
    <n v="41"/>
    <s v="Yes"/>
    <s v="No"/>
    <s v="DSL"/>
    <x v="2"/>
    <s v="Yes"/>
    <s v="Credit card"/>
    <x v="424"/>
    <n v="2714.97"/>
    <s v="Islamabad"/>
    <s v="No"/>
    <n v="0"/>
    <x v="1"/>
  </r>
  <r>
    <s v="CUST-00435"/>
    <n v="30"/>
    <s v="No"/>
    <s v="Yes"/>
    <s v="Yes"/>
    <n v="12"/>
    <s v="Yes"/>
    <s v="No"/>
    <s v="Fiber optic"/>
    <x v="0"/>
    <s v="Yes"/>
    <s v="Electronic check"/>
    <x v="425"/>
    <n v="1184.8599999999999"/>
    <s v="Multan"/>
    <s v="No"/>
    <n v="0"/>
    <x v="1"/>
  </r>
  <r>
    <s v="CUST-00436"/>
    <n v="54"/>
    <s v="No"/>
    <s v="Yes"/>
    <s v="Yes"/>
    <n v="24"/>
    <s v="No"/>
    <s v="No phone service"/>
    <s v="Fiber optic"/>
    <x v="0"/>
    <s v="Yes"/>
    <s v="Bank Transfer"/>
    <x v="426"/>
    <n v="2712.33"/>
    <s v="Multan"/>
    <s v="No"/>
    <n v="0"/>
    <x v="1"/>
  </r>
  <r>
    <s v="CUST-00437"/>
    <n v="67"/>
    <s v="Yes"/>
    <s v="No"/>
    <s v="No"/>
    <n v="21"/>
    <s v="No"/>
    <s v="No phone service"/>
    <s v="DSL"/>
    <x v="0"/>
    <s v="No"/>
    <s v="Credit card"/>
    <x v="427"/>
    <n v="1628"/>
    <s v="Karachi"/>
    <s v="No"/>
    <n v="0"/>
    <x v="1"/>
  </r>
  <r>
    <s v="CUST-00438"/>
    <n v="46"/>
    <s v="No"/>
    <s v="Yes"/>
    <s v="No"/>
    <n v="26"/>
    <s v="Yes"/>
    <s v="No"/>
    <s v="DSL"/>
    <x v="2"/>
    <s v="No"/>
    <s v="Electronic check"/>
    <x v="428"/>
    <n v="1793.6"/>
    <s v="Lahore"/>
    <s v="No"/>
    <n v="0"/>
    <x v="1"/>
  </r>
  <r>
    <s v="CUST-00439"/>
    <n v="20"/>
    <s v="No"/>
    <s v="Yes"/>
    <s v="Yes"/>
    <n v="33"/>
    <s v="Yes"/>
    <s v="No"/>
    <s v="DSL"/>
    <x v="2"/>
    <s v="Yes"/>
    <s v="Mailed check"/>
    <x v="429"/>
    <n v="2135.56"/>
    <s v="Rawalpindi"/>
    <s v="No"/>
    <n v="0"/>
    <x v="1"/>
  </r>
  <r>
    <s v="CUST-00440"/>
    <n v="54"/>
    <s v="No"/>
    <s v="Yes"/>
    <s v="No"/>
    <n v="62"/>
    <s v="Yes"/>
    <s v="No"/>
    <s v="Fiber optic"/>
    <x v="2"/>
    <s v="No"/>
    <s v="Electronic check"/>
    <x v="430"/>
    <n v="6353.68"/>
    <s v="Islamabad"/>
    <s v="Yes"/>
    <n v="1"/>
    <x v="1"/>
  </r>
  <r>
    <s v="CUST-00441"/>
    <n v="43"/>
    <s v="No"/>
    <s v="Yes"/>
    <s v="Yes"/>
    <n v="47"/>
    <s v="No"/>
    <s v="No phone service"/>
    <s v="DSL"/>
    <x v="2"/>
    <s v="No"/>
    <s v="Bank Transfer"/>
    <x v="431"/>
    <n v="2338.8000000000002"/>
    <s v="Rawalpindi"/>
    <s v="No"/>
    <n v="0"/>
    <x v="1"/>
  </r>
  <r>
    <s v="CUST-00442"/>
    <n v="60"/>
    <s v="Yes"/>
    <s v="Yes"/>
    <s v="No"/>
    <n v="50"/>
    <s v="No"/>
    <s v="No phone service"/>
    <s v="No internet"/>
    <x v="2"/>
    <s v="No"/>
    <s v="Bank Transfer"/>
    <x v="432"/>
    <n v="947.76"/>
    <s v="Faisalabad"/>
    <s v="No"/>
    <n v="0"/>
    <x v="1"/>
  </r>
  <r>
    <s v="CUST-00443"/>
    <n v="33"/>
    <s v="No"/>
    <s v="No"/>
    <s v="No"/>
    <n v="9"/>
    <s v="No"/>
    <s v="No phone service"/>
    <s v="DSL"/>
    <x v="2"/>
    <s v="No"/>
    <s v="Mailed check"/>
    <x v="433"/>
    <n v="358.88"/>
    <s v="Multan"/>
    <s v="Yes"/>
    <n v="1"/>
    <x v="1"/>
  </r>
  <r>
    <s v="CUST-00444"/>
    <n v="20"/>
    <s v="No"/>
    <s v="No"/>
    <s v="Yes"/>
    <n v="28"/>
    <s v="No"/>
    <s v="No phone service"/>
    <s v="No internet"/>
    <x v="1"/>
    <s v="Yes"/>
    <s v="Bank Transfer"/>
    <x v="434"/>
    <n v="552.49"/>
    <s v="Rawalpindi"/>
    <s v="No"/>
    <n v="0"/>
    <x v="1"/>
  </r>
  <r>
    <s v="CUST-00445"/>
    <n v="59"/>
    <s v="No"/>
    <s v="Yes"/>
    <s v="No"/>
    <n v="6"/>
    <s v="Yes"/>
    <s v="Yes"/>
    <s v="Fiber optic"/>
    <x v="0"/>
    <s v="No"/>
    <s v="Bank Transfer"/>
    <x v="435"/>
    <n v="455.15"/>
    <s v="Lahore"/>
    <s v="No"/>
    <n v="0"/>
    <x v="1"/>
  </r>
  <r>
    <s v="CUST-00446"/>
    <n v="70"/>
    <s v="Yes"/>
    <s v="Yes"/>
    <s v="Yes"/>
    <n v="64"/>
    <s v="Yes"/>
    <s v="Yes"/>
    <s v="DSL"/>
    <x v="2"/>
    <s v="No"/>
    <s v="Bank Transfer"/>
    <x v="436"/>
    <n v="5183.1899999999996"/>
    <s v="Multan"/>
    <s v="No"/>
    <n v="0"/>
    <x v="1"/>
  </r>
  <r>
    <s v="CUST-00447"/>
    <n v="54"/>
    <s v="No"/>
    <s v="Yes"/>
    <s v="No"/>
    <n v="28"/>
    <s v="Yes"/>
    <s v="Yes"/>
    <s v="DSL"/>
    <x v="2"/>
    <s v="Yes"/>
    <s v="Bank Transfer"/>
    <x v="437"/>
    <n v="1287.74"/>
    <s v="Karachi"/>
    <s v="Yes"/>
    <n v="1"/>
    <x v="1"/>
  </r>
  <r>
    <s v="CUST-00448"/>
    <n v="55"/>
    <s v="No"/>
    <s v="Yes"/>
    <s v="Yes"/>
    <n v="13"/>
    <s v="No"/>
    <s v="No phone service"/>
    <s v="DSL"/>
    <x v="0"/>
    <s v="Yes"/>
    <s v="Mailed check"/>
    <x v="438"/>
    <n v="528.76"/>
    <s v="Multan"/>
    <s v="No"/>
    <n v="0"/>
    <x v="1"/>
  </r>
  <r>
    <s v="CUST-00449"/>
    <n v="59"/>
    <s v="No"/>
    <s v="No"/>
    <s v="No"/>
    <n v="61"/>
    <s v="Yes"/>
    <s v="Yes"/>
    <s v="DSL"/>
    <x v="2"/>
    <s v="No"/>
    <s v="Credit card"/>
    <x v="439"/>
    <n v="4791.4399999999996"/>
    <s v="Karachi"/>
    <s v="Yes"/>
    <n v="1"/>
    <x v="1"/>
  </r>
  <r>
    <s v="CUST-00450"/>
    <n v="63"/>
    <s v="Yes"/>
    <s v="No"/>
    <s v="Yes"/>
    <n v="39"/>
    <s v="Yes"/>
    <s v="No"/>
    <s v="Fiber optic"/>
    <x v="2"/>
    <s v="Yes"/>
    <s v="Bank Transfer"/>
    <x v="440"/>
    <n v="4670.21"/>
    <s v="Rawalpindi"/>
    <s v="No"/>
    <n v="0"/>
    <x v="1"/>
  </r>
  <r>
    <s v="CUST-00451"/>
    <n v="67"/>
    <s v="Yes"/>
    <s v="Yes"/>
    <s v="No"/>
    <n v="7"/>
    <s v="Yes"/>
    <s v="No"/>
    <s v="Fiber optic"/>
    <x v="1"/>
    <s v="No"/>
    <s v="Credit card"/>
    <x v="441"/>
    <n v="573.62"/>
    <s v="Islamabad"/>
    <s v="Yes"/>
    <n v="1"/>
    <x v="1"/>
  </r>
  <r>
    <s v="CUST-00452"/>
    <n v="36"/>
    <s v="No"/>
    <s v="Yes"/>
    <s v="No"/>
    <n v="33"/>
    <s v="No"/>
    <s v="No phone service"/>
    <s v="Fiber optic"/>
    <x v="2"/>
    <s v="Yes"/>
    <s v="Mailed check"/>
    <x v="442"/>
    <n v="2689.15"/>
    <s v="Lahore"/>
    <s v="No"/>
    <n v="0"/>
    <x v="1"/>
  </r>
  <r>
    <s v="CUST-00453"/>
    <n v="22"/>
    <s v="No"/>
    <s v="Yes"/>
    <s v="No"/>
    <n v="42"/>
    <s v="No"/>
    <s v="No phone service"/>
    <s v="Fiber optic"/>
    <x v="2"/>
    <s v="Yes"/>
    <s v="Electronic check"/>
    <x v="443"/>
    <n v="3235.55"/>
    <s v="Rawalpindi"/>
    <s v="No"/>
    <n v="0"/>
    <x v="1"/>
  </r>
  <r>
    <s v="CUST-00454"/>
    <n v="75"/>
    <s v="Yes"/>
    <s v="Yes"/>
    <s v="Yes"/>
    <n v="61"/>
    <s v="Yes"/>
    <s v="No"/>
    <s v="DSL"/>
    <x v="2"/>
    <s v="No"/>
    <s v="Electronic check"/>
    <x v="444"/>
    <n v="3334.34"/>
    <s v="Islamabad"/>
    <s v="Yes"/>
    <n v="1"/>
    <x v="1"/>
  </r>
  <r>
    <s v="CUST-00455"/>
    <n v="35"/>
    <s v="No"/>
    <s v="Yes"/>
    <s v="No"/>
    <n v="17"/>
    <s v="Yes"/>
    <s v="Yes"/>
    <s v="Fiber optic"/>
    <x v="2"/>
    <s v="No"/>
    <s v="Credit card"/>
    <x v="4"/>
    <n v="1310.45"/>
    <s v="Faisalabad"/>
    <s v="No"/>
    <n v="0"/>
    <x v="1"/>
  </r>
  <r>
    <s v="CUST-00456"/>
    <n v="28"/>
    <s v="No"/>
    <s v="Yes"/>
    <s v="Yes"/>
    <n v="12"/>
    <s v="No"/>
    <s v="No phone service"/>
    <s v="Fiber optic"/>
    <x v="1"/>
    <s v="Yes"/>
    <s v="Credit card"/>
    <x v="445"/>
    <n v="1306.6300000000001"/>
    <s v="Multan"/>
    <s v="No"/>
    <n v="0"/>
    <x v="1"/>
  </r>
  <r>
    <s v="CUST-00457"/>
    <n v="73"/>
    <s v="Yes"/>
    <s v="Yes"/>
    <s v="Yes"/>
    <n v="42"/>
    <s v="Yes"/>
    <s v="No"/>
    <s v="Fiber optic"/>
    <x v="0"/>
    <s v="Yes"/>
    <s v="Mailed check"/>
    <x v="446"/>
    <n v="4778.6000000000004"/>
    <s v="Rawalpindi"/>
    <s v="Yes"/>
    <n v="1"/>
    <x v="1"/>
  </r>
  <r>
    <s v="CUST-00458"/>
    <n v="64"/>
    <s v="Yes"/>
    <s v="Yes"/>
    <s v="No"/>
    <n v="68"/>
    <s v="Yes"/>
    <s v="No"/>
    <s v="Fiber optic"/>
    <x v="2"/>
    <s v="Yes"/>
    <s v="Bank Transfer"/>
    <x v="447"/>
    <n v="5934.58"/>
    <s v="Karachi"/>
    <s v="Yes"/>
    <n v="1"/>
    <x v="1"/>
  </r>
  <r>
    <s v="CUST-00459"/>
    <n v="59"/>
    <s v="No"/>
    <s v="Yes"/>
    <s v="Yes"/>
    <n v="62"/>
    <s v="Yes"/>
    <s v="No"/>
    <s v="DSL"/>
    <x v="1"/>
    <s v="Yes"/>
    <s v="Mailed check"/>
    <x v="448"/>
    <n v="3472.68"/>
    <s v="Karachi"/>
    <s v="No"/>
    <n v="0"/>
    <x v="1"/>
  </r>
  <r>
    <s v="CUST-00460"/>
    <n v="68"/>
    <s v="Yes"/>
    <s v="No"/>
    <s v="No"/>
    <n v="1"/>
    <s v="Yes"/>
    <s v="No"/>
    <s v="No internet"/>
    <x v="0"/>
    <s v="Yes"/>
    <s v="Electronic check"/>
    <x v="449"/>
    <n v="27.67"/>
    <s v="Faisalabad"/>
    <s v="No"/>
    <n v="0"/>
    <x v="1"/>
  </r>
  <r>
    <s v="CUST-00461"/>
    <n v="68"/>
    <s v="Yes"/>
    <s v="Yes"/>
    <s v="Yes"/>
    <n v="43"/>
    <s v="Yes"/>
    <s v="No"/>
    <s v="DSL"/>
    <x v="1"/>
    <s v="No"/>
    <s v="Mailed check"/>
    <x v="450"/>
    <n v="1880.1"/>
    <s v="Islamabad"/>
    <s v="No"/>
    <n v="0"/>
    <x v="1"/>
  </r>
  <r>
    <s v="CUST-00462"/>
    <n v="41"/>
    <s v="No"/>
    <s v="Yes"/>
    <s v="Yes"/>
    <n v="72"/>
    <s v="Yes"/>
    <s v="Yes"/>
    <s v="DSL"/>
    <x v="2"/>
    <s v="Yes"/>
    <s v="Bank Transfer"/>
    <x v="451"/>
    <n v="5155.49"/>
    <s v="Multan"/>
    <s v="No"/>
    <n v="0"/>
    <x v="1"/>
  </r>
  <r>
    <s v="CUST-00463"/>
    <n v="31"/>
    <s v="No"/>
    <s v="Yes"/>
    <s v="No"/>
    <n v="46"/>
    <s v="No"/>
    <s v="No phone service"/>
    <s v="No internet"/>
    <x v="2"/>
    <s v="Yes"/>
    <s v="Credit card"/>
    <x v="452"/>
    <n v="1077.97"/>
    <s v="Rawalpindi"/>
    <s v="No"/>
    <n v="0"/>
    <x v="1"/>
  </r>
  <r>
    <s v="CUST-00464"/>
    <n v="63"/>
    <s v="Yes"/>
    <s v="No"/>
    <s v="No"/>
    <n v="48"/>
    <s v="Yes"/>
    <s v="Yes"/>
    <s v="DSL"/>
    <x v="1"/>
    <s v="Yes"/>
    <s v="Electronic check"/>
    <x v="453"/>
    <n v="3551.62"/>
    <s v="Lahore"/>
    <s v="No"/>
    <n v="0"/>
    <x v="1"/>
  </r>
  <r>
    <s v="CUST-00465"/>
    <n v="28"/>
    <s v="No"/>
    <s v="No"/>
    <s v="Yes"/>
    <n v="19"/>
    <s v="Yes"/>
    <s v="No"/>
    <s v="DSL"/>
    <x v="0"/>
    <s v="No"/>
    <s v="Credit card"/>
    <x v="454"/>
    <n v="1344.95"/>
    <s v="Rawalpindi"/>
    <s v="No"/>
    <n v="0"/>
    <x v="1"/>
  </r>
  <r>
    <s v="CUST-00466"/>
    <n v="46"/>
    <s v="No"/>
    <s v="Yes"/>
    <s v="No"/>
    <n v="25"/>
    <s v="Yes"/>
    <s v="No"/>
    <s v="Fiber optic"/>
    <x v="2"/>
    <s v="No"/>
    <s v="Credit card"/>
    <x v="455"/>
    <n v="2216.6799999999998"/>
    <s v="Faisalabad"/>
    <s v="Yes"/>
    <n v="1"/>
    <x v="1"/>
  </r>
  <r>
    <s v="CUST-00467"/>
    <n v="60"/>
    <s v="Yes"/>
    <s v="No"/>
    <s v="No"/>
    <n v="39"/>
    <s v="No"/>
    <s v="No phone service"/>
    <s v="DSL"/>
    <x v="2"/>
    <s v="No"/>
    <s v="Electronic check"/>
    <x v="456"/>
    <n v="2085.91"/>
    <s v="Karachi"/>
    <s v="No"/>
    <n v="0"/>
    <x v="1"/>
  </r>
  <r>
    <s v="CUST-00468"/>
    <n v="40"/>
    <s v="No"/>
    <s v="No"/>
    <s v="No"/>
    <n v="22"/>
    <s v="Yes"/>
    <s v="No"/>
    <s v="DSL"/>
    <x v="2"/>
    <s v="Yes"/>
    <s v="Bank Transfer"/>
    <x v="457"/>
    <n v="1519.36"/>
    <s v="Karachi"/>
    <s v="Yes"/>
    <n v="1"/>
    <x v="1"/>
  </r>
  <r>
    <s v="CUST-00469"/>
    <n v="25"/>
    <s v="No"/>
    <s v="Yes"/>
    <s v="No"/>
    <n v="17"/>
    <s v="No"/>
    <s v="No phone service"/>
    <s v="Fiber optic"/>
    <x v="2"/>
    <s v="Yes"/>
    <s v="Bank Transfer"/>
    <x v="458"/>
    <n v="1935.91"/>
    <s v="Karachi"/>
    <s v="No"/>
    <n v="0"/>
    <x v="1"/>
  </r>
  <r>
    <s v="CUST-00470"/>
    <n v="52"/>
    <s v="No"/>
    <s v="No"/>
    <s v="Yes"/>
    <n v="4"/>
    <s v="No"/>
    <s v="No phone service"/>
    <s v="Fiber optic"/>
    <x v="0"/>
    <s v="No"/>
    <s v="Mailed check"/>
    <x v="459"/>
    <n v="328.76"/>
    <s v="Faisalabad"/>
    <s v="No"/>
    <n v="0"/>
    <x v="1"/>
  </r>
  <r>
    <s v="CUST-00471"/>
    <n v="39"/>
    <s v="No"/>
    <s v="No"/>
    <s v="No"/>
    <n v="38"/>
    <s v="Yes"/>
    <s v="No"/>
    <s v="No internet"/>
    <x v="0"/>
    <s v="No"/>
    <s v="Electronic check"/>
    <x v="460"/>
    <n v="733.45"/>
    <s v="Multan"/>
    <s v="Yes"/>
    <n v="1"/>
    <x v="1"/>
  </r>
  <r>
    <s v="CUST-00472"/>
    <n v="53"/>
    <s v="No"/>
    <s v="Yes"/>
    <s v="No"/>
    <n v="4"/>
    <s v="Yes"/>
    <s v="No"/>
    <s v="Fiber optic"/>
    <x v="2"/>
    <s v="Yes"/>
    <s v="Bank Transfer"/>
    <x v="461"/>
    <n v="320.05"/>
    <s v="Peshawar"/>
    <s v="No"/>
    <n v="0"/>
    <x v="1"/>
  </r>
  <r>
    <s v="CUST-00473"/>
    <n v="35"/>
    <s v="No"/>
    <s v="Yes"/>
    <s v="Yes"/>
    <n v="11"/>
    <s v="No"/>
    <s v="No phone service"/>
    <s v="DSL"/>
    <x v="0"/>
    <s v="Yes"/>
    <s v="Mailed check"/>
    <x v="462"/>
    <n v="612.88"/>
    <s v="Faisalabad"/>
    <s v="No"/>
    <n v="0"/>
    <x v="1"/>
  </r>
  <r>
    <s v="CUST-00474"/>
    <n v="21"/>
    <s v="No"/>
    <s v="No"/>
    <s v="No"/>
    <n v="19"/>
    <s v="No"/>
    <s v="No phone service"/>
    <s v="DSL"/>
    <x v="2"/>
    <s v="No"/>
    <s v="Electronic check"/>
    <x v="463"/>
    <n v="998.66"/>
    <s v="Faisalabad"/>
    <s v="No"/>
    <n v="0"/>
    <x v="1"/>
  </r>
  <r>
    <s v="CUST-00475"/>
    <n v="23"/>
    <s v="No"/>
    <s v="Yes"/>
    <s v="No"/>
    <n v="54"/>
    <s v="No"/>
    <s v="No phone service"/>
    <s v="No internet"/>
    <x v="2"/>
    <s v="No"/>
    <s v="Bank Transfer"/>
    <x v="464"/>
    <n v="1290.32"/>
    <s v="Karachi"/>
    <s v="No"/>
    <n v="0"/>
    <x v="1"/>
  </r>
  <r>
    <s v="CUST-00476"/>
    <n v="31"/>
    <s v="No"/>
    <s v="No"/>
    <s v="No"/>
    <n v="68"/>
    <s v="Yes"/>
    <s v="No"/>
    <s v="No internet"/>
    <x v="0"/>
    <s v="No"/>
    <s v="Electronic check"/>
    <x v="465"/>
    <n v="1635.35"/>
    <s v="Faisalabad"/>
    <s v="No"/>
    <n v="0"/>
    <x v="1"/>
  </r>
  <r>
    <s v="CUST-00477"/>
    <n v="47"/>
    <s v="No"/>
    <s v="Yes"/>
    <s v="Yes"/>
    <n v="24"/>
    <s v="No"/>
    <s v="No phone service"/>
    <s v="No internet"/>
    <x v="0"/>
    <s v="Yes"/>
    <s v="Bank Transfer"/>
    <x v="466"/>
    <n v="524.19000000000005"/>
    <s v="Multan"/>
    <s v="No"/>
    <n v="0"/>
    <x v="1"/>
  </r>
  <r>
    <s v="CUST-00478"/>
    <n v="47"/>
    <s v="No"/>
    <s v="Yes"/>
    <s v="Yes"/>
    <n v="1"/>
    <s v="No"/>
    <s v="No phone service"/>
    <s v="Fiber optic"/>
    <x v="1"/>
    <s v="No"/>
    <s v="Electronic check"/>
    <x v="467"/>
    <n v="100.67"/>
    <s v="Multan"/>
    <s v="Yes"/>
    <n v="1"/>
    <x v="1"/>
  </r>
  <r>
    <s v="CUST-00479"/>
    <n v="59"/>
    <s v="No"/>
    <s v="Yes"/>
    <s v="Yes"/>
    <n v="16"/>
    <s v="No"/>
    <s v="No phone service"/>
    <s v="DSL"/>
    <x v="1"/>
    <s v="Yes"/>
    <s v="Credit card"/>
    <x v="468"/>
    <n v="869.48"/>
    <s v="Islamabad"/>
    <s v="No"/>
    <n v="0"/>
    <x v="1"/>
  </r>
  <r>
    <s v="CUST-00480"/>
    <n v="58"/>
    <s v="No"/>
    <s v="No"/>
    <s v="Yes"/>
    <n v="48"/>
    <s v="Yes"/>
    <s v="No"/>
    <s v="DSL"/>
    <x v="2"/>
    <s v="Yes"/>
    <s v="Electronic check"/>
    <x v="469"/>
    <n v="2870.18"/>
    <s v="Lahore"/>
    <s v="Yes"/>
    <n v="1"/>
    <x v="1"/>
  </r>
  <r>
    <s v="CUST-00481"/>
    <n v="35"/>
    <s v="No"/>
    <s v="No"/>
    <s v="No"/>
    <n v="46"/>
    <s v="No"/>
    <s v="No phone service"/>
    <s v="Fiber optic"/>
    <x v="2"/>
    <s v="Yes"/>
    <s v="Credit card"/>
    <x v="470"/>
    <n v="4793.33"/>
    <s v="Peshawar"/>
    <s v="Yes"/>
    <n v="1"/>
    <x v="1"/>
  </r>
  <r>
    <s v="CUST-00482"/>
    <n v="28"/>
    <s v="No"/>
    <s v="No"/>
    <s v="No"/>
    <n v="39"/>
    <s v="No"/>
    <s v="No phone service"/>
    <s v="Fiber optic"/>
    <x v="2"/>
    <s v="No"/>
    <s v="Bank Transfer"/>
    <x v="471"/>
    <n v="2760.97"/>
    <s v="Rawalpindi"/>
    <s v="Yes"/>
    <n v="1"/>
    <x v="1"/>
  </r>
  <r>
    <s v="CUST-00483"/>
    <n v="44"/>
    <s v="No"/>
    <s v="No"/>
    <s v="Yes"/>
    <n v="14"/>
    <s v="Yes"/>
    <s v="No"/>
    <s v="Fiber optic"/>
    <x v="0"/>
    <s v="Yes"/>
    <s v="Credit card"/>
    <x v="472"/>
    <n v="1546.61"/>
    <s v="Lahore"/>
    <s v="Yes"/>
    <n v="1"/>
    <x v="1"/>
  </r>
  <r>
    <s v="CUST-00484"/>
    <n v="48"/>
    <s v="No"/>
    <s v="No"/>
    <s v="No"/>
    <n v="47"/>
    <s v="No"/>
    <s v="No phone service"/>
    <s v="Fiber optic"/>
    <x v="1"/>
    <s v="No"/>
    <s v="Electronic check"/>
    <x v="473"/>
    <n v="4123.32"/>
    <s v="Karachi"/>
    <s v="Yes"/>
    <n v="1"/>
    <x v="1"/>
  </r>
  <r>
    <s v="CUST-00485"/>
    <n v="72"/>
    <s v="Yes"/>
    <s v="Yes"/>
    <s v="Yes"/>
    <n v="40"/>
    <s v="Yes"/>
    <s v="No"/>
    <s v="Fiber optic"/>
    <x v="2"/>
    <s v="Yes"/>
    <s v="Electronic check"/>
    <x v="474"/>
    <n v="4483.5"/>
    <s v="Lahore"/>
    <s v="Yes"/>
    <n v="1"/>
    <x v="1"/>
  </r>
  <r>
    <s v="CUST-00486"/>
    <n v="20"/>
    <s v="No"/>
    <s v="Yes"/>
    <s v="No"/>
    <n v="16"/>
    <s v="Yes"/>
    <s v="Yes"/>
    <s v="No internet"/>
    <x v="0"/>
    <s v="Yes"/>
    <s v="Bank Transfer"/>
    <x v="475"/>
    <n v="448.21"/>
    <s v="Karachi"/>
    <s v="No"/>
    <n v="0"/>
    <x v="1"/>
  </r>
  <r>
    <s v="CUST-00487"/>
    <n v="60"/>
    <s v="Yes"/>
    <s v="No"/>
    <s v="Yes"/>
    <n v="12"/>
    <s v="No"/>
    <s v="No phone service"/>
    <s v="Fiber optic"/>
    <x v="1"/>
    <s v="No"/>
    <s v="Credit card"/>
    <x v="476"/>
    <n v="1398.72"/>
    <s v="Faisalabad"/>
    <s v="No"/>
    <n v="0"/>
    <x v="1"/>
  </r>
  <r>
    <s v="CUST-00488"/>
    <n v="54"/>
    <s v="No"/>
    <s v="Yes"/>
    <s v="Yes"/>
    <n v="2"/>
    <s v="Yes"/>
    <s v="No"/>
    <s v="DSL"/>
    <x v="2"/>
    <s v="Yes"/>
    <s v="Mailed check"/>
    <x v="477"/>
    <n v="84.88"/>
    <s v="Multan"/>
    <s v="No"/>
    <n v="0"/>
    <x v="1"/>
  </r>
  <r>
    <s v="CUST-00489"/>
    <n v="48"/>
    <s v="No"/>
    <s v="No"/>
    <s v="Yes"/>
    <n v="57"/>
    <s v="Yes"/>
    <s v="Yes"/>
    <s v="DSL"/>
    <x v="2"/>
    <s v="No"/>
    <s v="Credit card"/>
    <x v="478"/>
    <n v="3414.2"/>
    <s v="Islamabad"/>
    <s v="No"/>
    <n v="0"/>
    <x v="1"/>
  </r>
  <r>
    <s v="CUST-00490"/>
    <n v="25"/>
    <s v="No"/>
    <s v="No"/>
    <s v="Yes"/>
    <n v="67"/>
    <s v="No"/>
    <s v="No phone service"/>
    <s v="Fiber optic"/>
    <x v="0"/>
    <s v="Yes"/>
    <s v="Electronic check"/>
    <x v="479"/>
    <n v="6256.51"/>
    <s v="Multan"/>
    <s v="No"/>
    <n v="0"/>
    <x v="1"/>
  </r>
  <r>
    <s v="CUST-00491"/>
    <n v="37"/>
    <s v="No"/>
    <s v="No"/>
    <s v="Yes"/>
    <n v="71"/>
    <s v="No"/>
    <s v="No phone service"/>
    <s v="Fiber optic"/>
    <x v="2"/>
    <s v="Yes"/>
    <s v="Mailed check"/>
    <x v="480"/>
    <n v="8230.48"/>
    <s v="Lahore"/>
    <s v="Yes"/>
    <n v="1"/>
    <x v="1"/>
  </r>
  <r>
    <s v="CUST-00492"/>
    <n v="61"/>
    <s v="Yes"/>
    <s v="No"/>
    <s v="Yes"/>
    <n v="51"/>
    <s v="Yes"/>
    <s v="Yes"/>
    <s v="Fiber optic"/>
    <x v="2"/>
    <s v="Yes"/>
    <s v="Bank Transfer"/>
    <x v="481"/>
    <n v="5613.24"/>
    <s v="Karachi"/>
    <s v="Yes"/>
    <n v="1"/>
    <x v="1"/>
  </r>
  <r>
    <s v="CUST-00493"/>
    <n v="39"/>
    <s v="No"/>
    <s v="Yes"/>
    <s v="No"/>
    <n v="16"/>
    <s v="No"/>
    <s v="No phone service"/>
    <s v="Fiber optic"/>
    <x v="0"/>
    <s v="No"/>
    <s v="Bank Transfer"/>
    <x v="482"/>
    <n v="1752.27"/>
    <s v="Peshawar"/>
    <s v="No"/>
    <n v="0"/>
    <x v="1"/>
  </r>
  <r>
    <s v="CUST-00494"/>
    <n v="59"/>
    <s v="No"/>
    <s v="No"/>
    <s v="No"/>
    <n v="61"/>
    <s v="No"/>
    <s v="No phone service"/>
    <s v="DSL"/>
    <x v="1"/>
    <s v="No"/>
    <s v="Electronic check"/>
    <x v="483"/>
    <n v="3388.66"/>
    <s v="Karachi"/>
    <s v="No"/>
    <n v="0"/>
    <x v="1"/>
  </r>
  <r>
    <s v="CUST-00495"/>
    <n v="58"/>
    <s v="No"/>
    <s v="Yes"/>
    <s v="Yes"/>
    <n v="13"/>
    <s v="Yes"/>
    <s v="No"/>
    <s v="DSL"/>
    <x v="2"/>
    <s v="Yes"/>
    <s v="Credit card"/>
    <x v="484"/>
    <n v="836.82"/>
    <s v="Lahore"/>
    <s v="No"/>
    <n v="0"/>
    <x v="1"/>
  </r>
  <r>
    <s v="CUST-00496"/>
    <n v="66"/>
    <s v="Yes"/>
    <s v="Yes"/>
    <s v="No"/>
    <n v="60"/>
    <s v="No"/>
    <s v="No phone service"/>
    <s v="Fiber optic"/>
    <x v="2"/>
    <s v="No"/>
    <s v="Credit card"/>
    <x v="485"/>
    <n v="6660.44"/>
    <s v="Peshawar"/>
    <s v="Yes"/>
    <n v="1"/>
    <x v="1"/>
  </r>
  <r>
    <s v="CUST-00497"/>
    <n v="20"/>
    <s v="No"/>
    <s v="No"/>
    <s v="Yes"/>
    <n v="50"/>
    <s v="No"/>
    <s v="No phone service"/>
    <s v="DSL"/>
    <x v="2"/>
    <s v="Yes"/>
    <s v="Electronic check"/>
    <x v="486"/>
    <n v="3248.14"/>
    <s v="Multan"/>
    <s v="Yes"/>
    <n v="1"/>
    <x v="1"/>
  </r>
  <r>
    <s v="CUST-00498"/>
    <n v="28"/>
    <s v="No"/>
    <s v="No"/>
    <s v="No"/>
    <n v="18"/>
    <s v="No"/>
    <s v="No phone service"/>
    <s v="Fiber optic"/>
    <x v="2"/>
    <s v="Yes"/>
    <s v="Credit card"/>
    <x v="487"/>
    <n v="1712.52"/>
    <s v="Rawalpindi"/>
    <s v="No"/>
    <n v="0"/>
    <x v="1"/>
  </r>
  <r>
    <s v="CUST-00499"/>
    <n v="48"/>
    <s v="No"/>
    <s v="Yes"/>
    <s v="Yes"/>
    <n v="51"/>
    <s v="No"/>
    <s v="No phone service"/>
    <s v="Fiber optic"/>
    <x v="0"/>
    <s v="No"/>
    <s v="Bank Transfer"/>
    <x v="488"/>
    <n v="4069.17"/>
    <s v="Karachi"/>
    <s v="No"/>
    <n v="0"/>
    <x v="1"/>
  </r>
  <r>
    <s v="CUST-00500"/>
    <n v="71"/>
    <s v="Yes"/>
    <s v="No"/>
    <s v="No"/>
    <n v="4"/>
    <s v="No"/>
    <s v="No phone service"/>
    <s v="DSL"/>
    <x v="2"/>
    <s v="No"/>
    <s v="Electronic check"/>
    <x v="489"/>
    <n v="213.28"/>
    <s v="Karachi"/>
    <s v="No"/>
    <n v="0"/>
    <x v="1"/>
  </r>
  <r>
    <s v="CUST-00501"/>
    <n v="33"/>
    <s v="No"/>
    <s v="No"/>
    <s v="Yes"/>
    <n v="9"/>
    <s v="Yes"/>
    <s v="Yes"/>
    <s v="No internet"/>
    <x v="2"/>
    <s v="No"/>
    <s v="Electronic check"/>
    <x v="490"/>
    <n v="230.84"/>
    <s v="Rawalpindi"/>
    <s v="No"/>
    <n v="0"/>
    <x v="1"/>
  </r>
  <r>
    <s v="CUST-00502"/>
    <n v="35"/>
    <s v="No"/>
    <s v="Yes"/>
    <s v="No"/>
    <n v="3"/>
    <s v="No"/>
    <s v="No phone service"/>
    <s v="No internet"/>
    <x v="0"/>
    <s v="No"/>
    <s v="Credit card"/>
    <x v="491"/>
    <n v="79.11"/>
    <s v="Islamabad"/>
    <s v="No"/>
    <n v="0"/>
    <x v="1"/>
  </r>
  <r>
    <s v="CUST-00503"/>
    <n v="49"/>
    <s v="No"/>
    <s v="No"/>
    <s v="Yes"/>
    <n v="39"/>
    <s v="No"/>
    <s v="No phone service"/>
    <s v="Fiber optic"/>
    <x v="2"/>
    <s v="Yes"/>
    <s v="Bank Transfer"/>
    <x v="492"/>
    <n v="3678.49"/>
    <s v="Faisalabad"/>
    <s v="Yes"/>
    <n v="1"/>
    <x v="1"/>
  </r>
  <r>
    <s v="CUST-00504"/>
    <n v="43"/>
    <s v="No"/>
    <s v="Yes"/>
    <s v="Yes"/>
    <n v="13"/>
    <s v="No"/>
    <s v="No phone service"/>
    <s v="DSL"/>
    <x v="2"/>
    <s v="No"/>
    <s v="Credit card"/>
    <x v="493"/>
    <n v="664.98"/>
    <s v="Faisalabad"/>
    <s v="No"/>
    <n v="0"/>
    <x v="1"/>
  </r>
  <r>
    <s v="CUST-00505"/>
    <n v="69"/>
    <s v="Yes"/>
    <s v="No"/>
    <s v="No"/>
    <n v="70"/>
    <s v="No"/>
    <s v="No phone service"/>
    <s v="Fiber optic"/>
    <x v="2"/>
    <s v="No"/>
    <s v="Bank Transfer"/>
    <x v="494"/>
    <n v="7128.17"/>
    <s v="Faisalabad"/>
    <s v="No"/>
    <n v="0"/>
    <x v="1"/>
  </r>
  <r>
    <s v="CUST-00506"/>
    <n v="73"/>
    <s v="Yes"/>
    <s v="Yes"/>
    <s v="No"/>
    <n v="28"/>
    <s v="No"/>
    <s v="No phone service"/>
    <s v="DSL"/>
    <x v="2"/>
    <s v="No"/>
    <s v="Mailed check"/>
    <x v="495"/>
    <n v="1831.55"/>
    <s v="Rawalpindi"/>
    <s v="Yes"/>
    <n v="1"/>
    <x v="1"/>
  </r>
  <r>
    <s v="CUST-00507"/>
    <n v="27"/>
    <s v="No"/>
    <s v="Yes"/>
    <s v="Yes"/>
    <n v="39"/>
    <s v="No"/>
    <s v="No phone service"/>
    <s v="No internet"/>
    <x v="2"/>
    <s v="Yes"/>
    <s v="Bank Transfer"/>
    <x v="496"/>
    <n v="1067.1500000000001"/>
    <s v="Karachi"/>
    <s v="No"/>
    <n v="0"/>
    <x v="1"/>
  </r>
  <r>
    <s v="CUST-00508"/>
    <n v="34"/>
    <s v="No"/>
    <s v="Yes"/>
    <s v="No"/>
    <n v="31"/>
    <s v="Yes"/>
    <s v="Yes"/>
    <s v="Fiber optic"/>
    <x v="0"/>
    <s v="No"/>
    <s v="Credit card"/>
    <x v="497"/>
    <n v="3014.41"/>
    <s v="Lahore"/>
    <s v="No"/>
    <n v="0"/>
    <x v="1"/>
  </r>
  <r>
    <s v="CUST-00509"/>
    <n v="30"/>
    <s v="No"/>
    <s v="Yes"/>
    <s v="No"/>
    <n v="18"/>
    <s v="No"/>
    <s v="No phone service"/>
    <s v="Fiber optic"/>
    <x v="0"/>
    <s v="Yes"/>
    <s v="Bank Transfer"/>
    <x v="498"/>
    <n v="1332.63"/>
    <s v="Lahore"/>
    <s v="No"/>
    <n v="0"/>
    <x v="1"/>
  </r>
  <r>
    <s v="CUST-00510"/>
    <n v="73"/>
    <s v="Yes"/>
    <s v="Yes"/>
    <s v="No"/>
    <n v="39"/>
    <s v="No"/>
    <s v="No phone service"/>
    <s v="No internet"/>
    <x v="1"/>
    <s v="Yes"/>
    <s v="Credit card"/>
    <x v="193"/>
    <n v="1140.1600000000001"/>
    <s v="Faisalabad"/>
    <s v="No"/>
    <n v="0"/>
    <x v="1"/>
  </r>
  <r>
    <s v="CUST-00511"/>
    <n v="65"/>
    <s v="Yes"/>
    <s v="Yes"/>
    <s v="No"/>
    <n v="64"/>
    <s v="Yes"/>
    <s v="No"/>
    <s v="No internet"/>
    <x v="0"/>
    <s v="No"/>
    <s v="Electronic check"/>
    <x v="499"/>
    <n v="1579.5"/>
    <s v="Karachi"/>
    <s v="No"/>
    <n v="0"/>
    <x v="1"/>
  </r>
  <r>
    <s v="CUST-00512"/>
    <n v="45"/>
    <s v="No"/>
    <s v="Yes"/>
    <s v="Yes"/>
    <n v="14"/>
    <s v="No"/>
    <s v="No phone service"/>
    <s v="Fiber optic"/>
    <x v="2"/>
    <s v="No"/>
    <s v="Mailed check"/>
    <x v="500"/>
    <n v="1023.29"/>
    <s v="Lahore"/>
    <s v="No"/>
    <n v="0"/>
    <x v="1"/>
  </r>
  <r>
    <s v="CUST-00513"/>
    <n v="38"/>
    <s v="No"/>
    <s v="No"/>
    <s v="No"/>
    <n v="32"/>
    <s v="Yes"/>
    <s v="No"/>
    <s v="No internet"/>
    <x v="0"/>
    <s v="No"/>
    <s v="Electronic check"/>
    <x v="501"/>
    <n v="959.23"/>
    <s v="Multan"/>
    <s v="No"/>
    <n v="0"/>
    <x v="1"/>
  </r>
  <r>
    <s v="CUST-00514"/>
    <n v="69"/>
    <s v="Yes"/>
    <s v="Yes"/>
    <s v="Yes"/>
    <n v="33"/>
    <s v="No"/>
    <s v="No phone service"/>
    <s v="DSL"/>
    <x v="0"/>
    <s v="No"/>
    <s v="Mailed check"/>
    <x v="502"/>
    <n v="2233.85"/>
    <s v="Rawalpindi"/>
    <s v="No"/>
    <n v="0"/>
    <x v="1"/>
  </r>
  <r>
    <s v="CUST-00515"/>
    <n v="42"/>
    <s v="No"/>
    <s v="Yes"/>
    <s v="No"/>
    <n v="33"/>
    <s v="Yes"/>
    <s v="Yes"/>
    <s v="Fiber optic"/>
    <x v="1"/>
    <s v="Yes"/>
    <s v="Mailed check"/>
    <x v="503"/>
    <n v="3504.44"/>
    <s v="Rawalpindi"/>
    <s v="No"/>
    <n v="0"/>
    <x v="1"/>
  </r>
  <r>
    <s v="CUST-00516"/>
    <n v="68"/>
    <s v="Yes"/>
    <s v="Yes"/>
    <s v="No"/>
    <n v="11"/>
    <s v="No"/>
    <s v="No phone service"/>
    <s v="No internet"/>
    <x v="2"/>
    <s v="No"/>
    <s v="Mailed check"/>
    <x v="504"/>
    <n v="239.64"/>
    <s v="Lahore"/>
    <s v="No"/>
    <n v="0"/>
    <x v="1"/>
  </r>
  <r>
    <s v="CUST-00517"/>
    <n v="70"/>
    <s v="Yes"/>
    <s v="Yes"/>
    <s v="No"/>
    <n v="65"/>
    <s v="No"/>
    <s v="No phone service"/>
    <s v="Fiber optic"/>
    <x v="0"/>
    <s v="No"/>
    <s v="Credit card"/>
    <x v="505"/>
    <n v="4389.71"/>
    <s v="Multan"/>
    <s v="No"/>
    <n v="0"/>
    <x v="1"/>
  </r>
  <r>
    <s v="CUST-00518"/>
    <n v="46"/>
    <s v="No"/>
    <s v="Yes"/>
    <s v="Yes"/>
    <n v="52"/>
    <s v="No"/>
    <s v="No phone service"/>
    <s v="Fiber optic"/>
    <x v="2"/>
    <s v="Yes"/>
    <s v="Electronic check"/>
    <x v="506"/>
    <n v="4398.88"/>
    <s v="Multan"/>
    <s v="No"/>
    <n v="0"/>
    <x v="1"/>
  </r>
  <r>
    <s v="CUST-00519"/>
    <n v="66"/>
    <s v="Yes"/>
    <s v="Yes"/>
    <s v="No"/>
    <n v="41"/>
    <s v="Yes"/>
    <s v="Yes"/>
    <s v="DSL"/>
    <x v="0"/>
    <s v="No"/>
    <s v="Bank Transfer"/>
    <x v="507"/>
    <n v="1945.78"/>
    <s v="Rawalpindi"/>
    <s v="Yes"/>
    <n v="1"/>
    <x v="1"/>
  </r>
  <r>
    <s v="CUST-00520"/>
    <n v="71"/>
    <s v="Yes"/>
    <s v="Yes"/>
    <s v="Yes"/>
    <n v="3"/>
    <s v="Yes"/>
    <s v="No"/>
    <s v="No internet"/>
    <x v="1"/>
    <s v="Yes"/>
    <s v="Electronic check"/>
    <x v="508"/>
    <n v="80.09"/>
    <s v="Faisalabad"/>
    <s v="No"/>
    <n v="0"/>
    <x v="1"/>
  </r>
  <r>
    <s v="CUST-00521"/>
    <n v="34"/>
    <s v="No"/>
    <s v="Yes"/>
    <s v="Yes"/>
    <n v="48"/>
    <s v="Yes"/>
    <s v="Yes"/>
    <s v="Fiber optic"/>
    <x v="2"/>
    <s v="No"/>
    <s v="Bank Transfer"/>
    <x v="509"/>
    <n v="4395.78"/>
    <s v="Peshawar"/>
    <s v="Yes"/>
    <n v="1"/>
    <x v="1"/>
  </r>
  <r>
    <s v="CUST-00522"/>
    <n v="70"/>
    <s v="Yes"/>
    <s v="No"/>
    <s v="No"/>
    <n v="64"/>
    <s v="No"/>
    <s v="No phone service"/>
    <s v="Fiber optic"/>
    <x v="1"/>
    <s v="Yes"/>
    <s v="Mailed check"/>
    <x v="510"/>
    <n v="5500.11"/>
    <s v="Rawalpindi"/>
    <s v="No"/>
    <n v="0"/>
    <x v="1"/>
  </r>
  <r>
    <s v="CUST-00523"/>
    <n v="68"/>
    <s v="Yes"/>
    <s v="Yes"/>
    <s v="Yes"/>
    <n v="38"/>
    <s v="Yes"/>
    <s v="No"/>
    <s v="No internet"/>
    <x v="1"/>
    <s v="No"/>
    <s v="Credit card"/>
    <x v="511"/>
    <n v="930.58"/>
    <s v="Peshawar"/>
    <s v="No"/>
    <n v="0"/>
    <x v="1"/>
  </r>
  <r>
    <s v="CUST-00524"/>
    <n v="38"/>
    <s v="No"/>
    <s v="No"/>
    <s v="Yes"/>
    <n v="50"/>
    <s v="No"/>
    <s v="No phone service"/>
    <s v="DSL"/>
    <x v="2"/>
    <s v="Yes"/>
    <s v="Electronic check"/>
    <x v="512"/>
    <n v="3848.53"/>
    <s v="Faisalabad"/>
    <s v="Yes"/>
    <n v="1"/>
    <x v="1"/>
  </r>
  <r>
    <s v="CUST-00525"/>
    <n v="60"/>
    <s v="Yes"/>
    <s v="Yes"/>
    <s v="Yes"/>
    <n v="33"/>
    <s v="No"/>
    <s v="No phone service"/>
    <s v="DSL"/>
    <x v="2"/>
    <s v="No"/>
    <s v="Bank Transfer"/>
    <x v="513"/>
    <n v="1564.92"/>
    <s v="Karachi"/>
    <s v="Yes"/>
    <n v="1"/>
    <x v="1"/>
  </r>
  <r>
    <s v="CUST-00526"/>
    <n v="34"/>
    <s v="No"/>
    <s v="Yes"/>
    <s v="No"/>
    <n v="44"/>
    <s v="Yes"/>
    <s v="Yes"/>
    <s v="No internet"/>
    <x v="0"/>
    <s v="No"/>
    <s v="Electronic check"/>
    <x v="514"/>
    <n v="806.91"/>
    <s v="Peshawar"/>
    <s v="Yes"/>
    <n v="1"/>
    <x v="1"/>
  </r>
  <r>
    <s v="CUST-00527"/>
    <n v="71"/>
    <s v="Yes"/>
    <s v="No"/>
    <s v="No"/>
    <n v="56"/>
    <s v="No"/>
    <s v="No phone service"/>
    <s v="Fiber optic"/>
    <x v="0"/>
    <s v="No"/>
    <s v="Credit card"/>
    <x v="515"/>
    <n v="4933.59"/>
    <s v="Rawalpindi"/>
    <s v="No"/>
    <n v="0"/>
    <x v="1"/>
  </r>
  <r>
    <s v="CUST-00528"/>
    <n v="66"/>
    <s v="Yes"/>
    <s v="Yes"/>
    <s v="No"/>
    <n v="7"/>
    <s v="Yes"/>
    <s v="Yes"/>
    <s v="Fiber optic"/>
    <x v="2"/>
    <s v="No"/>
    <s v="Electronic check"/>
    <x v="516"/>
    <n v="623.41"/>
    <s v="Rawalpindi"/>
    <s v="No"/>
    <n v="0"/>
    <x v="1"/>
  </r>
  <r>
    <s v="CUST-00529"/>
    <n v="20"/>
    <s v="No"/>
    <s v="No"/>
    <s v="No"/>
    <n v="72"/>
    <s v="No"/>
    <s v="No phone service"/>
    <s v="DSL"/>
    <x v="2"/>
    <s v="Yes"/>
    <s v="Electronic check"/>
    <x v="517"/>
    <n v="3288.42"/>
    <s v="Karachi"/>
    <s v="Yes"/>
    <n v="1"/>
    <x v="1"/>
  </r>
  <r>
    <s v="CUST-00530"/>
    <n v="65"/>
    <s v="Yes"/>
    <s v="No"/>
    <s v="Yes"/>
    <n v="1"/>
    <s v="Yes"/>
    <s v="No"/>
    <s v="DSL"/>
    <x v="2"/>
    <s v="No"/>
    <s v="Bank Transfer"/>
    <x v="518"/>
    <n v="71.2"/>
    <s v="Multan"/>
    <s v="No"/>
    <n v="0"/>
    <x v="1"/>
  </r>
  <r>
    <s v="CUST-00531"/>
    <n v="25"/>
    <s v="No"/>
    <s v="No"/>
    <s v="No"/>
    <n v="14"/>
    <s v="Yes"/>
    <s v="Yes"/>
    <s v="No internet"/>
    <x v="2"/>
    <s v="No"/>
    <s v="Credit card"/>
    <x v="519"/>
    <n v="417.1"/>
    <s v="Lahore"/>
    <s v="Yes"/>
    <n v="1"/>
    <x v="1"/>
  </r>
  <r>
    <s v="CUST-00532"/>
    <n v="59"/>
    <s v="No"/>
    <s v="No"/>
    <s v="No"/>
    <n v="17"/>
    <s v="Yes"/>
    <s v="No"/>
    <s v="Fiber optic"/>
    <x v="2"/>
    <s v="Yes"/>
    <s v="Bank Transfer"/>
    <x v="520"/>
    <n v="1675.44"/>
    <s v="Islamabad"/>
    <s v="Yes"/>
    <n v="1"/>
    <x v="1"/>
  </r>
  <r>
    <s v="CUST-00533"/>
    <n v="29"/>
    <s v="No"/>
    <s v="Yes"/>
    <s v="No"/>
    <n v="12"/>
    <s v="Yes"/>
    <s v="Yes"/>
    <s v="Fiber optic"/>
    <x v="0"/>
    <s v="No"/>
    <s v="Bank Transfer"/>
    <x v="521"/>
    <n v="1354.01"/>
    <s v="Peshawar"/>
    <s v="Yes"/>
    <n v="1"/>
    <x v="1"/>
  </r>
  <r>
    <s v="CUST-00534"/>
    <n v="45"/>
    <s v="No"/>
    <s v="No"/>
    <s v="Yes"/>
    <n v="46"/>
    <s v="No"/>
    <s v="No phone service"/>
    <s v="DSL"/>
    <x v="2"/>
    <s v="No"/>
    <s v="Credit card"/>
    <x v="522"/>
    <n v="2482.9699999999998"/>
    <s v="Lahore"/>
    <s v="No"/>
    <n v="0"/>
    <x v="1"/>
  </r>
  <r>
    <s v="CUST-00535"/>
    <n v="66"/>
    <s v="Yes"/>
    <s v="No"/>
    <s v="No"/>
    <n v="24"/>
    <s v="No"/>
    <s v="No phone service"/>
    <s v="Fiber optic"/>
    <x v="2"/>
    <s v="No"/>
    <s v="Mailed check"/>
    <x v="523"/>
    <n v="2535.8200000000002"/>
    <s v="Rawalpindi"/>
    <s v="No"/>
    <n v="0"/>
    <x v="1"/>
  </r>
  <r>
    <s v="CUST-00536"/>
    <n v="51"/>
    <s v="No"/>
    <s v="Yes"/>
    <s v="No"/>
    <n v="60"/>
    <s v="No"/>
    <s v="No phone service"/>
    <s v="Fiber optic"/>
    <x v="2"/>
    <s v="Yes"/>
    <s v="Bank Transfer"/>
    <x v="524"/>
    <n v="4947.34"/>
    <s v="Faisalabad"/>
    <s v="No"/>
    <n v="0"/>
    <x v="1"/>
  </r>
  <r>
    <s v="CUST-00537"/>
    <n v="21"/>
    <s v="No"/>
    <s v="Yes"/>
    <s v="Yes"/>
    <n v="66"/>
    <s v="No"/>
    <s v="No phone service"/>
    <s v="Fiber optic"/>
    <x v="2"/>
    <s v="No"/>
    <s v="Bank Transfer"/>
    <x v="525"/>
    <n v="6303.48"/>
    <s v="Lahore"/>
    <s v="Yes"/>
    <n v="1"/>
    <x v="1"/>
  </r>
  <r>
    <s v="CUST-00538"/>
    <n v="67"/>
    <s v="Yes"/>
    <s v="Yes"/>
    <s v="Yes"/>
    <n v="60"/>
    <s v="Yes"/>
    <s v="No"/>
    <s v="Fiber optic"/>
    <x v="2"/>
    <s v="No"/>
    <s v="Mailed check"/>
    <x v="526"/>
    <n v="5146.1000000000004"/>
    <s v="Multan"/>
    <s v="No"/>
    <n v="0"/>
    <x v="1"/>
  </r>
  <r>
    <s v="CUST-00539"/>
    <n v="46"/>
    <s v="No"/>
    <s v="No"/>
    <s v="No"/>
    <n v="24"/>
    <s v="Yes"/>
    <s v="No"/>
    <s v="Fiber optic"/>
    <x v="0"/>
    <s v="Yes"/>
    <s v="Credit card"/>
    <x v="527"/>
    <n v="1680.15"/>
    <s v="Multan"/>
    <s v="Yes"/>
    <n v="1"/>
    <x v="1"/>
  </r>
  <r>
    <s v="CUST-00540"/>
    <n v="48"/>
    <s v="No"/>
    <s v="No"/>
    <s v="No"/>
    <n v="63"/>
    <s v="No"/>
    <s v="No phone service"/>
    <s v="Fiber optic"/>
    <x v="0"/>
    <s v="No"/>
    <s v="Bank Transfer"/>
    <x v="528"/>
    <n v="4480.76"/>
    <s v="Peshawar"/>
    <s v="Yes"/>
    <n v="1"/>
    <x v="1"/>
  </r>
  <r>
    <s v="CUST-00541"/>
    <n v="19"/>
    <s v="No"/>
    <s v="Yes"/>
    <s v="Yes"/>
    <n v="27"/>
    <s v="Yes"/>
    <s v="No"/>
    <s v="DSL"/>
    <x v="2"/>
    <s v="Yes"/>
    <s v="Electronic check"/>
    <x v="529"/>
    <n v="1830.63"/>
    <s v="Lahore"/>
    <s v="No"/>
    <n v="0"/>
    <x v="1"/>
  </r>
  <r>
    <s v="CUST-00542"/>
    <n v="28"/>
    <s v="No"/>
    <s v="Yes"/>
    <s v="No"/>
    <n v="63"/>
    <s v="No"/>
    <s v="No phone service"/>
    <s v="DSL"/>
    <x v="0"/>
    <s v="Yes"/>
    <s v="Electronic check"/>
    <x v="530"/>
    <n v="4550.4399999999996"/>
    <s v="Lahore"/>
    <s v="No"/>
    <n v="0"/>
    <x v="1"/>
  </r>
  <r>
    <s v="CUST-00543"/>
    <n v="58"/>
    <s v="No"/>
    <s v="No"/>
    <s v="No"/>
    <n v="64"/>
    <s v="No"/>
    <s v="No phone service"/>
    <s v="DSL"/>
    <x v="2"/>
    <s v="No"/>
    <s v="Credit card"/>
    <x v="531"/>
    <n v="4127.45"/>
    <s v="Peshawar"/>
    <s v="No"/>
    <n v="0"/>
    <x v="1"/>
  </r>
  <r>
    <s v="CUST-00544"/>
    <n v="73"/>
    <s v="Yes"/>
    <s v="No"/>
    <s v="Yes"/>
    <n v="8"/>
    <s v="No"/>
    <s v="No phone service"/>
    <s v="DSL"/>
    <x v="0"/>
    <s v="Yes"/>
    <s v="Electronic check"/>
    <x v="532"/>
    <n v="552.07000000000005"/>
    <s v="Faisalabad"/>
    <s v="Yes"/>
    <n v="1"/>
    <x v="1"/>
  </r>
  <r>
    <s v="CUST-00545"/>
    <n v="59"/>
    <s v="No"/>
    <s v="No"/>
    <s v="No"/>
    <n v="56"/>
    <s v="No"/>
    <s v="No phone service"/>
    <s v="Fiber optic"/>
    <x v="0"/>
    <s v="No"/>
    <s v="Electronic check"/>
    <x v="533"/>
    <n v="4416.4399999999996"/>
    <s v="Islamabad"/>
    <s v="No"/>
    <n v="0"/>
    <x v="1"/>
  </r>
  <r>
    <s v="CUST-00546"/>
    <n v="56"/>
    <s v="No"/>
    <s v="No"/>
    <s v="Yes"/>
    <n v="38"/>
    <s v="No"/>
    <s v="No phone service"/>
    <s v="DSL"/>
    <x v="1"/>
    <s v="No"/>
    <s v="Bank Transfer"/>
    <x v="534"/>
    <n v="2848.72"/>
    <s v="Islamabad"/>
    <s v="No"/>
    <n v="0"/>
    <x v="1"/>
  </r>
  <r>
    <s v="CUST-00547"/>
    <n v="62"/>
    <s v="Yes"/>
    <s v="Yes"/>
    <s v="No"/>
    <n v="17"/>
    <s v="Yes"/>
    <s v="No"/>
    <s v="Fiber optic"/>
    <x v="2"/>
    <s v="No"/>
    <s v="Mailed check"/>
    <x v="479"/>
    <n v="1558.49"/>
    <s v="Lahore"/>
    <s v="No"/>
    <n v="0"/>
    <x v="1"/>
  </r>
  <r>
    <s v="CUST-00548"/>
    <n v="40"/>
    <s v="No"/>
    <s v="No"/>
    <s v="No"/>
    <n v="21"/>
    <s v="Yes"/>
    <s v="No"/>
    <s v="Fiber optic"/>
    <x v="2"/>
    <s v="Yes"/>
    <s v="Bank Transfer"/>
    <x v="535"/>
    <n v="1543.77"/>
    <s v="Islamabad"/>
    <s v="Yes"/>
    <n v="1"/>
    <x v="1"/>
  </r>
  <r>
    <s v="CUST-00549"/>
    <n v="68"/>
    <s v="Yes"/>
    <s v="No"/>
    <s v="Yes"/>
    <n v="72"/>
    <s v="Yes"/>
    <s v="No"/>
    <s v="Fiber optic"/>
    <x v="1"/>
    <s v="Yes"/>
    <s v="Bank Transfer"/>
    <x v="297"/>
    <n v="8313.27"/>
    <s v="Peshawar"/>
    <s v="No"/>
    <n v="0"/>
    <x v="1"/>
  </r>
  <r>
    <s v="CUST-00550"/>
    <n v="66"/>
    <s v="Yes"/>
    <s v="Yes"/>
    <s v="Yes"/>
    <n v="14"/>
    <s v="Yes"/>
    <s v="No"/>
    <s v="No internet"/>
    <x v="2"/>
    <s v="Yes"/>
    <s v="Mailed check"/>
    <x v="536"/>
    <n v="388.35"/>
    <s v="Rawalpindi"/>
    <s v="Yes"/>
    <n v="1"/>
    <x v="1"/>
  </r>
  <r>
    <s v="CUST-00551"/>
    <n v="66"/>
    <s v="Yes"/>
    <s v="No"/>
    <s v="Yes"/>
    <n v="20"/>
    <s v="No"/>
    <s v="No phone service"/>
    <s v="DSL"/>
    <x v="1"/>
    <s v="Yes"/>
    <s v="Bank Transfer"/>
    <x v="537"/>
    <n v="1139.56"/>
    <s v="Karachi"/>
    <s v="No"/>
    <n v="0"/>
    <x v="1"/>
  </r>
  <r>
    <s v="CUST-00552"/>
    <n v="71"/>
    <s v="Yes"/>
    <s v="No"/>
    <s v="No"/>
    <n v="37"/>
    <s v="Yes"/>
    <s v="Yes"/>
    <s v="DSL"/>
    <x v="0"/>
    <s v="No"/>
    <s v="Credit card"/>
    <x v="538"/>
    <n v="2361.1799999999998"/>
    <s v="Rawalpindi"/>
    <s v="No"/>
    <n v="0"/>
    <x v="1"/>
  </r>
  <r>
    <s v="CUST-00553"/>
    <n v="68"/>
    <s v="Yes"/>
    <s v="Yes"/>
    <s v="Yes"/>
    <n v="55"/>
    <s v="No"/>
    <s v="No phone service"/>
    <s v="Fiber optic"/>
    <x v="1"/>
    <s v="No"/>
    <s v="Mailed check"/>
    <x v="539"/>
    <n v="5231.42"/>
    <s v="Faisalabad"/>
    <s v="No"/>
    <n v="0"/>
    <x v="1"/>
  </r>
  <r>
    <s v="CUST-00554"/>
    <n v="22"/>
    <s v="No"/>
    <s v="Yes"/>
    <s v="No"/>
    <n v="41"/>
    <s v="Yes"/>
    <s v="No"/>
    <s v="Fiber optic"/>
    <x v="2"/>
    <s v="Yes"/>
    <s v="Bank Transfer"/>
    <x v="540"/>
    <n v="4387"/>
    <s v="Multan"/>
    <s v="Yes"/>
    <n v="1"/>
    <x v="1"/>
  </r>
  <r>
    <s v="CUST-00555"/>
    <n v="63"/>
    <s v="Yes"/>
    <s v="No"/>
    <s v="No"/>
    <n v="52"/>
    <s v="No"/>
    <s v="No phone service"/>
    <s v="No internet"/>
    <x v="0"/>
    <s v="No"/>
    <s v="Mailed check"/>
    <x v="413"/>
    <n v="915.82"/>
    <s v="Karachi"/>
    <s v="No"/>
    <n v="0"/>
    <x v="1"/>
  </r>
  <r>
    <s v="CUST-00556"/>
    <n v="62"/>
    <s v="Yes"/>
    <s v="No"/>
    <s v="No"/>
    <n v="27"/>
    <s v="No"/>
    <s v="No phone service"/>
    <s v="No internet"/>
    <x v="0"/>
    <s v="No"/>
    <s v="Bank Transfer"/>
    <x v="541"/>
    <n v="732.91"/>
    <s v="Rawalpindi"/>
    <s v="No"/>
    <n v="0"/>
    <x v="1"/>
  </r>
  <r>
    <s v="CUST-00557"/>
    <n v="64"/>
    <s v="Yes"/>
    <s v="Yes"/>
    <s v="No"/>
    <n v="28"/>
    <s v="No"/>
    <s v="No phone service"/>
    <s v="Fiber optic"/>
    <x v="2"/>
    <s v="Yes"/>
    <s v="Electronic check"/>
    <x v="542"/>
    <n v="3221.93"/>
    <s v="Peshawar"/>
    <s v="Yes"/>
    <n v="1"/>
    <x v="1"/>
  </r>
  <r>
    <s v="CUST-00558"/>
    <n v="67"/>
    <s v="Yes"/>
    <s v="No"/>
    <s v="No"/>
    <n v="65"/>
    <s v="Yes"/>
    <s v="No"/>
    <s v="Fiber optic"/>
    <x v="2"/>
    <s v="No"/>
    <s v="Electronic check"/>
    <x v="543"/>
    <n v="7380.15"/>
    <s v="Faisalabad"/>
    <s v="Yes"/>
    <n v="1"/>
    <x v="1"/>
  </r>
  <r>
    <s v="CUST-00559"/>
    <n v="65"/>
    <s v="Yes"/>
    <s v="Yes"/>
    <s v="No"/>
    <n v="44"/>
    <s v="Yes"/>
    <s v="No"/>
    <s v="No internet"/>
    <x v="2"/>
    <s v="Yes"/>
    <s v="Bank Transfer"/>
    <x v="246"/>
    <n v="1034.26"/>
    <s v="Faisalabad"/>
    <s v="Yes"/>
    <n v="1"/>
    <x v="1"/>
  </r>
  <r>
    <s v="CUST-00560"/>
    <n v="30"/>
    <s v="No"/>
    <s v="No"/>
    <s v="No"/>
    <n v="13"/>
    <s v="No"/>
    <s v="No phone service"/>
    <s v="Fiber optic"/>
    <x v="1"/>
    <s v="Yes"/>
    <s v="Electronic check"/>
    <x v="544"/>
    <n v="1133.47"/>
    <s v="Lahore"/>
    <s v="Yes"/>
    <n v="1"/>
    <x v="1"/>
  </r>
  <r>
    <s v="CUST-00561"/>
    <n v="41"/>
    <s v="No"/>
    <s v="No"/>
    <s v="No"/>
    <n v="34"/>
    <s v="No"/>
    <s v="No phone service"/>
    <s v="DSL"/>
    <x v="1"/>
    <s v="No"/>
    <s v="Bank Transfer"/>
    <x v="545"/>
    <n v="1849.15"/>
    <s v="Rawalpindi"/>
    <s v="No"/>
    <n v="0"/>
    <x v="1"/>
  </r>
  <r>
    <s v="CUST-00562"/>
    <n v="63"/>
    <s v="Yes"/>
    <s v="No"/>
    <s v="Yes"/>
    <n v="66"/>
    <s v="Yes"/>
    <s v="No"/>
    <s v="No internet"/>
    <x v="2"/>
    <s v="Yes"/>
    <s v="Bank Transfer"/>
    <x v="546"/>
    <n v="1905.43"/>
    <s v="Faisalabad"/>
    <s v="No"/>
    <n v="0"/>
    <x v="1"/>
  </r>
  <r>
    <s v="CUST-00563"/>
    <n v="72"/>
    <s v="Yes"/>
    <s v="No"/>
    <s v="Yes"/>
    <n v="16"/>
    <s v="No"/>
    <s v="No phone service"/>
    <s v="Fiber optic"/>
    <x v="2"/>
    <s v="Yes"/>
    <s v="Electronic check"/>
    <x v="547"/>
    <n v="1343.45"/>
    <s v="Lahore"/>
    <s v="Yes"/>
    <n v="1"/>
    <x v="1"/>
  </r>
  <r>
    <s v="CUST-00564"/>
    <n v="68"/>
    <s v="Yes"/>
    <s v="Yes"/>
    <s v="Yes"/>
    <n v="54"/>
    <s v="No"/>
    <s v="No phone service"/>
    <s v="Fiber optic"/>
    <x v="1"/>
    <s v="Yes"/>
    <s v="Electronic check"/>
    <x v="548"/>
    <n v="5431.75"/>
    <s v="Lahore"/>
    <s v="No"/>
    <n v="0"/>
    <x v="1"/>
  </r>
  <r>
    <s v="CUST-00565"/>
    <n v="73"/>
    <s v="Yes"/>
    <s v="Yes"/>
    <s v="No"/>
    <n v="62"/>
    <s v="No"/>
    <s v="No phone service"/>
    <s v="DSL"/>
    <x v="1"/>
    <s v="No"/>
    <s v="Credit card"/>
    <x v="549"/>
    <n v="4319.71"/>
    <s v="Faisalabad"/>
    <s v="No"/>
    <n v="0"/>
    <x v="1"/>
  </r>
  <r>
    <s v="CUST-00566"/>
    <n v="58"/>
    <s v="No"/>
    <s v="No"/>
    <s v="No"/>
    <n v="58"/>
    <s v="No"/>
    <s v="No phone service"/>
    <s v="Fiber optic"/>
    <x v="2"/>
    <s v="No"/>
    <s v="Credit card"/>
    <x v="550"/>
    <n v="6541.7"/>
    <s v="Multan"/>
    <s v="Yes"/>
    <n v="1"/>
    <x v="1"/>
  </r>
  <r>
    <s v="CUST-00567"/>
    <n v="74"/>
    <s v="Yes"/>
    <s v="No"/>
    <s v="No"/>
    <n v="12"/>
    <s v="Yes"/>
    <s v="No"/>
    <s v="No internet"/>
    <x v="0"/>
    <s v="No"/>
    <s v="Credit card"/>
    <x v="551"/>
    <n v="235.55"/>
    <s v="Faisalabad"/>
    <s v="Yes"/>
    <n v="1"/>
    <x v="1"/>
  </r>
  <r>
    <s v="CUST-00568"/>
    <n v="52"/>
    <s v="No"/>
    <s v="Yes"/>
    <s v="Yes"/>
    <n v="61"/>
    <s v="Yes"/>
    <s v="Yes"/>
    <s v="DSL"/>
    <x v="1"/>
    <s v="Yes"/>
    <s v="Mailed check"/>
    <x v="552"/>
    <n v="3001.17"/>
    <s v="Peshawar"/>
    <s v="No"/>
    <n v="0"/>
    <x v="1"/>
  </r>
  <r>
    <s v="CUST-00569"/>
    <n v="74"/>
    <s v="Yes"/>
    <s v="No"/>
    <s v="Yes"/>
    <n v="69"/>
    <s v="No"/>
    <s v="No phone service"/>
    <s v="DSL"/>
    <x v="0"/>
    <s v="No"/>
    <s v="Mailed check"/>
    <x v="553"/>
    <n v="2802.83"/>
    <s v="Peshawar"/>
    <s v="No"/>
    <n v="0"/>
    <x v="1"/>
  </r>
  <r>
    <s v="CUST-00570"/>
    <n v="51"/>
    <s v="No"/>
    <s v="No"/>
    <s v="No"/>
    <n v="33"/>
    <s v="Yes"/>
    <s v="No"/>
    <s v="Fiber optic"/>
    <x v="2"/>
    <s v="Yes"/>
    <s v="Electronic check"/>
    <x v="177"/>
    <n v="2400.86"/>
    <s v="Karachi"/>
    <s v="Yes"/>
    <n v="1"/>
    <x v="1"/>
  </r>
  <r>
    <s v="CUST-00571"/>
    <n v="21"/>
    <s v="No"/>
    <s v="No"/>
    <s v="Yes"/>
    <n v="4"/>
    <s v="No"/>
    <s v="No phone service"/>
    <s v="DSL"/>
    <x v="2"/>
    <s v="No"/>
    <s v="Electronic check"/>
    <x v="554"/>
    <n v="294.08"/>
    <s v="Lahore"/>
    <s v="No"/>
    <n v="0"/>
    <x v="1"/>
  </r>
  <r>
    <s v="CUST-00572"/>
    <n v="21"/>
    <s v="No"/>
    <s v="Yes"/>
    <s v="Yes"/>
    <n v="31"/>
    <s v="No"/>
    <s v="No phone service"/>
    <s v="DSL"/>
    <x v="1"/>
    <s v="No"/>
    <s v="Electronic check"/>
    <x v="555"/>
    <n v="1796.04"/>
    <s v="Rawalpindi"/>
    <s v="No"/>
    <n v="0"/>
    <x v="1"/>
  </r>
  <r>
    <s v="CUST-00573"/>
    <n v="58"/>
    <s v="No"/>
    <s v="Yes"/>
    <s v="Yes"/>
    <n v="35"/>
    <s v="Yes"/>
    <s v="Yes"/>
    <s v="DSL"/>
    <x v="0"/>
    <s v="Yes"/>
    <s v="Electronic check"/>
    <x v="556"/>
    <n v="1871.11"/>
    <s v="Karachi"/>
    <s v="No"/>
    <n v="0"/>
    <x v="1"/>
  </r>
  <r>
    <s v="CUST-00574"/>
    <n v="68"/>
    <s v="Yes"/>
    <s v="Yes"/>
    <s v="No"/>
    <n v="70"/>
    <s v="Yes"/>
    <s v="No"/>
    <s v="No internet"/>
    <x v="2"/>
    <s v="No"/>
    <s v="Electronic check"/>
    <x v="557"/>
    <n v="2049.9899999999998"/>
    <s v="Multan"/>
    <s v="No"/>
    <n v="0"/>
    <x v="1"/>
  </r>
  <r>
    <s v="CUST-00575"/>
    <n v="28"/>
    <s v="No"/>
    <s v="Yes"/>
    <s v="Yes"/>
    <n v="62"/>
    <s v="No"/>
    <s v="No phone service"/>
    <s v="Fiber optic"/>
    <x v="1"/>
    <s v="No"/>
    <s v="Mailed check"/>
    <x v="558"/>
    <n v="6711.83"/>
    <s v="Islamabad"/>
    <s v="No"/>
    <n v="0"/>
    <x v="1"/>
  </r>
  <r>
    <s v="CUST-00576"/>
    <n v="20"/>
    <s v="No"/>
    <s v="Yes"/>
    <s v="Yes"/>
    <n v="39"/>
    <s v="Yes"/>
    <s v="No"/>
    <s v="Fiber optic"/>
    <x v="0"/>
    <s v="No"/>
    <s v="Mailed check"/>
    <x v="559"/>
    <n v="3142.88"/>
    <s v="Multan"/>
    <s v="No"/>
    <n v="0"/>
    <x v="1"/>
  </r>
  <r>
    <s v="CUST-00577"/>
    <n v="39"/>
    <s v="No"/>
    <s v="No"/>
    <s v="No"/>
    <n v="35"/>
    <s v="No"/>
    <s v="No phone service"/>
    <s v="Fiber optic"/>
    <x v="2"/>
    <s v="No"/>
    <s v="Mailed check"/>
    <x v="560"/>
    <n v="3174.97"/>
    <s v="Lahore"/>
    <s v="Yes"/>
    <n v="1"/>
    <x v="1"/>
  </r>
  <r>
    <s v="CUST-00578"/>
    <n v="56"/>
    <s v="No"/>
    <s v="No"/>
    <s v="Yes"/>
    <n v="2"/>
    <s v="No"/>
    <s v="No phone service"/>
    <s v="DSL"/>
    <x v="0"/>
    <s v="No"/>
    <s v="Bank Transfer"/>
    <x v="561"/>
    <n v="127.3"/>
    <s v="Lahore"/>
    <s v="No"/>
    <n v="0"/>
    <x v="1"/>
  </r>
  <r>
    <s v="CUST-00579"/>
    <n v="52"/>
    <s v="No"/>
    <s v="Yes"/>
    <s v="No"/>
    <n v="16"/>
    <s v="No"/>
    <s v="No phone service"/>
    <s v="Fiber optic"/>
    <x v="1"/>
    <s v="No"/>
    <s v="Credit card"/>
    <x v="562"/>
    <n v="1858.4"/>
    <s v="Lahore"/>
    <s v="No"/>
    <n v="0"/>
    <x v="1"/>
  </r>
  <r>
    <s v="CUST-00580"/>
    <n v="47"/>
    <s v="No"/>
    <s v="No"/>
    <s v="Yes"/>
    <n v="57"/>
    <s v="Yes"/>
    <s v="No"/>
    <s v="Fiber optic"/>
    <x v="0"/>
    <s v="No"/>
    <s v="Electronic check"/>
    <x v="563"/>
    <n v="6411.09"/>
    <s v="Karachi"/>
    <s v="No"/>
    <n v="0"/>
    <x v="1"/>
  </r>
  <r>
    <s v="CUST-00581"/>
    <n v="32"/>
    <s v="No"/>
    <s v="No"/>
    <s v="No"/>
    <n v="5"/>
    <s v="Yes"/>
    <s v="Yes"/>
    <s v="Fiber optic"/>
    <x v="1"/>
    <s v="No"/>
    <s v="Electronic check"/>
    <x v="564"/>
    <n v="419.37"/>
    <s v="Karachi"/>
    <s v="Yes"/>
    <n v="1"/>
    <x v="1"/>
  </r>
  <r>
    <s v="CUST-00582"/>
    <n v="60"/>
    <s v="Yes"/>
    <s v="Yes"/>
    <s v="Yes"/>
    <n v="17"/>
    <s v="Yes"/>
    <s v="Yes"/>
    <s v="DSL"/>
    <x v="0"/>
    <s v="Yes"/>
    <s v="Mailed check"/>
    <x v="565"/>
    <n v="1143.8800000000001"/>
    <s v="Lahore"/>
    <s v="No"/>
    <n v="0"/>
    <x v="1"/>
  </r>
  <r>
    <s v="CUST-00583"/>
    <n v="62"/>
    <s v="Yes"/>
    <s v="No"/>
    <s v="No"/>
    <n v="1"/>
    <s v="Yes"/>
    <s v="No"/>
    <s v="No internet"/>
    <x v="2"/>
    <s v="No"/>
    <s v="Electronic check"/>
    <x v="566"/>
    <n v="26.06"/>
    <s v="Peshawar"/>
    <s v="Yes"/>
    <n v="1"/>
    <x v="1"/>
  </r>
  <r>
    <s v="CUST-00584"/>
    <n v="20"/>
    <s v="No"/>
    <s v="Yes"/>
    <s v="Yes"/>
    <n v="36"/>
    <s v="No"/>
    <s v="No phone service"/>
    <s v="No internet"/>
    <x v="2"/>
    <s v="No"/>
    <s v="Electronic check"/>
    <x v="567"/>
    <n v="689.17"/>
    <s v="Multan"/>
    <s v="Yes"/>
    <n v="1"/>
    <x v="1"/>
  </r>
  <r>
    <s v="CUST-00585"/>
    <n v="32"/>
    <s v="No"/>
    <s v="No"/>
    <s v="Yes"/>
    <n v="32"/>
    <s v="No"/>
    <s v="No phone service"/>
    <s v="Fiber optic"/>
    <x v="2"/>
    <s v="Yes"/>
    <s v="Electronic check"/>
    <x v="568"/>
    <n v="2763.78"/>
    <s v="Islamabad"/>
    <s v="No"/>
    <n v="0"/>
    <x v="1"/>
  </r>
  <r>
    <s v="CUST-00586"/>
    <n v="71"/>
    <s v="Yes"/>
    <s v="No"/>
    <s v="Yes"/>
    <n v="14"/>
    <s v="No"/>
    <s v="No phone service"/>
    <s v="DSL"/>
    <x v="1"/>
    <s v="No"/>
    <s v="Credit card"/>
    <x v="24"/>
    <n v="657.08"/>
    <s v="Rawalpindi"/>
    <s v="No"/>
    <n v="0"/>
    <x v="1"/>
  </r>
  <r>
    <s v="CUST-00587"/>
    <n v="66"/>
    <s v="Yes"/>
    <s v="Yes"/>
    <s v="No"/>
    <n v="16"/>
    <s v="Yes"/>
    <s v="No"/>
    <s v="Fiber optic"/>
    <x v="2"/>
    <s v="Yes"/>
    <s v="Bank Transfer"/>
    <x v="569"/>
    <n v="1212.04"/>
    <s v="Faisalabad"/>
    <s v="Yes"/>
    <n v="1"/>
    <x v="1"/>
  </r>
  <r>
    <s v="CUST-00588"/>
    <n v="58"/>
    <s v="No"/>
    <s v="No"/>
    <s v="Yes"/>
    <n v="14"/>
    <s v="Yes"/>
    <s v="Yes"/>
    <s v="DSL"/>
    <x v="2"/>
    <s v="Yes"/>
    <s v="Bank Transfer"/>
    <x v="311"/>
    <n v="824.73"/>
    <s v="Faisalabad"/>
    <s v="No"/>
    <n v="0"/>
    <x v="1"/>
  </r>
  <r>
    <s v="CUST-00589"/>
    <n v="18"/>
    <s v="No"/>
    <s v="No"/>
    <s v="No"/>
    <n v="60"/>
    <s v="Yes"/>
    <s v="Yes"/>
    <s v="DSL"/>
    <x v="1"/>
    <s v="Yes"/>
    <s v="Credit card"/>
    <x v="570"/>
    <n v="3070.16"/>
    <s v="Faisalabad"/>
    <s v="Yes"/>
    <n v="1"/>
    <x v="1"/>
  </r>
  <r>
    <s v="CUST-00590"/>
    <n v="63"/>
    <s v="Yes"/>
    <s v="Yes"/>
    <s v="Yes"/>
    <n v="17"/>
    <s v="No"/>
    <s v="No phone service"/>
    <s v="DSL"/>
    <x v="2"/>
    <s v="No"/>
    <s v="Bank Transfer"/>
    <x v="571"/>
    <n v="951.99"/>
    <s v="Lahore"/>
    <s v="No"/>
    <n v="0"/>
    <x v="1"/>
  </r>
  <r>
    <s v="CUST-00591"/>
    <n v="26"/>
    <s v="No"/>
    <s v="No"/>
    <s v="No"/>
    <n v="66"/>
    <s v="No"/>
    <s v="No phone service"/>
    <s v="No internet"/>
    <x v="2"/>
    <s v="Yes"/>
    <s v="Electronic check"/>
    <x v="572"/>
    <n v="1405.2"/>
    <s v="Lahore"/>
    <s v="Yes"/>
    <n v="1"/>
    <x v="1"/>
  </r>
  <r>
    <s v="CUST-00592"/>
    <n v="51"/>
    <s v="No"/>
    <s v="Yes"/>
    <s v="Yes"/>
    <n v="31"/>
    <s v="Yes"/>
    <s v="No"/>
    <s v="DSL"/>
    <x v="2"/>
    <s v="Yes"/>
    <s v="Bank Transfer"/>
    <x v="573"/>
    <n v="1412.4"/>
    <s v="Rawalpindi"/>
    <s v="Yes"/>
    <n v="1"/>
    <x v="1"/>
  </r>
  <r>
    <s v="CUST-00593"/>
    <n v="62"/>
    <s v="Yes"/>
    <s v="No"/>
    <s v="No"/>
    <n v="43"/>
    <s v="No"/>
    <s v="No phone service"/>
    <s v="DSL"/>
    <x v="2"/>
    <s v="Yes"/>
    <s v="Credit card"/>
    <x v="574"/>
    <n v="2908.44"/>
    <s v="Lahore"/>
    <s v="Yes"/>
    <n v="1"/>
    <x v="1"/>
  </r>
  <r>
    <s v="CUST-00594"/>
    <n v="58"/>
    <s v="No"/>
    <s v="Yes"/>
    <s v="Yes"/>
    <n v="60"/>
    <s v="Yes"/>
    <s v="No"/>
    <s v="DSL"/>
    <x v="0"/>
    <s v="No"/>
    <s v="Bank Transfer"/>
    <x v="575"/>
    <n v="3262.9"/>
    <s v="Lahore"/>
    <s v="No"/>
    <n v="0"/>
    <x v="1"/>
  </r>
  <r>
    <s v="CUST-00595"/>
    <n v="41"/>
    <s v="No"/>
    <s v="Yes"/>
    <s v="Yes"/>
    <n v="46"/>
    <s v="Yes"/>
    <s v="Yes"/>
    <s v="Fiber optic"/>
    <x v="2"/>
    <s v="No"/>
    <s v="Electronic check"/>
    <x v="576"/>
    <n v="3168.85"/>
    <s v="Islamabad"/>
    <s v="Yes"/>
    <n v="1"/>
    <x v="1"/>
  </r>
  <r>
    <s v="CUST-00596"/>
    <n v="64"/>
    <s v="Yes"/>
    <s v="Yes"/>
    <s v="No"/>
    <n v="71"/>
    <s v="Yes"/>
    <s v="Yes"/>
    <s v="Fiber optic"/>
    <x v="1"/>
    <s v="Yes"/>
    <s v="Electronic check"/>
    <x v="577"/>
    <n v="7267.62"/>
    <s v="Lahore"/>
    <s v="No"/>
    <n v="0"/>
    <x v="1"/>
  </r>
  <r>
    <s v="CUST-00597"/>
    <n v="39"/>
    <s v="No"/>
    <s v="Yes"/>
    <s v="No"/>
    <n v="59"/>
    <s v="No"/>
    <s v="No phone service"/>
    <s v="Fiber optic"/>
    <x v="0"/>
    <s v="No"/>
    <s v="Mailed check"/>
    <x v="578"/>
    <n v="4138.4799999999996"/>
    <s v="Peshawar"/>
    <s v="No"/>
    <n v="0"/>
    <x v="1"/>
  </r>
  <r>
    <s v="CUST-00598"/>
    <n v="30"/>
    <s v="No"/>
    <s v="Yes"/>
    <s v="No"/>
    <n v="48"/>
    <s v="No"/>
    <s v="No phone service"/>
    <s v="Fiber optic"/>
    <x v="1"/>
    <s v="Yes"/>
    <s v="Mailed check"/>
    <x v="579"/>
    <n v="5245.6"/>
    <s v="Islamabad"/>
    <s v="No"/>
    <n v="0"/>
    <x v="1"/>
  </r>
  <r>
    <s v="CUST-00599"/>
    <n v="68"/>
    <s v="Yes"/>
    <s v="Yes"/>
    <s v="No"/>
    <n v="32"/>
    <s v="No"/>
    <s v="No phone service"/>
    <s v="Fiber optic"/>
    <x v="1"/>
    <s v="No"/>
    <s v="Electronic check"/>
    <x v="580"/>
    <n v="2361.9"/>
    <s v="Lahore"/>
    <s v="No"/>
    <n v="0"/>
    <x v="1"/>
  </r>
  <r>
    <s v="CUST-00600"/>
    <n v="28"/>
    <s v="No"/>
    <s v="No"/>
    <s v="No"/>
    <n v="64"/>
    <s v="Yes"/>
    <s v="Yes"/>
    <s v="DSL"/>
    <x v="2"/>
    <s v="No"/>
    <s v="Bank Transfer"/>
    <x v="581"/>
    <n v="3720.18"/>
    <s v="Peshawar"/>
    <s v="No"/>
    <n v="0"/>
    <x v="1"/>
  </r>
  <r>
    <s v="CUST-00601"/>
    <n v="55"/>
    <s v="No"/>
    <s v="Yes"/>
    <s v="Yes"/>
    <n v="29"/>
    <s v="No"/>
    <s v="No phone service"/>
    <s v="No internet"/>
    <x v="1"/>
    <s v="No"/>
    <s v="Electronic check"/>
    <x v="582"/>
    <n v="660.02"/>
    <s v="Peshawar"/>
    <s v="Yes"/>
    <n v="1"/>
    <x v="1"/>
  </r>
  <r>
    <s v="CUST-00602"/>
    <n v="41"/>
    <s v="No"/>
    <s v="No"/>
    <s v="Yes"/>
    <n v="18"/>
    <s v="No"/>
    <s v="No phone service"/>
    <s v="DSL"/>
    <x v="2"/>
    <s v="No"/>
    <s v="Electronic check"/>
    <x v="583"/>
    <n v="750.8"/>
    <s v="Rawalpindi"/>
    <s v="Yes"/>
    <n v="1"/>
    <x v="1"/>
  </r>
  <r>
    <s v="CUST-00603"/>
    <n v="47"/>
    <s v="No"/>
    <s v="No"/>
    <s v="No"/>
    <n v="48"/>
    <s v="No"/>
    <s v="No phone service"/>
    <s v="No internet"/>
    <x v="2"/>
    <s v="Yes"/>
    <s v="Electronic check"/>
    <x v="584"/>
    <n v="1016.3"/>
    <s v="Lahore"/>
    <s v="Yes"/>
    <n v="1"/>
    <x v="1"/>
  </r>
  <r>
    <s v="CUST-00604"/>
    <n v="36"/>
    <s v="No"/>
    <s v="Yes"/>
    <s v="No"/>
    <n v="30"/>
    <s v="Yes"/>
    <s v="No"/>
    <s v="Fiber optic"/>
    <x v="2"/>
    <s v="No"/>
    <s v="Electronic check"/>
    <x v="585"/>
    <n v="2532.39"/>
    <s v="Multan"/>
    <s v="No"/>
    <n v="0"/>
    <x v="1"/>
  </r>
  <r>
    <s v="CUST-00605"/>
    <n v="72"/>
    <s v="Yes"/>
    <s v="No"/>
    <s v="Yes"/>
    <n v="18"/>
    <s v="No"/>
    <s v="No phone service"/>
    <s v="No internet"/>
    <x v="2"/>
    <s v="No"/>
    <s v="Electronic check"/>
    <x v="586"/>
    <n v="422.66"/>
    <s v="Peshawar"/>
    <s v="No"/>
    <n v="0"/>
    <x v="1"/>
  </r>
  <r>
    <s v="CUST-00606"/>
    <n v="55"/>
    <s v="No"/>
    <s v="Yes"/>
    <s v="No"/>
    <n v="66"/>
    <s v="Yes"/>
    <s v="No"/>
    <s v="No internet"/>
    <x v="2"/>
    <s v="Yes"/>
    <s v="Credit card"/>
    <x v="587"/>
    <n v="1651.33"/>
    <s v="Multan"/>
    <s v="No"/>
    <n v="0"/>
    <x v="1"/>
  </r>
  <r>
    <s v="CUST-00607"/>
    <n v="70"/>
    <s v="Yes"/>
    <s v="No"/>
    <s v="No"/>
    <n v="11"/>
    <s v="Yes"/>
    <s v="No"/>
    <s v="Fiber optic"/>
    <x v="1"/>
    <s v="No"/>
    <s v="Electronic check"/>
    <x v="588"/>
    <n v="1024.6400000000001"/>
    <s v="Faisalabad"/>
    <s v="Yes"/>
    <n v="1"/>
    <x v="1"/>
  </r>
  <r>
    <s v="CUST-00608"/>
    <n v="73"/>
    <s v="Yes"/>
    <s v="Yes"/>
    <s v="No"/>
    <n v="2"/>
    <s v="No"/>
    <s v="No phone service"/>
    <s v="DSL"/>
    <x v="2"/>
    <s v="No"/>
    <s v="Credit card"/>
    <x v="589"/>
    <n v="144.63999999999999"/>
    <s v="Islamabad"/>
    <s v="No"/>
    <n v="0"/>
    <x v="1"/>
  </r>
  <r>
    <s v="CUST-00609"/>
    <n v="38"/>
    <s v="No"/>
    <s v="Yes"/>
    <s v="Yes"/>
    <n v="18"/>
    <s v="No"/>
    <s v="No phone service"/>
    <s v="Fiber optic"/>
    <x v="0"/>
    <s v="No"/>
    <s v="Mailed check"/>
    <x v="590"/>
    <n v="1424.83"/>
    <s v="Karachi"/>
    <s v="No"/>
    <n v="0"/>
    <x v="1"/>
  </r>
  <r>
    <s v="CUST-00610"/>
    <n v="48"/>
    <s v="No"/>
    <s v="Yes"/>
    <s v="No"/>
    <n v="58"/>
    <s v="No"/>
    <s v="No phone service"/>
    <s v="DSL"/>
    <x v="2"/>
    <s v="Yes"/>
    <s v="Bank Transfer"/>
    <x v="591"/>
    <n v="2839.43"/>
    <s v="Lahore"/>
    <s v="No"/>
    <n v="0"/>
    <x v="1"/>
  </r>
  <r>
    <s v="CUST-00611"/>
    <n v="29"/>
    <s v="No"/>
    <s v="Yes"/>
    <s v="Yes"/>
    <n v="50"/>
    <s v="Yes"/>
    <s v="Yes"/>
    <s v="Fiber optic"/>
    <x v="2"/>
    <s v="No"/>
    <s v="Electronic check"/>
    <x v="592"/>
    <n v="4607.6099999999997"/>
    <s v="Rawalpindi"/>
    <s v="No"/>
    <n v="0"/>
    <x v="1"/>
  </r>
  <r>
    <s v="CUST-00612"/>
    <n v="43"/>
    <s v="No"/>
    <s v="Yes"/>
    <s v="Yes"/>
    <n v="17"/>
    <s v="No"/>
    <s v="No phone service"/>
    <s v="DSL"/>
    <x v="0"/>
    <s v="No"/>
    <s v="Mailed check"/>
    <x v="593"/>
    <n v="1212.3699999999999"/>
    <s v="Rawalpindi"/>
    <s v="No"/>
    <n v="0"/>
    <x v="1"/>
  </r>
  <r>
    <s v="CUST-00613"/>
    <n v="70"/>
    <s v="Yes"/>
    <s v="No"/>
    <s v="Yes"/>
    <n v="40"/>
    <s v="No"/>
    <s v="No phone service"/>
    <s v="DSL"/>
    <x v="2"/>
    <s v="Yes"/>
    <s v="Mailed check"/>
    <x v="594"/>
    <n v="2403.3000000000002"/>
    <s v="Karachi"/>
    <s v="No"/>
    <n v="0"/>
    <x v="1"/>
  </r>
  <r>
    <s v="CUST-00614"/>
    <n v="51"/>
    <s v="No"/>
    <s v="No"/>
    <s v="No"/>
    <n v="59"/>
    <s v="Yes"/>
    <s v="No"/>
    <s v="DSL"/>
    <x v="2"/>
    <s v="No"/>
    <s v="Electronic check"/>
    <x v="595"/>
    <n v="4501.46"/>
    <s v="Peshawar"/>
    <s v="No"/>
    <n v="0"/>
    <x v="1"/>
  </r>
  <r>
    <s v="CUST-00615"/>
    <n v="69"/>
    <s v="Yes"/>
    <s v="Yes"/>
    <s v="No"/>
    <n v="32"/>
    <s v="No"/>
    <s v="No phone service"/>
    <s v="Fiber optic"/>
    <x v="2"/>
    <s v="Yes"/>
    <s v="Bank Transfer"/>
    <x v="596"/>
    <n v="2450"/>
    <s v="Peshawar"/>
    <s v="Yes"/>
    <n v="1"/>
    <x v="1"/>
  </r>
  <r>
    <s v="CUST-00616"/>
    <n v="28"/>
    <s v="No"/>
    <s v="No"/>
    <s v="No"/>
    <n v="9"/>
    <s v="Yes"/>
    <s v="No"/>
    <s v="DSL"/>
    <x v="2"/>
    <s v="Yes"/>
    <s v="Mailed check"/>
    <x v="597"/>
    <n v="369.18"/>
    <s v="Islamabad"/>
    <s v="No"/>
    <n v="0"/>
    <x v="1"/>
  </r>
  <r>
    <s v="CUST-00617"/>
    <n v="44"/>
    <s v="No"/>
    <s v="No"/>
    <s v="Yes"/>
    <n v="33"/>
    <s v="Yes"/>
    <s v="No"/>
    <s v="Fiber optic"/>
    <x v="2"/>
    <s v="No"/>
    <s v="Credit card"/>
    <x v="598"/>
    <n v="3692.07"/>
    <s v="Lahore"/>
    <s v="Yes"/>
    <n v="1"/>
    <x v="1"/>
  </r>
  <r>
    <s v="CUST-00618"/>
    <n v="34"/>
    <s v="No"/>
    <s v="Yes"/>
    <s v="Yes"/>
    <n v="42"/>
    <s v="No"/>
    <s v="No phone service"/>
    <s v="DSL"/>
    <x v="2"/>
    <s v="Yes"/>
    <s v="Electronic check"/>
    <x v="599"/>
    <n v="2855.11"/>
    <s v="Rawalpindi"/>
    <s v="No"/>
    <n v="0"/>
    <x v="1"/>
  </r>
  <r>
    <s v="CUST-00619"/>
    <n v="70"/>
    <s v="Yes"/>
    <s v="No"/>
    <s v="Yes"/>
    <n v="22"/>
    <s v="Yes"/>
    <s v="Yes"/>
    <s v="No internet"/>
    <x v="2"/>
    <s v="No"/>
    <s v="Electronic check"/>
    <x v="600"/>
    <n v="539.69000000000005"/>
    <s v="Rawalpindi"/>
    <s v="Yes"/>
    <n v="1"/>
    <x v="1"/>
  </r>
  <r>
    <s v="CUST-00620"/>
    <n v="40"/>
    <s v="No"/>
    <s v="Yes"/>
    <s v="Yes"/>
    <n v="5"/>
    <s v="Yes"/>
    <s v="No"/>
    <s v="No internet"/>
    <x v="2"/>
    <s v="Yes"/>
    <s v="Credit card"/>
    <x v="572"/>
    <n v="102.67"/>
    <s v="Peshawar"/>
    <s v="Yes"/>
    <n v="1"/>
    <x v="1"/>
  </r>
  <r>
    <s v="CUST-00621"/>
    <n v="42"/>
    <s v="No"/>
    <s v="Yes"/>
    <s v="Yes"/>
    <n v="48"/>
    <s v="Yes"/>
    <s v="Yes"/>
    <s v="No internet"/>
    <x v="2"/>
    <s v="Yes"/>
    <s v="Electronic check"/>
    <x v="601"/>
    <n v="994.64"/>
    <s v="Lahore"/>
    <s v="Yes"/>
    <n v="1"/>
    <x v="1"/>
  </r>
  <r>
    <s v="CUST-00622"/>
    <n v="69"/>
    <s v="Yes"/>
    <s v="Yes"/>
    <s v="Yes"/>
    <n v="6"/>
    <s v="Yes"/>
    <s v="No"/>
    <s v="Fiber optic"/>
    <x v="2"/>
    <s v="Yes"/>
    <s v="Bank Transfer"/>
    <x v="602"/>
    <n v="691.5"/>
    <s v="Karachi"/>
    <s v="Yes"/>
    <n v="1"/>
    <x v="1"/>
  </r>
  <r>
    <s v="CUST-00623"/>
    <n v="31"/>
    <s v="No"/>
    <s v="Yes"/>
    <s v="No"/>
    <n v="42"/>
    <s v="No"/>
    <s v="No phone service"/>
    <s v="Fiber optic"/>
    <x v="0"/>
    <s v="Yes"/>
    <s v="Credit card"/>
    <x v="603"/>
    <n v="3700.19"/>
    <s v="Multan"/>
    <s v="No"/>
    <n v="0"/>
    <x v="1"/>
  </r>
  <r>
    <s v="CUST-00624"/>
    <n v="57"/>
    <s v="No"/>
    <s v="No"/>
    <s v="Yes"/>
    <n v="9"/>
    <s v="No"/>
    <s v="No phone service"/>
    <s v="No internet"/>
    <x v="2"/>
    <s v="No"/>
    <s v="Mailed check"/>
    <x v="604"/>
    <n v="173.73"/>
    <s v="Peshawar"/>
    <s v="No"/>
    <n v="0"/>
    <x v="1"/>
  </r>
  <r>
    <s v="CUST-00625"/>
    <n v="54"/>
    <s v="No"/>
    <s v="Yes"/>
    <s v="No"/>
    <n v="13"/>
    <s v="No"/>
    <s v="No phone service"/>
    <s v="DSL"/>
    <x v="0"/>
    <s v="Yes"/>
    <s v="Electronic check"/>
    <x v="605"/>
    <n v="889.51"/>
    <s v="Peshawar"/>
    <s v="No"/>
    <n v="0"/>
    <x v="1"/>
  </r>
  <r>
    <s v="CUST-00626"/>
    <n v="60"/>
    <s v="Yes"/>
    <s v="No"/>
    <s v="Yes"/>
    <n v="43"/>
    <s v="No"/>
    <s v="No phone service"/>
    <s v="Fiber optic"/>
    <x v="2"/>
    <s v="Yes"/>
    <s v="Credit card"/>
    <x v="606"/>
    <n v="4260.6099999999997"/>
    <s v="Peshawar"/>
    <s v="Yes"/>
    <n v="1"/>
    <x v="1"/>
  </r>
  <r>
    <s v="CUST-00627"/>
    <n v="75"/>
    <s v="Yes"/>
    <s v="Yes"/>
    <s v="No"/>
    <n v="31"/>
    <s v="Yes"/>
    <s v="No"/>
    <s v="DSL"/>
    <x v="2"/>
    <s v="No"/>
    <s v="Credit card"/>
    <x v="607"/>
    <n v="1468.26"/>
    <s v="Karachi"/>
    <s v="No"/>
    <n v="0"/>
    <x v="1"/>
  </r>
  <r>
    <s v="CUST-00628"/>
    <n v="64"/>
    <s v="Yes"/>
    <s v="No"/>
    <s v="No"/>
    <n v="18"/>
    <s v="Yes"/>
    <s v="No"/>
    <s v="Fiber optic"/>
    <x v="1"/>
    <s v="No"/>
    <s v="Bank Transfer"/>
    <x v="608"/>
    <n v="1507.07"/>
    <s v="Karachi"/>
    <s v="No"/>
    <n v="0"/>
    <x v="1"/>
  </r>
  <r>
    <s v="CUST-00629"/>
    <n v="52"/>
    <s v="No"/>
    <s v="Yes"/>
    <s v="Yes"/>
    <n v="29"/>
    <s v="No"/>
    <s v="No phone service"/>
    <s v="DSL"/>
    <x v="2"/>
    <s v="Yes"/>
    <s v="Credit card"/>
    <x v="609"/>
    <n v="1218.75"/>
    <s v="Karachi"/>
    <s v="Yes"/>
    <n v="1"/>
    <x v="1"/>
  </r>
  <r>
    <s v="CUST-00630"/>
    <n v="21"/>
    <s v="No"/>
    <s v="Yes"/>
    <s v="Yes"/>
    <n v="17"/>
    <s v="Yes"/>
    <s v="Yes"/>
    <s v="Fiber optic"/>
    <x v="2"/>
    <s v="No"/>
    <s v="Electronic check"/>
    <x v="91"/>
    <n v="1748.16"/>
    <s v="Karachi"/>
    <s v="Yes"/>
    <n v="1"/>
    <x v="1"/>
  </r>
  <r>
    <s v="CUST-00631"/>
    <n v="37"/>
    <s v="No"/>
    <s v="No"/>
    <s v="No"/>
    <n v="26"/>
    <s v="No"/>
    <s v="No phone service"/>
    <s v="Fiber optic"/>
    <x v="2"/>
    <s v="No"/>
    <s v="Credit card"/>
    <x v="42"/>
    <n v="2023.8"/>
    <s v="Multan"/>
    <s v="No"/>
    <n v="0"/>
    <x v="1"/>
  </r>
  <r>
    <s v="CUST-00632"/>
    <n v="45"/>
    <s v="No"/>
    <s v="Yes"/>
    <s v="No"/>
    <n v="3"/>
    <s v="No"/>
    <s v="No phone service"/>
    <s v="DSL"/>
    <x v="1"/>
    <s v="No"/>
    <s v="Credit card"/>
    <x v="610"/>
    <n v="142.09"/>
    <s v="Rawalpindi"/>
    <s v="Yes"/>
    <n v="1"/>
    <x v="1"/>
  </r>
  <r>
    <s v="CUST-00633"/>
    <n v="37"/>
    <s v="No"/>
    <s v="No"/>
    <s v="No"/>
    <n v="49"/>
    <s v="No"/>
    <s v="No phone service"/>
    <s v="DSL"/>
    <x v="2"/>
    <s v="Yes"/>
    <s v="Bank Transfer"/>
    <x v="611"/>
    <n v="2460.6999999999998"/>
    <s v="Peshawar"/>
    <s v="Yes"/>
    <n v="1"/>
    <x v="1"/>
  </r>
  <r>
    <s v="CUST-00634"/>
    <n v="50"/>
    <s v="No"/>
    <s v="No"/>
    <s v="No"/>
    <n v="52"/>
    <s v="No"/>
    <s v="No phone service"/>
    <s v="No internet"/>
    <x v="1"/>
    <s v="No"/>
    <s v="Credit card"/>
    <x v="612"/>
    <n v="1193.8599999999999"/>
    <s v="Lahore"/>
    <s v="Yes"/>
    <n v="1"/>
    <x v="1"/>
  </r>
  <r>
    <s v="CUST-00635"/>
    <n v="25"/>
    <s v="No"/>
    <s v="No"/>
    <s v="Yes"/>
    <n v="25"/>
    <s v="No"/>
    <s v="No phone service"/>
    <s v="DSL"/>
    <x v="0"/>
    <s v="No"/>
    <s v="Credit card"/>
    <x v="613"/>
    <n v="1522.17"/>
    <s v="Multan"/>
    <s v="No"/>
    <n v="0"/>
    <x v="1"/>
  </r>
  <r>
    <s v="CUST-00636"/>
    <n v="42"/>
    <s v="No"/>
    <s v="No"/>
    <s v="Yes"/>
    <n v="32"/>
    <s v="No"/>
    <s v="No phone service"/>
    <s v="DSL"/>
    <x v="0"/>
    <s v="Yes"/>
    <s v="Bank Transfer"/>
    <x v="614"/>
    <n v="2045.61"/>
    <s v="Multan"/>
    <s v="No"/>
    <n v="0"/>
    <x v="1"/>
  </r>
  <r>
    <s v="CUST-00637"/>
    <n v="27"/>
    <s v="No"/>
    <s v="No"/>
    <s v="Yes"/>
    <n v="21"/>
    <s v="Yes"/>
    <s v="No"/>
    <s v="Fiber optic"/>
    <x v="1"/>
    <s v="No"/>
    <s v="Bank Transfer"/>
    <x v="615"/>
    <n v="2367.37"/>
    <s v="Rawalpindi"/>
    <s v="No"/>
    <n v="0"/>
    <x v="1"/>
  </r>
  <r>
    <s v="CUST-00638"/>
    <n v="28"/>
    <s v="No"/>
    <s v="No"/>
    <s v="No"/>
    <n v="39"/>
    <s v="No"/>
    <s v="No phone service"/>
    <s v="DSL"/>
    <x v="0"/>
    <s v="No"/>
    <s v="Bank Transfer"/>
    <x v="616"/>
    <n v="3134.9"/>
    <s v="Faisalabad"/>
    <s v="Yes"/>
    <n v="1"/>
    <x v="1"/>
  </r>
  <r>
    <s v="CUST-00639"/>
    <n v="67"/>
    <s v="Yes"/>
    <s v="No"/>
    <s v="Yes"/>
    <n v="35"/>
    <s v="No"/>
    <s v="No phone service"/>
    <s v="DSL"/>
    <x v="0"/>
    <s v="Yes"/>
    <s v="Mailed check"/>
    <x v="617"/>
    <n v="2391"/>
    <s v="Multan"/>
    <s v="Yes"/>
    <n v="1"/>
    <x v="1"/>
  </r>
  <r>
    <s v="CUST-00640"/>
    <n v="44"/>
    <s v="No"/>
    <s v="No"/>
    <s v="No"/>
    <n v="56"/>
    <s v="No"/>
    <s v="No phone service"/>
    <s v="Fiber optic"/>
    <x v="2"/>
    <s v="Yes"/>
    <s v="Electronic check"/>
    <x v="618"/>
    <n v="4667.99"/>
    <s v="Peshawar"/>
    <s v="Yes"/>
    <n v="1"/>
    <x v="1"/>
  </r>
  <r>
    <s v="CUST-00641"/>
    <n v="31"/>
    <s v="No"/>
    <s v="Yes"/>
    <s v="Yes"/>
    <n v="8"/>
    <s v="Yes"/>
    <s v="Yes"/>
    <s v="DSL"/>
    <x v="1"/>
    <s v="No"/>
    <s v="Credit card"/>
    <x v="619"/>
    <n v="583.45000000000005"/>
    <s v="Lahore"/>
    <s v="No"/>
    <n v="0"/>
    <x v="1"/>
  </r>
  <r>
    <s v="CUST-00642"/>
    <n v="36"/>
    <s v="No"/>
    <s v="Yes"/>
    <s v="No"/>
    <n v="16"/>
    <s v="No"/>
    <s v="No phone service"/>
    <s v="Fiber optic"/>
    <x v="2"/>
    <s v="Yes"/>
    <s v="Credit card"/>
    <x v="620"/>
    <n v="1578.81"/>
    <s v="Peshawar"/>
    <s v="Yes"/>
    <n v="1"/>
    <x v="1"/>
  </r>
  <r>
    <s v="CUST-00643"/>
    <n v="18"/>
    <s v="No"/>
    <s v="Yes"/>
    <s v="Yes"/>
    <n v="28"/>
    <s v="Yes"/>
    <s v="No"/>
    <s v="DSL"/>
    <x v="2"/>
    <s v="No"/>
    <s v="Mailed check"/>
    <x v="621"/>
    <n v="1617.77"/>
    <s v="Islamabad"/>
    <s v="No"/>
    <n v="0"/>
    <x v="1"/>
  </r>
  <r>
    <s v="CUST-00644"/>
    <n v="61"/>
    <s v="Yes"/>
    <s v="No"/>
    <s v="No"/>
    <n v="31"/>
    <s v="No"/>
    <s v="No phone service"/>
    <s v="No internet"/>
    <x v="2"/>
    <s v="Yes"/>
    <s v="Mailed check"/>
    <x v="622"/>
    <n v="915.33"/>
    <s v="Peshawar"/>
    <s v="Yes"/>
    <n v="1"/>
    <x v="1"/>
  </r>
  <r>
    <s v="CUST-00645"/>
    <n v="62"/>
    <s v="Yes"/>
    <s v="No"/>
    <s v="Yes"/>
    <n v="4"/>
    <s v="No"/>
    <s v="No phone service"/>
    <s v="DSL"/>
    <x v="1"/>
    <s v="Yes"/>
    <s v="Credit card"/>
    <x v="623"/>
    <n v="263.86"/>
    <s v="Rawalpindi"/>
    <s v="No"/>
    <n v="0"/>
    <x v="1"/>
  </r>
  <r>
    <s v="CUST-00646"/>
    <n v="60"/>
    <s v="Yes"/>
    <s v="Yes"/>
    <s v="Yes"/>
    <n v="42"/>
    <s v="No"/>
    <s v="No phone service"/>
    <s v="Fiber optic"/>
    <x v="1"/>
    <s v="No"/>
    <s v="Bank Transfer"/>
    <x v="624"/>
    <n v="3424.19"/>
    <s v="Peshawar"/>
    <s v="No"/>
    <n v="0"/>
    <x v="1"/>
  </r>
  <r>
    <s v="CUST-00647"/>
    <n v="23"/>
    <s v="No"/>
    <s v="No"/>
    <s v="No"/>
    <n v="61"/>
    <s v="Yes"/>
    <s v="No"/>
    <s v="No internet"/>
    <x v="2"/>
    <s v="Yes"/>
    <s v="Bank Transfer"/>
    <x v="625"/>
    <n v="1813.16"/>
    <s v="Multan"/>
    <s v="No"/>
    <n v="0"/>
    <x v="1"/>
  </r>
  <r>
    <s v="CUST-00648"/>
    <n v="50"/>
    <s v="No"/>
    <s v="Yes"/>
    <s v="Yes"/>
    <n v="64"/>
    <s v="No"/>
    <s v="No phone service"/>
    <s v="DSL"/>
    <x v="1"/>
    <s v="No"/>
    <s v="Electronic check"/>
    <x v="626"/>
    <n v="3531.65"/>
    <s v="Karachi"/>
    <s v="No"/>
    <n v="0"/>
    <x v="1"/>
  </r>
  <r>
    <s v="CUST-00649"/>
    <n v="33"/>
    <s v="No"/>
    <s v="Yes"/>
    <s v="Yes"/>
    <n v="12"/>
    <s v="Yes"/>
    <s v="Yes"/>
    <s v="Fiber optic"/>
    <x v="1"/>
    <s v="No"/>
    <s v="Bank Transfer"/>
    <x v="627"/>
    <n v="943.96"/>
    <s v="Multan"/>
    <s v="No"/>
    <n v="0"/>
    <x v="1"/>
  </r>
  <r>
    <s v="CUST-00650"/>
    <n v="25"/>
    <s v="No"/>
    <s v="Yes"/>
    <s v="No"/>
    <n v="12"/>
    <s v="No"/>
    <s v="No phone service"/>
    <s v="DSL"/>
    <x v="1"/>
    <s v="Yes"/>
    <s v="Bank Transfer"/>
    <x v="628"/>
    <n v="678.21"/>
    <s v="Rawalpindi"/>
    <s v="No"/>
    <n v="0"/>
    <x v="1"/>
  </r>
  <r>
    <s v="CUST-00651"/>
    <n v="59"/>
    <s v="No"/>
    <s v="No"/>
    <s v="Yes"/>
    <n v="29"/>
    <s v="No"/>
    <s v="No phone service"/>
    <s v="Fiber optic"/>
    <x v="2"/>
    <s v="Yes"/>
    <s v="Electronic check"/>
    <x v="629"/>
    <n v="2780.59"/>
    <s v="Faisalabad"/>
    <s v="No"/>
    <n v="0"/>
    <x v="1"/>
  </r>
  <r>
    <s v="CUST-00652"/>
    <n v="41"/>
    <s v="No"/>
    <s v="Yes"/>
    <s v="No"/>
    <n v="49"/>
    <s v="Yes"/>
    <s v="Yes"/>
    <s v="DSL"/>
    <x v="0"/>
    <s v="Yes"/>
    <s v="Bank Transfer"/>
    <x v="630"/>
    <n v="3796.33"/>
    <s v="Multan"/>
    <s v="No"/>
    <n v="0"/>
    <x v="1"/>
  </r>
  <r>
    <s v="CUST-00653"/>
    <n v="68"/>
    <s v="Yes"/>
    <s v="Yes"/>
    <s v="Yes"/>
    <n v="14"/>
    <s v="No"/>
    <s v="No phone service"/>
    <s v="Fiber optic"/>
    <x v="2"/>
    <s v="No"/>
    <s v="Bank Transfer"/>
    <x v="631"/>
    <n v="1322.8"/>
    <s v="Karachi"/>
    <s v="No"/>
    <n v="0"/>
    <x v="1"/>
  </r>
  <r>
    <s v="CUST-00654"/>
    <n v="65"/>
    <s v="Yes"/>
    <s v="Yes"/>
    <s v="No"/>
    <n v="40"/>
    <s v="Yes"/>
    <s v="Yes"/>
    <s v="DSL"/>
    <x v="1"/>
    <s v="No"/>
    <s v="Bank Transfer"/>
    <x v="632"/>
    <n v="1896.53"/>
    <s v="Lahore"/>
    <s v="No"/>
    <n v="0"/>
    <x v="1"/>
  </r>
  <r>
    <s v="CUST-00655"/>
    <n v="69"/>
    <s v="Yes"/>
    <s v="No"/>
    <s v="Yes"/>
    <n v="27"/>
    <s v="Yes"/>
    <s v="No"/>
    <s v="No internet"/>
    <x v="2"/>
    <s v="Yes"/>
    <s v="Mailed check"/>
    <x v="633"/>
    <n v="704.31"/>
    <s v="Peshawar"/>
    <s v="No"/>
    <n v="0"/>
    <x v="1"/>
  </r>
  <r>
    <s v="CUST-00656"/>
    <n v="28"/>
    <s v="No"/>
    <s v="Yes"/>
    <s v="No"/>
    <n v="44"/>
    <s v="No"/>
    <s v="No phone service"/>
    <s v="Fiber optic"/>
    <x v="1"/>
    <s v="No"/>
    <s v="Credit card"/>
    <x v="634"/>
    <n v="4130.74"/>
    <s v="Karachi"/>
    <s v="No"/>
    <n v="0"/>
    <x v="1"/>
  </r>
  <r>
    <s v="CUST-00657"/>
    <n v="62"/>
    <s v="Yes"/>
    <s v="No"/>
    <s v="Yes"/>
    <n v="17"/>
    <s v="Yes"/>
    <s v="No"/>
    <s v="Fiber optic"/>
    <x v="0"/>
    <s v="No"/>
    <s v="Bank Transfer"/>
    <x v="635"/>
    <n v="1668.9"/>
    <s v="Karachi"/>
    <s v="No"/>
    <n v="0"/>
    <x v="1"/>
  </r>
  <r>
    <s v="CUST-00658"/>
    <n v="31"/>
    <s v="No"/>
    <s v="Yes"/>
    <s v="Yes"/>
    <n v="2"/>
    <s v="Yes"/>
    <s v="No"/>
    <s v="Fiber optic"/>
    <x v="1"/>
    <s v="Yes"/>
    <s v="Credit card"/>
    <x v="636"/>
    <n v="243.41"/>
    <s v="Lahore"/>
    <s v="Yes"/>
    <n v="1"/>
    <x v="1"/>
  </r>
  <r>
    <s v="CUST-00659"/>
    <n v="24"/>
    <s v="No"/>
    <s v="No"/>
    <s v="No"/>
    <n v="23"/>
    <s v="Yes"/>
    <s v="No"/>
    <s v="No internet"/>
    <x v="0"/>
    <s v="No"/>
    <s v="Mailed check"/>
    <x v="637"/>
    <n v="580.20000000000005"/>
    <s v="Karachi"/>
    <s v="Yes"/>
    <n v="1"/>
    <x v="1"/>
  </r>
  <r>
    <s v="CUST-00660"/>
    <n v="43"/>
    <s v="No"/>
    <s v="No"/>
    <s v="No"/>
    <n v="23"/>
    <s v="No"/>
    <s v="No phone service"/>
    <s v="DSL"/>
    <x v="0"/>
    <s v="Yes"/>
    <s v="Bank Transfer"/>
    <x v="638"/>
    <n v="1746.75"/>
    <s v="Multan"/>
    <s v="No"/>
    <n v="0"/>
    <x v="1"/>
  </r>
  <r>
    <s v="CUST-00661"/>
    <n v="46"/>
    <s v="No"/>
    <s v="No"/>
    <s v="Yes"/>
    <n v="16"/>
    <s v="Yes"/>
    <s v="No"/>
    <s v="Fiber optic"/>
    <x v="0"/>
    <s v="Yes"/>
    <s v="Electronic check"/>
    <x v="639"/>
    <n v="1592.16"/>
    <s v="Multan"/>
    <s v="Yes"/>
    <n v="1"/>
    <x v="1"/>
  </r>
  <r>
    <s v="CUST-00662"/>
    <n v="24"/>
    <s v="No"/>
    <s v="Yes"/>
    <s v="No"/>
    <n v="62"/>
    <s v="No"/>
    <s v="No phone service"/>
    <s v="No internet"/>
    <x v="2"/>
    <s v="Yes"/>
    <s v="Electronic check"/>
    <x v="640"/>
    <n v="1220.19"/>
    <s v="Karachi"/>
    <s v="No"/>
    <n v="0"/>
    <x v="1"/>
  </r>
  <r>
    <s v="CUST-00663"/>
    <n v="43"/>
    <s v="No"/>
    <s v="Yes"/>
    <s v="No"/>
    <n v="72"/>
    <s v="No"/>
    <s v="No phone service"/>
    <s v="No internet"/>
    <x v="2"/>
    <s v="Yes"/>
    <s v="Bank Transfer"/>
    <x v="391"/>
    <n v="1503.35"/>
    <s v="Peshawar"/>
    <s v="Yes"/>
    <n v="1"/>
    <x v="1"/>
  </r>
  <r>
    <s v="CUST-00664"/>
    <n v="56"/>
    <s v="No"/>
    <s v="Yes"/>
    <s v="Yes"/>
    <n v="72"/>
    <s v="No"/>
    <s v="No phone service"/>
    <s v="Fiber optic"/>
    <x v="2"/>
    <s v="Yes"/>
    <s v="Credit card"/>
    <x v="641"/>
    <n v="7023.87"/>
    <s v="Peshawar"/>
    <s v="Yes"/>
    <n v="1"/>
    <x v="1"/>
  </r>
  <r>
    <s v="CUST-00665"/>
    <n v="20"/>
    <s v="No"/>
    <s v="Yes"/>
    <s v="Yes"/>
    <n v="65"/>
    <s v="Yes"/>
    <s v="No"/>
    <s v="Fiber optic"/>
    <x v="1"/>
    <s v="Yes"/>
    <s v="Electronic check"/>
    <x v="642"/>
    <n v="4951.59"/>
    <s v="Islamabad"/>
    <s v="No"/>
    <n v="0"/>
    <x v="1"/>
  </r>
  <r>
    <s v="CUST-00666"/>
    <n v="60"/>
    <s v="Yes"/>
    <s v="No"/>
    <s v="Yes"/>
    <n v="63"/>
    <s v="No"/>
    <s v="No phone service"/>
    <s v="DSL"/>
    <x v="0"/>
    <s v="Yes"/>
    <s v="Bank Transfer"/>
    <x v="643"/>
    <n v="3960.62"/>
    <s v="Karachi"/>
    <s v="Yes"/>
    <n v="1"/>
    <x v="1"/>
  </r>
  <r>
    <s v="CUST-00667"/>
    <n v="37"/>
    <s v="No"/>
    <s v="Yes"/>
    <s v="Yes"/>
    <n v="71"/>
    <s v="No"/>
    <s v="No phone service"/>
    <s v="Fiber optic"/>
    <x v="2"/>
    <s v="No"/>
    <s v="Electronic check"/>
    <x v="644"/>
    <n v="5791.9"/>
    <s v="Rawalpindi"/>
    <s v="No"/>
    <n v="0"/>
    <x v="1"/>
  </r>
  <r>
    <s v="CUST-00668"/>
    <n v="47"/>
    <s v="No"/>
    <s v="Yes"/>
    <s v="No"/>
    <n v="55"/>
    <s v="Yes"/>
    <s v="No"/>
    <s v="No internet"/>
    <x v="2"/>
    <s v="No"/>
    <s v="Mailed check"/>
    <x v="645"/>
    <n v="1396.32"/>
    <s v="Multan"/>
    <s v="No"/>
    <n v="0"/>
    <x v="1"/>
  </r>
  <r>
    <s v="CUST-00669"/>
    <n v="59"/>
    <s v="No"/>
    <s v="Yes"/>
    <s v="No"/>
    <n v="20"/>
    <s v="No"/>
    <s v="No phone service"/>
    <s v="Fiber optic"/>
    <x v="2"/>
    <s v="Yes"/>
    <s v="Electronic check"/>
    <x v="646"/>
    <n v="1453.25"/>
    <s v="Lahore"/>
    <s v="No"/>
    <n v="0"/>
    <x v="1"/>
  </r>
  <r>
    <s v="CUST-00670"/>
    <n v="39"/>
    <s v="No"/>
    <s v="Yes"/>
    <s v="No"/>
    <n v="43"/>
    <s v="Yes"/>
    <s v="No"/>
    <s v="DSL"/>
    <x v="2"/>
    <s v="Yes"/>
    <s v="Electronic check"/>
    <x v="647"/>
    <n v="3291.25"/>
    <s v="Peshawar"/>
    <s v="No"/>
    <n v="0"/>
    <x v="1"/>
  </r>
  <r>
    <s v="CUST-00671"/>
    <n v="25"/>
    <s v="No"/>
    <s v="Yes"/>
    <s v="No"/>
    <n v="63"/>
    <s v="No"/>
    <s v="No phone service"/>
    <s v="Fiber optic"/>
    <x v="0"/>
    <s v="No"/>
    <s v="Credit card"/>
    <x v="648"/>
    <n v="6624.23"/>
    <s v="Peshawar"/>
    <s v="Yes"/>
    <n v="1"/>
    <x v="1"/>
  </r>
  <r>
    <s v="CUST-00672"/>
    <n v="42"/>
    <s v="No"/>
    <s v="Yes"/>
    <s v="No"/>
    <n v="69"/>
    <s v="No"/>
    <s v="No phone service"/>
    <s v="DSL"/>
    <x v="2"/>
    <s v="Yes"/>
    <s v="Electronic check"/>
    <x v="649"/>
    <n v="4774.55"/>
    <s v="Karachi"/>
    <s v="No"/>
    <n v="0"/>
    <x v="1"/>
  </r>
  <r>
    <s v="CUST-00673"/>
    <n v="42"/>
    <s v="No"/>
    <s v="No"/>
    <s v="Yes"/>
    <n v="48"/>
    <s v="Yes"/>
    <s v="No"/>
    <s v="DSL"/>
    <x v="2"/>
    <s v="No"/>
    <s v="Electronic check"/>
    <x v="650"/>
    <n v="3950.19"/>
    <s v="Islamabad"/>
    <s v="No"/>
    <n v="0"/>
    <x v="1"/>
  </r>
  <r>
    <s v="CUST-00674"/>
    <n v="45"/>
    <s v="No"/>
    <s v="Yes"/>
    <s v="No"/>
    <n v="12"/>
    <s v="No"/>
    <s v="No phone service"/>
    <s v="No internet"/>
    <x v="0"/>
    <s v="Yes"/>
    <s v="Bank Transfer"/>
    <x v="651"/>
    <n v="219.96"/>
    <s v="Faisalabad"/>
    <s v="Yes"/>
    <n v="1"/>
    <x v="1"/>
  </r>
  <r>
    <s v="CUST-00675"/>
    <n v="21"/>
    <s v="No"/>
    <s v="Yes"/>
    <s v="No"/>
    <n v="71"/>
    <s v="Yes"/>
    <s v="No"/>
    <s v="No internet"/>
    <x v="2"/>
    <s v="Yes"/>
    <s v="Credit card"/>
    <x v="652"/>
    <n v="1819.37"/>
    <s v="Multan"/>
    <s v="No"/>
    <n v="0"/>
    <x v="1"/>
  </r>
  <r>
    <s v="CUST-00676"/>
    <n v="25"/>
    <s v="No"/>
    <s v="No"/>
    <s v="Yes"/>
    <n v="25"/>
    <s v="Yes"/>
    <s v="No"/>
    <s v="No internet"/>
    <x v="0"/>
    <s v="No"/>
    <s v="Electronic check"/>
    <x v="653"/>
    <n v="708.09"/>
    <s v="Faisalabad"/>
    <s v="No"/>
    <n v="0"/>
    <x v="1"/>
  </r>
  <r>
    <s v="CUST-00677"/>
    <n v="61"/>
    <s v="Yes"/>
    <s v="Yes"/>
    <s v="No"/>
    <n v="22"/>
    <s v="Yes"/>
    <s v="Yes"/>
    <s v="DSL"/>
    <x v="2"/>
    <s v="Yes"/>
    <s v="Credit card"/>
    <x v="654"/>
    <n v="1702.27"/>
    <s v="Islamabad"/>
    <s v="No"/>
    <n v="0"/>
    <x v="1"/>
  </r>
  <r>
    <s v="CUST-00678"/>
    <n v="25"/>
    <s v="No"/>
    <s v="No"/>
    <s v="Yes"/>
    <n v="70"/>
    <s v="Yes"/>
    <s v="Yes"/>
    <s v="No internet"/>
    <x v="2"/>
    <s v="No"/>
    <s v="Electronic check"/>
    <x v="655"/>
    <n v="1895.73"/>
    <s v="Islamabad"/>
    <s v="Yes"/>
    <n v="1"/>
    <x v="1"/>
  </r>
  <r>
    <s v="CUST-00679"/>
    <n v="59"/>
    <s v="No"/>
    <s v="Yes"/>
    <s v="No"/>
    <n v="63"/>
    <s v="Yes"/>
    <s v="No"/>
    <s v="Fiber optic"/>
    <x v="2"/>
    <s v="No"/>
    <s v="Electronic check"/>
    <x v="656"/>
    <n v="5658.99"/>
    <s v="Lahore"/>
    <s v="Yes"/>
    <n v="1"/>
    <x v="1"/>
  </r>
  <r>
    <s v="CUST-00680"/>
    <n v="24"/>
    <s v="No"/>
    <s v="No"/>
    <s v="No"/>
    <n v="26"/>
    <s v="Yes"/>
    <s v="No"/>
    <s v="Fiber optic"/>
    <x v="1"/>
    <s v="Yes"/>
    <s v="Electronic check"/>
    <x v="657"/>
    <n v="2585.6999999999998"/>
    <s v="Islamabad"/>
    <s v="No"/>
    <n v="0"/>
    <x v="1"/>
  </r>
  <r>
    <s v="CUST-00681"/>
    <n v="41"/>
    <s v="No"/>
    <s v="No"/>
    <s v="Yes"/>
    <n v="69"/>
    <s v="Yes"/>
    <s v="No"/>
    <s v="No internet"/>
    <x v="0"/>
    <s v="No"/>
    <s v="Electronic check"/>
    <x v="658"/>
    <n v="1522.4"/>
    <s v="Peshawar"/>
    <s v="No"/>
    <n v="0"/>
    <x v="1"/>
  </r>
  <r>
    <s v="CUST-00682"/>
    <n v="63"/>
    <s v="Yes"/>
    <s v="Yes"/>
    <s v="Yes"/>
    <n v="25"/>
    <s v="Yes"/>
    <s v="No"/>
    <s v="Fiber optic"/>
    <x v="0"/>
    <s v="Yes"/>
    <s v="Electronic check"/>
    <x v="135"/>
    <n v="1993.78"/>
    <s v="Islamabad"/>
    <s v="No"/>
    <n v="0"/>
    <x v="1"/>
  </r>
  <r>
    <s v="CUST-00683"/>
    <n v="25"/>
    <s v="No"/>
    <s v="No"/>
    <s v="No"/>
    <n v="71"/>
    <s v="Yes"/>
    <s v="Yes"/>
    <s v="DSL"/>
    <x v="0"/>
    <s v="No"/>
    <s v="Credit card"/>
    <x v="659"/>
    <n v="5687.63"/>
    <s v="Lahore"/>
    <s v="No"/>
    <n v="0"/>
    <x v="1"/>
  </r>
  <r>
    <s v="CUST-00684"/>
    <n v="24"/>
    <s v="No"/>
    <s v="Yes"/>
    <s v="Yes"/>
    <n v="20"/>
    <s v="Yes"/>
    <s v="No"/>
    <s v="Fiber optic"/>
    <x v="2"/>
    <s v="No"/>
    <s v="Credit card"/>
    <x v="660"/>
    <n v="1879.1"/>
    <s v="Islamabad"/>
    <s v="No"/>
    <n v="0"/>
    <x v="1"/>
  </r>
  <r>
    <s v="CUST-00685"/>
    <n v="49"/>
    <s v="No"/>
    <s v="Yes"/>
    <s v="No"/>
    <n v="32"/>
    <s v="Yes"/>
    <s v="Yes"/>
    <s v="DSL"/>
    <x v="0"/>
    <s v="No"/>
    <s v="Mailed check"/>
    <x v="661"/>
    <n v="1657.9"/>
    <s v="Multan"/>
    <s v="No"/>
    <n v="0"/>
    <x v="1"/>
  </r>
  <r>
    <s v="CUST-00686"/>
    <n v="68"/>
    <s v="Yes"/>
    <s v="Yes"/>
    <s v="Yes"/>
    <n v="25"/>
    <s v="Yes"/>
    <s v="Yes"/>
    <s v="No internet"/>
    <x v="2"/>
    <s v="Yes"/>
    <s v="Electronic check"/>
    <x v="601"/>
    <n v="486.19"/>
    <s v="Karachi"/>
    <s v="Yes"/>
    <n v="1"/>
    <x v="1"/>
  </r>
  <r>
    <s v="CUST-00687"/>
    <n v="23"/>
    <s v="No"/>
    <s v="Yes"/>
    <s v="No"/>
    <n v="53"/>
    <s v="Yes"/>
    <s v="Yes"/>
    <s v="DSL"/>
    <x v="2"/>
    <s v="Yes"/>
    <s v="Credit card"/>
    <x v="662"/>
    <n v="3402.91"/>
    <s v="Islamabad"/>
    <s v="Yes"/>
    <n v="1"/>
    <x v="1"/>
  </r>
  <r>
    <s v="CUST-00688"/>
    <n v="40"/>
    <s v="No"/>
    <s v="No"/>
    <s v="Yes"/>
    <n v="41"/>
    <s v="Yes"/>
    <s v="Yes"/>
    <s v="No internet"/>
    <x v="2"/>
    <s v="No"/>
    <s v="Electronic check"/>
    <x v="663"/>
    <n v="1017.61"/>
    <s v="Karachi"/>
    <s v="Yes"/>
    <n v="1"/>
    <x v="1"/>
  </r>
  <r>
    <s v="CUST-00689"/>
    <n v="34"/>
    <s v="No"/>
    <s v="No"/>
    <s v="No"/>
    <n v="43"/>
    <s v="Yes"/>
    <s v="No"/>
    <s v="Fiber optic"/>
    <x v="0"/>
    <s v="Yes"/>
    <s v="Electronic check"/>
    <x v="664"/>
    <n v="4527"/>
    <s v="Faisalabad"/>
    <s v="No"/>
    <n v="0"/>
    <x v="1"/>
  </r>
  <r>
    <s v="CUST-00690"/>
    <n v="56"/>
    <s v="No"/>
    <s v="No"/>
    <s v="Yes"/>
    <n v="36"/>
    <s v="No"/>
    <s v="No phone service"/>
    <s v="Fiber optic"/>
    <x v="2"/>
    <s v="Yes"/>
    <s v="Electronic check"/>
    <x v="665"/>
    <n v="3680.98"/>
    <s v="Multan"/>
    <s v="No"/>
    <n v="0"/>
    <x v="1"/>
  </r>
  <r>
    <s v="CUST-00691"/>
    <n v="70"/>
    <s v="Yes"/>
    <s v="Yes"/>
    <s v="Yes"/>
    <n v="58"/>
    <s v="Yes"/>
    <s v="No"/>
    <s v="No internet"/>
    <x v="0"/>
    <s v="No"/>
    <s v="Bank Transfer"/>
    <x v="666"/>
    <n v="1671.07"/>
    <s v="Lahore"/>
    <s v="No"/>
    <n v="0"/>
    <x v="1"/>
  </r>
  <r>
    <s v="CUST-00692"/>
    <n v="26"/>
    <s v="No"/>
    <s v="Yes"/>
    <s v="No"/>
    <n v="71"/>
    <s v="No"/>
    <s v="No phone service"/>
    <s v="DSL"/>
    <x v="1"/>
    <s v="No"/>
    <s v="Bank Transfer"/>
    <x v="667"/>
    <n v="3149.37"/>
    <s v="Faisalabad"/>
    <s v="No"/>
    <n v="0"/>
    <x v="1"/>
  </r>
  <r>
    <s v="CUST-00693"/>
    <n v="50"/>
    <s v="No"/>
    <s v="Yes"/>
    <s v="Yes"/>
    <n v="36"/>
    <s v="Yes"/>
    <s v="Yes"/>
    <s v="DSL"/>
    <x v="1"/>
    <s v="Yes"/>
    <s v="Bank Transfer"/>
    <x v="668"/>
    <n v="2509.4499999999998"/>
    <s v="Multan"/>
    <s v="No"/>
    <n v="0"/>
    <x v="1"/>
  </r>
  <r>
    <s v="CUST-00694"/>
    <n v="52"/>
    <s v="No"/>
    <s v="Yes"/>
    <s v="Yes"/>
    <n v="57"/>
    <s v="No"/>
    <s v="No phone service"/>
    <s v="DSL"/>
    <x v="0"/>
    <s v="No"/>
    <s v="Credit card"/>
    <x v="669"/>
    <n v="2789.11"/>
    <s v="Karachi"/>
    <s v="No"/>
    <n v="0"/>
    <x v="1"/>
  </r>
  <r>
    <s v="CUST-00695"/>
    <n v="55"/>
    <s v="No"/>
    <s v="Yes"/>
    <s v="No"/>
    <n v="65"/>
    <s v="No"/>
    <s v="No phone service"/>
    <s v="DSL"/>
    <x v="2"/>
    <s v="Yes"/>
    <s v="Electronic check"/>
    <x v="670"/>
    <n v="3147.35"/>
    <s v="Faisalabad"/>
    <s v="Yes"/>
    <n v="1"/>
    <x v="1"/>
  </r>
  <r>
    <s v="CUST-00696"/>
    <n v="33"/>
    <s v="No"/>
    <s v="No"/>
    <s v="Yes"/>
    <n v="19"/>
    <s v="No"/>
    <s v="No phone service"/>
    <s v="No internet"/>
    <x v="1"/>
    <s v="No"/>
    <s v="Mailed check"/>
    <x v="671"/>
    <n v="374.16"/>
    <s v="Karachi"/>
    <s v="No"/>
    <n v="0"/>
    <x v="1"/>
  </r>
  <r>
    <s v="CUST-00697"/>
    <n v="52"/>
    <s v="No"/>
    <s v="Yes"/>
    <s v="Yes"/>
    <n v="45"/>
    <s v="No"/>
    <s v="No phone service"/>
    <s v="DSL"/>
    <x v="2"/>
    <s v="No"/>
    <s v="Bank Transfer"/>
    <x v="672"/>
    <n v="2568.7600000000002"/>
    <s v="Lahore"/>
    <s v="No"/>
    <n v="0"/>
    <x v="1"/>
  </r>
  <r>
    <s v="CUST-00698"/>
    <n v="58"/>
    <s v="No"/>
    <s v="Yes"/>
    <s v="No"/>
    <n v="29"/>
    <s v="No"/>
    <s v="No phone service"/>
    <s v="DSL"/>
    <x v="2"/>
    <s v="Yes"/>
    <s v="Credit card"/>
    <x v="673"/>
    <n v="2371.9699999999998"/>
    <s v="Lahore"/>
    <s v="No"/>
    <n v="0"/>
    <x v="1"/>
  </r>
  <r>
    <s v="CUST-00699"/>
    <n v="64"/>
    <s v="Yes"/>
    <s v="No"/>
    <s v="No"/>
    <n v="71"/>
    <s v="No"/>
    <s v="No phone service"/>
    <s v="Fiber optic"/>
    <x v="2"/>
    <s v="No"/>
    <s v="Electronic check"/>
    <x v="674"/>
    <n v="7515.54"/>
    <s v="Rawalpindi"/>
    <s v="Yes"/>
    <n v="1"/>
    <x v="1"/>
  </r>
  <r>
    <s v="CUST-00700"/>
    <n v="32"/>
    <s v="No"/>
    <s v="No"/>
    <s v="No"/>
    <n v="19"/>
    <s v="Yes"/>
    <s v="No"/>
    <s v="No internet"/>
    <x v="2"/>
    <s v="Yes"/>
    <s v="Electronic check"/>
    <x v="675"/>
    <n v="466.41"/>
    <s v="Lahore"/>
    <s v="No"/>
    <n v="0"/>
    <x v="1"/>
  </r>
  <r>
    <s v="CUST-00701"/>
    <n v="37"/>
    <s v="No"/>
    <s v="Yes"/>
    <s v="Yes"/>
    <n v="51"/>
    <s v="Yes"/>
    <s v="Yes"/>
    <s v="DSL"/>
    <x v="2"/>
    <s v="Yes"/>
    <s v="Credit card"/>
    <x v="185"/>
    <n v="3316.54"/>
    <s v="Karachi"/>
    <s v="No"/>
    <n v="0"/>
    <x v="1"/>
  </r>
  <r>
    <s v="CUST-00702"/>
    <n v="64"/>
    <s v="Yes"/>
    <s v="Yes"/>
    <s v="Yes"/>
    <n v="49"/>
    <s v="Yes"/>
    <s v="No"/>
    <s v="Fiber optic"/>
    <x v="0"/>
    <s v="Yes"/>
    <s v="Electronic check"/>
    <x v="676"/>
    <n v="5168.75"/>
    <s v="Faisalabad"/>
    <s v="No"/>
    <n v="0"/>
    <x v="1"/>
  </r>
  <r>
    <s v="CUST-00703"/>
    <n v="18"/>
    <s v="No"/>
    <s v="Yes"/>
    <s v="Yes"/>
    <n v="70"/>
    <s v="No"/>
    <s v="No phone service"/>
    <s v="DSL"/>
    <x v="1"/>
    <s v="Yes"/>
    <s v="Electronic check"/>
    <x v="677"/>
    <n v="4176.67"/>
    <s v="Karachi"/>
    <s v="No"/>
    <n v="0"/>
    <x v="1"/>
  </r>
  <r>
    <s v="CUST-00704"/>
    <n v="37"/>
    <s v="No"/>
    <s v="No"/>
    <s v="No"/>
    <n v="20"/>
    <s v="No"/>
    <s v="No phone service"/>
    <s v="Fiber optic"/>
    <x v="0"/>
    <s v="Yes"/>
    <s v="Electronic check"/>
    <x v="678"/>
    <n v="1452.34"/>
    <s v="Peshawar"/>
    <s v="Yes"/>
    <n v="1"/>
    <x v="1"/>
  </r>
  <r>
    <s v="CUST-00705"/>
    <n v="44"/>
    <s v="No"/>
    <s v="Yes"/>
    <s v="Yes"/>
    <n v="29"/>
    <s v="No"/>
    <s v="No phone service"/>
    <s v="Fiber optic"/>
    <x v="2"/>
    <s v="No"/>
    <s v="Bank Transfer"/>
    <x v="679"/>
    <n v="2464.62"/>
    <s v="Multan"/>
    <s v="No"/>
    <n v="0"/>
    <x v="1"/>
  </r>
  <r>
    <s v="CUST-00706"/>
    <n v="70"/>
    <s v="Yes"/>
    <s v="Yes"/>
    <s v="No"/>
    <n v="22"/>
    <s v="Yes"/>
    <s v="Yes"/>
    <s v="No internet"/>
    <x v="1"/>
    <s v="No"/>
    <s v="Electronic check"/>
    <x v="680"/>
    <n v="475.9"/>
    <s v="Lahore"/>
    <s v="No"/>
    <n v="0"/>
    <x v="1"/>
  </r>
  <r>
    <s v="CUST-00707"/>
    <n v="75"/>
    <s v="Yes"/>
    <s v="Yes"/>
    <s v="Yes"/>
    <n v="23"/>
    <s v="No"/>
    <s v="No phone service"/>
    <s v="Fiber optic"/>
    <x v="0"/>
    <s v="No"/>
    <s v="Electronic check"/>
    <x v="681"/>
    <n v="2320.67"/>
    <s v="Islamabad"/>
    <s v="No"/>
    <n v="0"/>
    <x v="1"/>
  </r>
  <r>
    <s v="CUST-00708"/>
    <n v="74"/>
    <s v="Yes"/>
    <s v="Yes"/>
    <s v="No"/>
    <n v="64"/>
    <s v="No"/>
    <s v="No phone service"/>
    <s v="DSL"/>
    <x v="1"/>
    <s v="Yes"/>
    <s v="Bank Transfer"/>
    <x v="351"/>
    <n v="5039.49"/>
    <s v="Karachi"/>
    <s v="No"/>
    <n v="0"/>
    <x v="1"/>
  </r>
  <r>
    <s v="CUST-00709"/>
    <n v="38"/>
    <s v="No"/>
    <s v="Yes"/>
    <s v="No"/>
    <n v="58"/>
    <s v="No"/>
    <s v="No phone service"/>
    <s v="DSL"/>
    <x v="1"/>
    <s v="Yes"/>
    <s v="Credit card"/>
    <x v="682"/>
    <n v="4425.1899999999996"/>
    <s v="Karachi"/>
    <s v="Yes"/>
    <n v="1"/>
    <x v="1"/>
  </r>
  <r>
    <s v="CUST-00710"/>
    <n v="29"/>
    <s v="No"/>
    <s v="No"/>
    <s v="No"/>
    <n v="41"/>
    <s v="No"/>
    <s v="No phone service"/>
    <s v="DSL"/>
    <x v="0"/>
    <s v="No"/>
    <s v="Bank Transfer"/>
    <x v="683"/>
    <n v="2567.34"/>
    <s v="Karachi"/>
    <s v="No"/>
    <n v="0"/>
    <x v="1"/>
  </r>
  <r>
    <s v="CUST-00711"/>
    <n v="42"/>
    <s v="No"/>
    <s v="No"/>
    <s v="No"/>
    <n v="69"/>
    <s v="Yes"/>
    <s v="No"/>
    <s v="DSL"/>
    <x v="0"/>
    <s v="No"/>
    <s v="Credit card"/>
    <x v="684"/>
    <n v="5086.3"/>
    <s v="Lahore"/>
    <s v="No"/>
    <n v="0"/>
    <x v="1"/>
  </r>
  <r>
    <s v="CUST-00712"/>
    <n v="33"/>
    <s v="No"/>
    <s v="No"/>
    <s v="Yes"/>
    <n v="27"/>
    <s v="Yes"/>
    <s v="No"/>
    <s v="No internet"/>
    <x v="2"/>
    <s v="Yes"/>
    <s v="Mailed check"/>
    <x v="685"/>
    <n v="496.04"/>
    <s v="Peshawar"/>
    <s v="No"/>
    <n v="0"/>
    <x v="1"/>
  </r>
  <r>
    <s v="CUST-00713"/>
    <n v="67"/>
    <s v="Yes"/>
    <s v="Yes"/>
    <s v="No"/>
    <n v="59"/>
    <s v="No"/>
    <s v="No phone service"/>
    <s v="Fiber optic"/>
    <x v="2"/>
    <s v="Yes"/>
    <s v="Electronic check"/>
    <x v="371"/>
    <n v="4788.04"/>
    <s v="Rawalpindi"/>
    <s v="No"/>
    <n v="0"/>
    <x v="1"/>
  </r>
  <r>
    <s v="CUST-00714"/>
    <n v="64"/>
    <s v="Yes"/>
    <s v="Yes"/>
    <s v="No"/>
    <n v="48"/>
    <s v="Yes"/>
    <s v="No"/>
    <s v="Fiber optic"/>
    <x v="2"/>
    <s v="Yes"/>
    <s v="Electronic check"/>
    <x v="686"/>
    <n v="4022.45"/>
    <s v="Faisalabad"/>
    <s v="Yes"/>
    <n v="1"/>
    <x v="1"/>
  </r>
  <r>
    <s v="CUST-00715"/>
    <n v="71"/>
    <s v="Yes"/>
    <s v="No"/>
    <s v="Yes"/>
    <n v="24"/>
    <s v="Yes"/>
    <s v="No"/>
    <s v="DSL"/>
    <x v="0"/>
    <s v="No"/>
    <s v="Credit card"/>
    <x v="687"/>
    <n v="1642.48"/>
    <s v="Lahore"/>
    <s v="No"/>
    <n v="0"/>
    <x v="1"/>
  </r>
  <r>
    <s v="CUST-00716"/>
    <n v="36"/>
    <s v="No"/>
    <s v="Yes"/>
    <s v="Yes"/>
    <n v="8"/>
    <s v="Yes"/>
    <s v="No"/>
    <s v="No internet"/>
    <x v="2"/>
    <s v="Yes"/>
    <s v="Electronic check"/>
    <x v="688"/>
    <n v="228.75"/>
    <s v="Faisalabad"/>
    <s v="No"/>
    <n v="0"/>
    <x v="1"/>
  </r>
  <r>
    <s v="CUST-00717"/>
    <n v="63"/>
    <s v="Yes"/>
    <s v="No"/>
    <s v="No"/>
    <n v="30"/>
    <s v="Yes"/>
    <s v="Yes"/>
    <s v="Fiber optic"/>
    <x v="2"/>
    <s v="No"/>
    <s v="Mailed check"/>
    <x v="689"/>
    <n v="2208.6999999999998"/>
    <s v="Karachi"/>
    <s v="No"/>
    <n v="0"/>
    <x v="1"/>
  </r>
  <r>
    <s v="CUST-00718"/>
    <n v="43"/>
    <s v="No"/>
    <s v="Yes"/>
    <s v="Yes"/>
    <n v="60"/>
    <s v="No"/>
    <s v="No phone service"/>
    <s v="DSL"/>
    <x v="1"/>
    <s v="Yes"/>
    <s v="Electronic check"/>
    <x v="690"/>
    <n v="3261.67"/>
    <s v="Lahore"/>
    <s v="No"/>
    <n v="0"/>
    <x v="1"/>
  </r>
  <r>
    <s v="CUST-00719"/>
    <n v="22"/>
    <s v="No"/>
    <s v="No"/>
    <s v="No"/>
    <n v="4"/>
    <s v="Yes"/>
    <s v="No"/>
    <s v="Fiber optic"/>
    <x v="2"/>
    <s v="Yes"/>
    <s v="Bank Transfer"/>
    <x v="691"/>
    <n v="343.96"/>
    <s v="Lahore"/>
    <s v="No"/>
    <n v="0"/>
    <x v="1"/>
  </r>
  <r>
    <s v="CUST-00720"/>
    <n v="33"/>
    <s v="No"/>
    <s v="No"/>
    <s v="Yes"/>
    <n v="6"/>
    <s v="No"/>
    <s v="No phone service"/>
    <s v="DSL"/>
    <x v="2"/>
    <s v="No"/>
    <s v="Electronic check"/>
    <x v="692"/>
    <n v="332.15"/>
    <s v="Rawalpindi"/>
    <s v="No"/>
    <n v="0"/>
    <x v="1"/>
  </r>
  <r>
    <s v="CUST-00721"/>
    <n v="50"/>
    <s v="No"/>
    <s v="Yes"/>
    <s v="No"/>
    <n v="51"/>
    <s v="Yes"/>
    <s v="No"/>
    <s v="DSL"/>
    <x v="2"/>
    <s v="No"/>
    <s v="Mailed check"/>
    <x v="693"/>
    <n v="3067.94"/>
    <s v="Lahore"/>
    <s v="No"/>
    <n v="0"/>
    <x v="1"/>
  </r>
  <r>
    <s v="CUST-00722"/>
    <n v="55"/>
    <s v="No"/>
    <s v="No"/>
    <s v="No"/>
    <n v="5"/>
    <s v="Yes"/>
    <s v="No"/>
    <s v="Fiber optic"/>
    <x v="2"/>
    <s v="Yes"/>
    <s v="Mailed check"/>
    <x v="694"/>
    <n v="393.98"/>
    <s v="Karachi"/>
    <s v="No"/>
    <n v="0"/>
    <x v="1"/>
  </r>
  <r>
    <s v="CUST-00723"/>
    <n v="67"/>
    <s v="Yes"/>
    <s v="Yes"/>
    <s v="No"/>
    <n v="58"/>
    <s v="No"/>
    <s v="No phone service"/>
    <s v="DSL"/>
    <x v="2"/>
    <s v="No"/>
    <s v="Electronic check"/>
    <x v="695"/>
    <n v="4060.78"/>
    <s v="Faisalabad"/>
    <s v="Yes"/>
    <n v="1"/>
    <x v="1"/>
  </r>
  <r>
    <s v="CUST-00724"/>
    <n v="56"/>
    <s v="No"/>
    <s v="Yes"/>
    <s v="Yes"/>
    <n v="64"/>
    <s v="Yes"/>
    <s v="Yes"/>
    <s v="Fiber optic"/>
    <x v="1"/>
    <s v="Yes"/>
    <s v="Credit card"/>
    <x v="696"/>
    <n v="5700.12"/>
    <s v="Lahore"/>
    <s v="No"/>
    <n v="0"/>
    <x v="1"/>
  </r>
  <r>
    <s v="CUST-00725"/>
    <n v="35"/>
    <s v="No"/>
    <s v="No"/>
    <s v="No"/>
    <n v="12"/>
    <s v="No"/>
    <s v="No phone service"/>
    <s v="Fiber optic"/>
    <x v="2"/>
    <s v="No"/>
    <s v="Mailed check"/>
    <x v="57"/>
    <n v="1288.8900000000001"/>
    <s v="Lahore"/>
    <s v="No"/>
    <n v="0"/>
    <x v="1"/>
  </r>
  <r>
    <s v="CUST-00726"/>
    <n v="54"/>
    <s v="No"/>
    <s v="No"/>
    <s v="Yes"/>
    <n v="47"/>
    <s v="No"/>
    <s v="No phone service"/>
    <s v="No internet"/>
    <x v="2"/>
    <s v="Yes"/>
    <s v="Credit card"/>
    <x v="697"/>
    <n v="1152.03"/>
    <s v="Lahore"/>
    <s v="No"/>
    <n v="0"/>
    <x v="1"/>
  </r>
  <r>
    <s v="CUST-00727"/>
    <n v="61"/>
    <s v="Yes"/>
    <s v="No"/>
    <s v="No"/>
    <n v="34"/>
    <s v="Yes"/>
    <s v="No"/>
    <s v="No internet"/>
    <x v="0"/>
    <s v="Yes"/>
    <s v="Bank Transfer"/>
    <x v="698"/>
    <n v="805.97"/>
    <s v="Rawalpindi"/>
    <s v="Yes"/>
    <n v="1"/>
    <x v="1"/>
  </r>
  <r>
    <s v="CUST-00728"/>
    <n v="28"/>
    <s v="No"/>
    <s v="No"/>
    <s v="Yes"/>
    <n v="29"/>
    <s v="No"/>
    <s v="No phone service"/>
    <s v="Fiber optic"/>
    <x v="0"/>
    <s v="No"/>
    <s v="Credit card"/>
    <x v="699"/>
    <n v="3103.68"/>
    <s v="Lahore"/>
    <s v="No"/>
    <n v="0"/>
    <x v="1"/>
  </r>
  <r>
    <s v="CUST-00729"/>
    <n v="29"/>
    <s v="No"/>
    <s v="Yes"/>
    <s v="No"/>
    <n v="56"/>
    <s v="No"/>
    <s v="No phone service"/>
    <s v="Fiber optic"/>
    <x v="2"/>
    <s v="No"/>
    <s v="Mailed check"/>
    <x v="700"/>
    <n v="5409.56"/>
    <s v="Islamabad"/>
    <s v="No"/>
    <n v="0"/>
    <x v="1"/>
  </r>
  <r>
    <s v="CUST-00730"/>
    <n v="47"/>
    <s v="No"/>
    <s v="Yes"/>
    <s v="Yes"/>
    <n v="61"/>
    <s v="Yes"/>
    <s v="Yes"/>
    <s v="Fiber optic"/>
    <x v="2"/>
    <s v="No"/>
    <s v="Electronic check"/>
    <x v="701"/>
    <n v="6970.29"/>
    <s v="Karachi"/>
    <s v="No"/>
    <n v="0"/>
    <x v="1"/>
  </r>
  <r>
    <s v="CUST-00731"/>
    <n v="21"/>
    <s v="No"/>
    <s v="Yes"/>
    <s v="Yes"/>
    <n v="55"/>
    <s v="Yes"/>
    <s v="Yes"/>
    <s v="Fiber optic"/>
    <x v="2"/>
    <s v="No"/>
    <s v="Electronic check"/>
    <x v="702"/>
    <n v="6216.5"/>
    <s v="Karachi"/>
    <s v="Yes"/>
    <n v="1"/>
    <x v="1"/>
  </r>
  <r>
    <s v="CUST-00732"/>
    <n v="60"/>
    <s v="Yes"/>
    <s v="No"/>
    <s v="Yes"/>
    <n v="7"/>
    <s v="No"/>
    <s v="No phone service"/>
    <s v="Fiber optic"/>
    <x v="2"/>
    <s v="No"/>
    <s v="Electronic check"/>
    <x v="703"/>
    <n v="606.28"/>
    <s v="Multan"/>
    <s v="Yes"/>
    <n v="1"/>
    <x v="1"/>
  </r>
  <r>
    <s v="CUST-00733"/>
    <n v="68"/>
    <s v="Yes"/>
    <s v="Yes"/>
    <s v="No"/>
    <n v="46"/>
    <s v="No"/>
    <s v="No phone service"/>
    <s v="No internet"/>
    <x v="1"/>
    <s v="Yes"/>
    <s v="Electronic check"/>
    <x v="46"/>
    <n v="1213.6500000000001"/>
    <s v="Peshawar"/>
    <s v="No"/>
    <n v="0"/>
    <x v="1"/>
  </r>
  <r>
    <s v="CUST-00734"/>
    <n v="64"/>
    <s v="Yes"/>
    <s v="No"/>
    <s v="Yes"/>
    <n v="20"/>
    <s v="Yes"/>
    <s v="No"/>
    <s v="No internet"/>
    <x v="2"/>
    <s v="No"/>
    <s v="Electronic check"/>
    <x v="704"/>
    <n v="564.65"/>
    <s v="Peshawar"/>
    <s v="No"/>
    <n v="0"/>
    <x v="1"/>
  </r>
  <r>
    <s v="CUST-00735"/>
    <n v="26"/>
    <s v="No"/>
    <s v="No"/>
    <s v="Yes"/>
    <n v="5"/>
    <s v="Yes"/>
    <s v="No"/>
    <s v="Fiber optic"/>
    <x v="2"/>
    <s v="Yes"/>
    <s v="Bank Transfer"/>
    <x v="705"/>
    <n v="389.98"/>
    <s v="Multan"/>
    <s v="Yes"/>
    <n v="1"/>
    <x v="1"/>
  </r>
  <r>
    <s v="CUST-00736"/>
    <n v="54"/>
    <s v="No"/>
    <s v="Yes"/>
    <s v="No"/>
    <n v="47"/>
    <s v="No"/>
    <s v="No phone service"/>
    <s v="Fiber optic"/>
    <x v="2"/>
    <s v="Yes"/>
    <s v="Bank Transfer"/>
    <x v="203"/>
    <n v="4789.72"/>
    <s v="Islamabad"/>
    <s v="Yes"/>
    <n v="1"/>
    <x v="1"/>
  </r>
  <r>
    <s v="CUST-00737"/>
    <n v="71"/>
    <s v="Yes"/>
    <s v="No"/>
    <s v="No"/>
    <n v="15"/>
    <s v="No"/>
    <s v="No phone service"/>
    <s v="No internet"/>
    <x v="2"/>
    <s v="Yes"/>
    <s v="Credit card"/>
    <x v="706"/>
    <n v="296.95"/>
    <s v="Multan"/>
    <s v="Yes"/>
    <n v="1"/>
    <x v="1"/>
  </r>
  <r>
    <s v="CUST-00738"/>
    <n v="62"/>
    <s v="Yes"/>
    <s v="No"/>
    <s v="No"/>
    <n v="13"/>
    <s v="Yes"/>
    <s v="Yes"/>
    <s v="No internet"/>
    <x v="2"/>
    <s v="No"/>
    <s v="Electronic check"/>
    <x v="707"/>
    <n v="356.22"/>
    <s v="Multan"/>
    <s v="No"/>
    <n v="0"/>
    <x v="1"/>
  </r>
  <r>
    <s v="CUST-00739"/>
    <n v="46"/>
    <s v="No"/>
    <s v="Yes"/>
    <s v="No"/>
    <n v="54"/>
    <s v="No"/>
    <s v="No phone service"/>
    <s v="Fiber optic"/>
    <x v="0"/>
    <s v="Yes"/>
    <s v="Electronic check"/>
    <x v="708"/>
    <n v="4820.42"/>
    <s v="Rawalpindi"/>
    <s v="No"/>
    <n v="0"/>
    <x v="1"/>
  </r>
  <r>
    <s v="CUST-00740"/>
    <n v="44"/>
    <s v="No"/>
    <s v="No"/>
    <s v="Yes"/>
    <n v="48"/>
    <s v="No"/>
    <s v="No phone service"/>
    <s v="DSL"/>
    <x v="2"/>
    <s v="No"/>
    <s v="Electronic check"/>
    <x v="30"/>
    <n v="3832.73"/>
    <s v="Lahore"/>
    <s v="No"/>
    <n v="0"/>
    <x v="1"/>
  </r>
  <r>
    <s v="CUST-00741"/>
    <n v="75"/>
    <s v="Yes"/>
    <s v="No"/>
    <s v="Yes"/>
    <n v="2"/>
    <s v="No"/>
    <s v="No phone service"/>
    <s v="Fiber optic"/>
    <x v="1"/>
    <s v="No"/>
    <s v="Electronic check"/>
    <x v="709"/>
    <n v="249.87"/>
    <s v="Rawalpindi"/>
    <s v="Yes"/>
    <n v="1"/>
    <x v="1"/>
  </r>
  <r>
    <s v="CUST-00742"/>
    <n v="30"/>
    <s v="No"/>
    <s v="No"/>
    <s v="Yes"/>
    <n v="55"/>
    <s v="No"/>
    <s v="No phone service"/>
    <s v="Fiber optic"/>
    <x v="1"/>
    <s v="Yes"/>
    <s v="Credit card"/>
    <x v="710"/>
    <n v="4531.3900000000003"/>
    <s v="Multan"/>
    <s v="No"/>
    <n v="0"/>
    <x v="1"/>
  </r>
  <r>
    <s v="CUST-00743"/>
    <n v="69"/>
    <s v="Yes"/>
    <s v="Yes"/>
    <s v="Yes"/>
    <n v="51"/>
    <s v="No"/>
    <s v="No phone service"/>
    <s v="No internet"/>
    <x v="1"/>
    <s v="Yes"/>
    <s v="Mailed check"/>
    <x v="711"/>
    <n v="992.05"/>
    <s v="Multan"/>
    <s v="No"/>
    <n v="0"/>
    <x v="1"/>
  </r>
  <r>
    <s v="CUST-00744"/>
    <n v="67"/>
    <s v="Yes"/>
    <s v="Yes"/>
    <s v="Yes"/>
    <n v="70"/>
    <s v="Yes"/>
    <s v="No"/>
    <s v="No internet"/>
    <x v="2"/>
    <s v="Yes"/>
    <s v="Mailed check"/>
    <x v="712"/>
    <n v="1852.42"/>
    <s v="Multan"/>
    <s v="Yes"/>
    <n v="1"/>
    <x v="1"/>
  </r>
  <r>
    <s v="CUST-00745"/>
    <n v="75"/>
    <s v="Yes"/>
    <s v="Yes"/>
    <s v="No"/>
    <n v="25"/>
    <s v="Yes"/>
    <s v="No"/>
    <s v="DSL"/>
    <x v="1"/>
    <s v="No"/>
    <s v="Bank Transfer"/>
    <x v="713"/>
    <n v="1614.44"/>
    <s v="Multan"/>
    <s v="No"/>
    <n v="0"/>
    <x v="1"/>
  </r>
  <r>
    <s v="CUST-00746"/>
    <n v="19"/>
    <s v="No"/>
    <s v="Yes"/>
    <s v="Yes"/>
    <n v="59"/>
    <s v="Yes"/>
    <s v="Yes"/>
    <s v="No internet"/>
    <x v="2"/>
    <s v="Yes"/>
    <s v="Electronic check"/>
    <x v="714"/>
    <n v="1388.39"/>
    <s v="Rawalpindi"/>
    <s v="No"/>
    <n v="0"/>
    <x v="1"/>
  </r>
  <r>
    <s v="CUST-00747"/>
    <n v="24"/>
    <s v="No"/>
    <s v="No"/>
    <s v="Yes"/>
    <n v="53"/>
    <s v="Yes"/>
    <s v="Yes"/>
    <s v="Fiber optic"/>
    <x v="2"/>
    <s v="No"/>
    <s v="Bank Transfer"/>
    <x v="715"/>
    <n v="4705.16"/>
    <s v="Karachi"/>
    <s v="Yes"/>
    <n v="1"/>
    <x v="1"/>
  </r>
  <r>
    <s v="CUST-00748"/>
    <n v="60"/>
    <s v="Yes"/>
    <s v="Yes"/>
    <s v="Yes"/>
    <n v="44"/>
    <s v="No"/>
    <s v="No phone service"/>
    <s v="No internet"/>
    <x v="1"/>
    <s v="Yes"/>
    <s v="Electronic check"/>
    <x v="716"/>
    <n v="1244.19"/>
    <s v="Lahore"/>
    <s v="Yes"/>
    <n v="1"/>
    <x v="1"/>
  </r>
  <r>
    <s v="CUST-00749"/>
    <n v="52"/>
    <s v="No"/>
    <s v="Yes"/>
    <s v="Yes"/>
    <n v="28"/>
    <s v="Yes"/>
    <s v="No"/>
    <s v="No internet"/>
    <x v="2"/>
    <s v="Yes"/>
    <s v="Electronic check"/>
    <x v="633"/>
    <n v="787.94"/>
    <s v="Rawalpindi"/>
    <s v="Yes"/>
    <n v="1"/>
    <x v="1"/>
  </r>
  <r>
    <s v="CUST-00750"/>
    <n v="30"/>
    <s v="No"/>
    <s v="Yes"/>
    <s v="No"/>
    <n v="71"/>
    <s v="No"/>
    <s v="No phone service"/>
    <s v="DSL"/>
    <x v="0"/>
    <s v="No"/>
    <s v="Credit card"/>
    <x v="717"/>
    <n v="5807.49"/>
    <s v="Karachi"/>
    <s v="No"/>
    <n v="0"/>
    <x v="1"/>
  </r>
  <r>
    <s v="CUST-00751"/>
    <n v="61"/>
    <s v="Yes"/>
    <s v="No"/>
    <s v="No"/>
    <n v="14"/>
    <s v="No"/>
    <s v="No phone service"/>
    <s v="DSL"/>
    <x v="2"/>
    <s v="Yes"/>
    <s v="Mailed check"/>
    <x v="718"/>
    <n v="871.42"/>
    <s v="Multan"/>
    <s v="No"/>
    <n v="0"/>
    <x v="1"/>
  </r>
  <r>
    <s v="CUST-00752"/>
    <n v="35"/>
    <s v="No"/>
    <s v="No"/>
    <s v="Yes"/>
    <n v="50"/>
    <s v="No"/>
    <s v="No phone service"/>
    <s v="Fiber optic"/>
    <x v="2"/>
    <s v="Yes"/>
    <s v="Credit card"/>
    <x v="719"/>
    <n v="6038.13"/>
    <s v="Rawalpindi"/>
    <s v="Yes"/>
    <n v="1"/>
    <x v="1"/>
  </r>
  <r>
    <s v="CUST-00753"/>
    <n v="36"/>
    <s v="No"/>
    <s v="No"/>
    <s v="No"/>
    <n v="4"/>
    <s v="No"/>
    <s v="No phone service"/>
    <s v="Fiber optic"/>
    <x v="2"/>
    <s v="Yes"/>
    <s v="Credit card"/>
    <x v="243"/>
    <n v="300.07"/>
    <s v="Peshawar"/>
    <s v="Yes"/>
    <n v="1"/>
    <x v="1"/>
  </r>
  <r>
    <s v="CUST-00754"/>
    <n v="38"/>
    <s v="No"/>
    <s v="Yes"/>
    <s v="Yes"/>
    <n v="41"/>
    <s v="No"/>
    <s v="No phone service"/>
    <s v="DSL"/>
    <x v="2"/>
    <s v="No"/>
    <s v="Mailed check"/>
    <x v="720"/>
    <n v="2526.11"/>
    <s v="Faisalabad"/>
    <s v="No"/>
    <n v="0"/>
    <x v="1"/>
  </r>
  <r>
    <s v="CUST-00755"/>
    <n v="31"/>
    <s v="No"/>
    <s v="Yes"/>
    <s v="No"/>
    <n v="10"/>
    <s v="No"/>
    <s v="No phone service"/>
    <s v="DSL"/>
    <x v="0"/>
    <s v="No"/>
    <s v="Electronic check"/>
    <x v="721"/>
    <n v="508.81"/>
    <s v="Rawalpindi"/>
    <s v="No"/>
    <n v="0"/>
    <x v="1"/>
  </r>
  <r>
    <s v="CUST-00756"/>
    <n v="20"/>
    <s v="No"/>
    <s v="No"/>
    <s v="No"/>
    <n v="16"/>
    <s v="Yes"/>
    <s v="No"/>
    <s v="Fiber optic"/>
    <x v="0"/>
    <s v="Yes"/>
    <s v="Credit card"/>
    <x v="722"/>
    <n v="1371.24"/>
    <s v="Lahore"/>
    <s v="No"/>
    <n v="0"/>
    <x v="1"/>
  </r>
  <r>
    <s v="CUST-00757"/>
    <n v="47"/>
    <s v="No"/>
    <s v="No"/>
    <s v="Yes"/>
    <n v="52"/>
    <s v="Yes"/>
    <s v="Yes"/>
    <s v="Fiber optic"/>
    <x v="2"/>
    <s v="No"/>
    <s v="Electronic check"/>
    <x v="723"/>
    <n v="5880.18"/>
    <s v="Peshawar"/>
    <s v="Yes"/>
    <n v="1"/>
    <x v="1"/>
  </r>
  <r>
    <s v="CUST-00758"/>
    <n v="40"/>
    <s v="No"/>
    <s v="No"/>
    <s v="Yes"/>
    <n v="72"/>
    <s v="No"/>
    <s v="No phone service"/>
    <s v="DSL"/>
    <x v="0"/>
    <s v="No"/>
    <s v="Electronic check"/>
    <x v="724"/>
    <n v="5709.35"/>
    <s v="Lahore"/>
    <s v="No"/>
    <n v="0"/>
    <x v="1"/>
  </r>
  <r>
    <s v="CUST-00759"/>
    <n v="71"/>
    <s v="Yes"/>
    <s v="No"/>
    <s v="Yes"/>
    <n v="4"/>
    <s v="Yes"/>
    <s v="Yes"/>
    <s v="Fiber optic"/>
    <x v="1"/>
    <s v="No"/>
    <s v="Electronic check"/>
    <x v="725"/>
    <n v="305.60000000000002"/>
    <s v="Peshawar"/>
    <s v="No"/>
    <n v="0"/>
    <x v="1"/>
  </r>
  <r>
    <s v="CUST-00760"/>
    <n v="75"/>
    <s v="Yes"/>
    <s v="Yes"/>
    <s v="Yes"/>
    <n v="34"/>
    <s v="Yes"/>
    <s v="Yes"/>
    <s v="No internet"/>
    <x v="1"/>
    <s v="Yes"/>
    <s v="Electronic check"/>
    <x v="726"/>
    <n v="924.09"/>
    <s v="Multan"/>
    <s v="No"/>
    <n v="0"/>
    <x v="1"/>
  </r>
  <r>
    <s v="CUST-00761"/>
    <n v="28"/>
    <s v="No"/>
    <s v="Yes"/>
    <s v="No"/>
    <n v="16"/>
    <s v="Yes"/>
    <s v="No"/>
    <s v="Fiber optic"/>
    <x v="1"/>
    <s v="No"/>
    <s v="Bank Transfer"/>
    <x v="113"/>
    <n v="1658.88"/>
    <s v="Rawalpindi"/>
    <s v="No"/>
    <n v="0"/>
    <x v="1"/>
  </r>
  <r>
    <s v="CUST-00762"/>
    <n v="60"/>
    <s v="Yes"/>
    <s v="No"/>
    <s v="No"/>
    <n v="42"/>
    <s v="No"/>
    <s v="No phone service"/>
    <s v="DSL"/>
    <x v="2"/>
    <s v="No"/>
    <s v="Bank Transfer"/>
    <x v="727"/>
    <n v="2824.6"/>
    <s v="Karachi"/>
    <s v="No"/>
    <n v="0"/>
    <x v="1"/>
  </r>
  <r>
    <s v="CUST-00763"/>
    <n v="60"/>
    <s v="Yes"/>
    <s v="Yes"/>
    <s v="Yes"/>
    <n v="10"/>
    <s v="Yes"/>
    <s v="Yes"/>
    <s v="No internet"/>
    <x v="0"/>
    <s v="No"/>
    <s v="Bank Transfer"/>
    <x v="728"/>
    <n v="192.99"/>
    <s v="Faisalabad"/>
    <s v="Yes"/>
    <n v="1"/>
    <x v="1"/>
  </r>
  <r>
    <s v="CUST-00764"/>
    <n v="66"/>
    <s v="Yes"/>
    <s v="No"/>
    <s v="No"/>
    <n v="59"/>
    <s v="Yes"/>
    <s v="No"/>
    <s v="DSL"/>
    <x v="2"/>
    <s v="No"/>
    <s v="Credit card"/>
    <x v="729"/>
    <n v="3477.46"/>
    <s v="Rawalpindi"/>
    <s v="Yes"/>
    <n v="1"/>
    <x v="1"/>
  </r>
  <r>
    <s v="CUST-00765"/>
    <n v="30"/>
    <s v="No"/>
    <s v="Yes"/>
    <s v="No"/>
    <n v="55"/>
    <s v="No"/>
    <s v="No phone service"/>
    <s v="Fiber optic"/>
    <x v="1"/>
    <s v="Yes"/>
    <s v="Electronic check"/>
    <x v="730"/>
    <n v="6443.6"/>
    <s v="Rawalpindi"/>
    <s v="Yes"/>
    <n v="1"/>
    <x v="1"/>
  </r>
  <r>
    <s v="CUST-00766"/>
    <n v="29"/>
    <s v="No"/>
    <s v="No"/>
    <s v="Yes"/>
    <n v="61"/>
    <s v="No"/>
    <s v="No phone service"/>
    <s v="DSL"/>
    <x v="2"/>
    <s v="Yes"/>
    <s v="Mailed check"/>
    <x v="731"/>
    <n v="2623.21"/>
    <s v="Faisalabad"/>
    <s v="Yes"/>
    <n v="1"/>
    <x v="1"/>
  </r>
  <r>
    <s v="CUST-00767"/>
    <n v="45"/>
    <s v="No"/>
    <s v="No"/>
    <s v="Yes"/>
    <n v="57"/>
    <s v="Yes"/>
    <s v="Yes"/>
    <s v="Fiber optic"/>
    <x v="2"/>
    <s v="No"/>
    <s v="Electronic check"/>
    <x v="732"/>
    <n v="4354.0200000000004"/>
    <s v="Faisalabad"/>
    <s v="Yes"/>
    <n v="1"/>
    <x v="1"/>
  </r>
  <r>
    <s v="CUST-00768"/>
    <n v="49"/>
    <s v="No"/>
    <s v="No"/>
    <s v="Yes"/>
    <n v="7"/>
    <s v="Yes"/>
    <s v="Yes"/>
    <s v="DSL"/>
    <x v="2"/>
    <s v="Yes"/>
    <s v="Credit card"/>
    <x v="733"/>
    <n v="348.19"/>
    <s v="Faisalabad"/>
    <s v="Yes"/>
    <n v="1"/>
    <x v="1"/>
  </r>
  <r>
    <s v="CUST-00769"/>
    <n v="62"/>
    <s v="Yes"/>
    <s v="No"/>
    <s v="No"/>
    <n v="51"/>
    <s v="No"/>
    <s v="No phone service"/>
    <s v="Fiber optic"/>
    <x v="2"/>
    <s v="Yes"/>
    <s v="Bank Transfer"/>
    <x v="734"/>
    <n v="4343.01"/>
    <s v="Multan"/>
    <s v="No"/>
    <n v="0"/>
    <x v="1"/>
  </r>
  <r>
    <s v="CUST-00770"/>
    <n v="18"/>
    <s v="No"/>
    <s v="Yes"/>
    <s v="Yes"/>
    <n v="65"/>
    <s v="No"/>
    <s v="No phone service"/>
    <s v="No internet"/>
    <x v="0"/>
    <s v="Yes"/>
    <s v="Electronic check"/>
    <x v="735"/>
    <n v="1633.63"/>
    <s v="Rawalpindi"/>
    <s v="No"/>
    <n v="0"/>
    <x v="1"/>
  </r>
  <r>
    <s v="CUST-00771"/>
    <n v="27"/>
    <s v="No"/>
    <s v="Yes"/>
    <s v="No"/>
    <n v="55"/>
    <s v="Yes"/>
    <s v="No"/>
    <s v="Fiber optic"/>
    <x v="1"/>
    <s v="Yes"/>
    <s v="Bank Transfer"/>
    <x v="736"/>
    <n v="6265.64"/>
    <s v="Faisalabad"/>
    <s v="No"/>
    <n v="0"/>
    <x v="1"/>
  </r>
  <r>
    <s v="CUST-00772"/>
    <n v="18"/>
    <s v="No"/>
    <s v="No"/>
    <s v="Yes"/>
    <n v="61"/>
    <s v="Yes"/>
    <s v="No"/>
    <s v="Fiber optic"/>
    <x v="1"/>
    <s v="Yes"/>
    <s v="Credit card"/>
    <x v="737"/>
    <n v="4577.83"/>
    <s v="Islamabad"/>
    <s v="Yes"/>
    <n v="1"/>
    <x v="1"/>
  </r>
  <r>
    <s v="CUST-00773"/>
    <n v="69"/>
    <s v="Yes"/>
    <s v="No"/>
    <s v="No"/>
    <n v="63"/>
    <s v="No"/>
    <s v="No phone service"/>
    <s v="DSL"/>
    <x v="0"/>
    <s v="No"/>
    <s v="Credit card"/>
    <x v="738"/>
    <n v="2508.85"/>
    <s v="Faisalabad"/>
    <s v="No"/>
    <n v="0"/>
    <x v="1"/>
  </r>
  <r>
    <s v="CUST-00774"/>
    <n v="67"/>
    <s v="Yes"/>
    <s v="No"/>
    <s v="Yes"/>
    <n v="35"/>
    <s v="Yes"/>
    <s v="Yes"/>
    <s v="DSL"/>
    <x v="2"/>
    <s v="Yes"/>
    <s v="Bank Transfer"/>
    <x v="739"/>
    <n v="1598.03"/>
    <s v="Multan"/>
    <s v="Yes"/>
    <n v="1"/>
    <x v="1"/>
  </r>
  <r>
    <s v="CUST-00775"/>
    <n v="62"/>
    <s v="Yes"/>
    <s v="No"/>
    <s v="No"/>
    <n v="27"/>
    <s v="Yes"/>
    <s v="No"/>
    <s v="DSL"/>
    <x v="2"/>
    <s v="Yes"/>
    <s v="Mailed check"/>
    <x v="740"/>
    <n v="2070.9299999999998"/>
    <s v="Rawalpindi"/>
    <s v="No"/>
    <n v="0"/>
    <x v="1"/>
  </r>
  <r>
    <s v="CUST-00776"/>
    <n v="74"/>
    <s v="Yes"/>
    <s v="Yes"/>
    <s v="No"/>
    <n v="45"/>
    <s v="No"/>
    <s v="No phone service"/>
    <s v="No internet"/>
    <x v="0"/>
    <s v="No"/>
    <s v="Electronic check"/>
    <x v="741"/>
    <n v="834.05"/>
    <s v="Faisalabad"/>
    <s v="No"/>
    <n v="0"/>
    <x v="1"/>
  </r>
  <r>
    <s v="CUST-00777"/>
    <n v="25"/>
    <s v="No"/>
    <s v="No"/>
    <s v="No"/>
    <n v="45"/>
    <s v="Yes"/>
    <s v="No"/>
    <s v="Fiber optic"/>
    <x v="0"/>
    <s v="No"/>
    <s v="Bank Transfer"/>
    <x v="742"/>
    <n v="4218.04"/>
    <s v="Karachi"/>
    <s v="No"/>
    <n v="0"/>
    <x v="1"/>
  </r>
  <r>
    <s v="CUST-00778"/>
    <n v="37"/>
    <s v="No"/>
    <s v="No"/>
    <s v="No"/>
    <n v="9"/>
    <s v="Yes"/>
    <s v="No"/>
    <s v="DSL"/>
    <x v="2"/>
    <s v="Yes"/>
    <s v="Electronic check"/>
    <x v="743"/>
    <n v="466.14"/>
    <s v="Lahore"/>
    <s v="No"/>
    <n v="0"/>
    <x v="1"/>
  </r>
  <r>
    <s v="CUST-00779"/>
    <n v="21"/>
    <s v="No"/>
    <s v="No"/>
    <s v="Yes"/>
    <n v="45"/>
    <s v="Yes"/>
    <s v="No"/>
    <s v="No internet"/>
    <x v="0"/>
    <s v="Yes"/>
    <s v="Mailed check"/>
    <x v="744"/>
    <n v="925.57"/>
    <s v="Karachi"/>
    <s v="Yes"/>
    <n v="1"/>
    <x v="1"/>
  </r>
  <r>
    <s v="CUST-00780"/>
    <n v="20"/>
    <s v="No"/>
    <s v="No"/>
    <s v="No"/>
    <n v="32"/>
    <s v="No"/>
    <s v="No phone service"/>
    <s v="No internet"/>
    <x v="2"/>
    <s v="Yes"/>
    <s v="Mailed check"/>
    <x v="475"/>
    <n v="940.1"/>
    <s v="Rawalpindi"/>
    <s v="Yes"/>
    <n v="1"/>
    <x v="1"/>
  </r>
  <r>
    <s v="CUST-00781"/>
    <n v="61"/>
    <s v="Yes"/>
    <s v="No"/>
    <s v="Yes"/>
    <n v="26"/>
    <s v="No"/>
    <s v="No phone service"/>
    <s v="Fiber optic"/>
    <x v="0"/>
    <s v="No"/>
    <s v="Electronic check"/>
    <x v="745"/>
    <n v="2319.7199999999998"/>
    <s v="Karachi"/>
    <s v="No"/>
    <n v="0"/>
    <x v="1"/>
  </r>
  <r>
    <s v="CUST-00782"/>
    <n v="42"/>
    <s v="No"/>
    <s v="No"/>
    <s v="Yes"/>
    <n v="18"/>
    <s v="No"/>
    <s v="No phone service"/>
    <s v="DSL"/>
    <x v="2"/>
    <s v="No"/>
    <s v="Credit card"/>
    <x v="22"/>
    <n v="1018.17"/>
    <s v="Lahore"/>
    <s v="No"/>
    <n v="0"/>
    <x v="1"/>
  </r>
  <r>
    <s v="CUST-00783"/>
    <n v="53"/>
    <s v="No"/>
    <s v="Yes"/>
    <s v="No"/>
    <n v="12"/>
    <s v="No"/>
    <s v="No phone service"/>
    <s v="DSL"/>
    <x v="0"/>
    <s v="No"/>
    <s v="Electronic check"/>
    <x v="147"/>
    <n v="746.59"/>
    <s v="Peshawar"/>
    <s v="Yes"/>
    <n v="1"/>
    <x v="1"/>
  </r>
  <r>
    <s v="CUST-00784"/>
    <n v="72"/>
    <s v="Yes"/>
    <s v="No"/>
    <s v="Yes"/>
    <n v="52"/>
    <s v="No"/>
    <s v="No phone service"/>
    <s v="DSL"/>
    <x v="1"/>
    <s v="No"/>
    <s v="Bank Transfer"/>
    <x v="746"/>
    <n v="2194.0500000000002"/>
    <s v="Lahore"/>
    <s v="No"/>
    <n v="0"/>
    <x v="1"/>
  </r>
  <r>
    <s v="CUST-00785"/>
    <n v="39"/>
    <s v="No"/>
    <s v="Yes"/>
    <s v="No"/>
    <n v="62"/>
    <s v="Yes"/>
    <s v="Yes"/>
    <s v="DSL"/>
    <x v="0"/>
    <s v="Yes"/>
    <s v="Bank Transfer"/>
    <x v="747"/>
    <n v="3788.3"/>
    <s v="Karachi"/>
    <s v="No"/>
    <n v="0"/>
    <x v="1"/>
  </r>
  <r>
    <s v="CUST-00786"/>
    <n v="32"/>
    <s v="No"/>
    <s v="Yes"/>
    <s v="No"/>
    <n v="40"/>
    <s v="Yes"/>
    <s v="No"/>
    <s v="DSL"/>
    <x v="0"/>
    <s v="Yes"/>
    <s v="Electronic check"/>
    <x v="748"/>
    <n v="1619.93"/>
    <s v="Lahore"/>
    <s v="Yes"/>
    <n v="1"/>
    <x v="1"/>
  </r>
  <r>
    <s v="CUST-00787"/>
    <n v="33"/>
    <s v="No"/>
    <s v="Yes"/>
    <s v="Yes"/>
    <n v="61"/>
    <s v="No"/>
    <s v="No phone service"/>
    <s v="Fiber optic"/>
    <x v="2"/>
    <s v="Yes"/>
    <s v="Electronic check"/>
    <x v="749"/>
    <n v="5527.75"/>
    <s v="Peshawar"/>
    <s v="Yes"/>
    <n v="1"/>
    <x v="1"/>
  </r>
  <r>
    <s v="CUST-00788"/>
    <n v="52"/>
    <s v="No"/>
    <s v="No"/>
    <s v="No"/>
    <n v="16"/>
    <s v="Yes"/>
    <s v="Yes"/>
    <s v="Fiber optic"/>
    <x v="1"/>
    <s v="Yes"/>
    <s v="Electronic check"/>
    <x v="750"/>
    <n v="1722.88"/>
    <s v="Islamabad"/>
    <s v="No"/>
    <n v="0"/>
    <x v="1"/>
  </r>
  <r>
    <s v="CUST-00789"/>
    <n v="36"/>
    <s v="No"/>
    <s v="Yes"/>
    <s v="No"/>
    <n v="48"/>
    <s v="No"/>
    <s v="No phone service"/>
    <s v="DSL"/>
    <x v="2"/>
    <s v="Yes"/>
    <s v="Credit card"/>
    <x v="751"/>
    <n v="3334.91"/>
    <s v="Lahore"/>
    <s v="Yes"/>
    <n v="1"/>
    <x v="1"/>
  </r>
  <r>
    <s v="CUST-00790"/>
    <n v="54"/>
    <s v="No"/>
    <s v="No"/>
    <s v="Yes"/>
    <n v="39"/>
    <s v="No"/>
    <s v="No phone service"/>
    <s v="Fiber optic"/>
    <x v="2"/>
    <s v="No"/>
    <s v="Mailed check"/>
    <x v="752"/>
    <n v="3740.1"/>
    <s v="Karachi"/>
    <s v="Yes"/>
    <n v="1"/>
    <x v="1"/>
  </r>
  <r>
    <s v="CUST-00791"/>
    <n v="40"/>
    <s v="No"/>
    <s v="Yes"/>
    <s v="No"/>
    <n v="68"/>
    <s v="Yes"/>
    <s v="Yes"/>
    <s v="Fiber optic"/>
    <x v="2"/>
    <s v="No"/>
    <s v="Credit card"/>
    <x v="753"/>
    <n v="7347.53"/>
    <s v="Multan"/>
    <s v="No"/>
    <n v="0"/>
    <x v="1"/>
  </r>
  <r>
    <s v="CUST-00792"/>
    <n v="37"/>
    <s v="No"/>
    <s v="No"/>
    <s v="Yes"/>
    <n v="62"/>
    <s v="No"/>
    <s v="No phone service"/>
    <s v="Fiber optic"/>
    <x v="0"/>
    <s v="Yes"/>
    <s v="Credit card"/>
    <x v="754"/>
    <n v="7453.38"/>
    <s v="Karachi"/>
    <s v="No"/>
    <n v="0"/>
    <x v="1"/>
  </r>
  <r>
    <s v="CUST-00793"/>
    <n v="62"/>
    <s v="Yes"/>
    <s v="No"/>
    <s v="No"/>
    <n v="52"/>
    <s v="Yes"/>
    <s v="No"/>
    <s v="Fiber optic"/>
    <x v="2"/>
    <s v="Yes"/>
    <s v="Bank Transfer"/>
    <x v="755"/>
    <n v="5044.71"/>
    <s v="Karachi"/>
    <s v="Yes"/>
    <n v="1"/>
    <x v="1"/>
  </r>
  <r>
    <s v="CUST-00794"/>
    <n v="67"/>
    <s v="Yes"/>
    <s v="Yes"/>
    <s v="Yes"/>
    <n v="23"/>
    <s v="No"/>
    <s v="No phone service"/>
    <s v="DSL"/>
    <x v="0"/>
    <s v="No"/>
    <s v="Mailed check"/>
    <x v="756"/>
    <n v="947.79"/>
    <s v="Multan"/>
    <s v="Yes"/>
    <n v="1"/>
    <x v="1"/>
  </r>
  <r>
    <s v="CUST-00795"/>
    <n v="22"/>
    <s v="No"/>
    <s v="No"/>
    <s v="No"/>
    <n v="4"/>
    <s v="No"/>
    <s v="No phone service"/>
    <s v="No internet"/>
    <x v="2"/>
    <s v="No"/>
    <s v="Credit card"/>
    <x v="757"/>
    <n v="120.54"/>
    <s v="Islamabad"/>
    <s v="Yes"/>
    <n v="1"/>
    <x v="1"/>
  </r>
  <r>
    <s v="CUST-00796"/>
    <n v="49"/>
    <s v="No"/>
    <s v="No"/>
    <s v="No"/>
    <n v="29"/>
    <s v="Yes"/>
    <s v="No"/>
    <s v="Fiber optic"/>
    <x v="2"/>
    <s v="Yes"/>
    <s v="Electronic check"/>
    <x v="758"/>
    <n v="2179.04"/>
    <s v="Lahore"/>
    <s v="Yes"/>
    <n v="1"/>
    <x v="1"/>
  </r>
  <r>
    <s v="CUST-00797"/>
    <n v="69"/>
    <s v="Yes"/>
    <s v="Yes"/>
    <s v="Yes"/>
    <n v="47"/>
    <s v="Yes"/>
    <s v="Yes"/>
    <s v="DSL"/>
    <x v="0"/>
    <s v="No"/>
    <s v="Electronic check"/>
    <x v="759"/>
    <n v="2359.34"/>
    <s v="Islamabad"/>
    <s v="No"/>
    <n v="0"/>
    <x v="1"/>
  </r>
  <r>
    <s v="CUST-00798"/>
    <n v="57"/>
    <s v="No"/>
    <s v="Yes"/>
    <s v="Yes"/>
    <n v="57"/>
    <s v="No"/>
    <s v="No phone service"/>
    <s v="Fiber optic"/>
    <x v="1"/>
    <s v="Yes"/>
    <s v="Electronic check"/>
    <x v="760"/>
    <n v="5202.3500000000004"/>
    <s v="Lahore"/>
    <s v="No"/>
    <n v="0"/>
    <x v="1"/>
  </r>
  <r>
    <s v="CUST-00799"/>
    <n v="56"/>
    <s v="No"/>
    <s v="No"/>
    <s v="Yes"/>
    <n v="29"/>
    <s v="No"/>
    <s v="No phone service"/>
    <s v="No internet"/>
    <x v="1"/>
    <s v="No"/>
    <s v="Credit card"/>
    <x v="761"/>
    <n v="675.3"/>
    <s v="Islamabad"/>
    <s v="No"/>
    <n v="0"/>
    <x v="1"/>
  </r>
  <r>
    <s v="CUST-00800"/>
    <n v="22"/>
    <s v="No"/>
    <s v="Yes"/>
    <s v="No"/>
    <n v="52"/>
    <s v="Yes"/>
    <s v="No"/>
    <s v="DSL"/>
    <x v="1"/>
    <s v="No"/>
    <s v="Bank Transfer"/>
    <x v="762"/>
    <n v="2126.83"/>
    <s v="Peshawar"/>
    <s v="No"/>
    <n v="0"/>
    <x v="1"/>
  </r>
  <r>
    <s v="CUST-00801"/>
    <n v="21"/>
    <s v="No"/>
    <s v="Yes"/>
    <s v="Yes"/>
    <n v="71"/>
    <s v="No"/>
    <s v="No phone service"/>
    <s v="No internet"/>
    <x v="1"/>
    <s v="Yes"/>
    <s v="Electronic check"/>
    <x v="763"/>
    <n v="1411.8"/>
    <s v="Multan"/>
    <s v="No"/>
    <n v="0"/>
    <x v="1"/>
  </r>
  <r>
    <s v="CUST-00802"/>
    <n v="71"/>
    <s v="Yes"/>
    <s v="Yes"/>
    <s v="No"/>
    <n v="10"/>
    <s v="Yes"/>
    <s v="No"/>
    <s v="No internet"/>
    <x v="2"/>
    <s v="Yes"/>
    <s v="Electronic check"/>
    <x v="764"/>
    <n v="174.69"/>
    <s v="Multan"/>
    <s v="Yes"/>
    <n v="1"/>
    <x v="1"/>
  </r>
  <r>
    <s v="CUST-00803"/>
    <n v="40"/>
    <s v="No"/>
    <s v="No"/>
    <s v="No"/>
    <n v="39"/>
    <s v="Yes"/>
    <s v="Yes"/>
    <s v="DSL"/>
    <x v="2"/>
    <s v="Yes"/>
    <s v="Credit card"/>
    <x v="765"/>
    <n v="2965.35"/>
    <s v="Faisalabad"/>
    <s v="No"/>
    <n v="0"/>
    <x v="1"/>
  </r>
  <r>
    <s v="CUST-00804"/>
    <n v="48"/>
    <s v="No"/>
    <s v="Yes"/>
    <s v="No"/>
    <n v="49"/>
    <s v="No"/>
    <s v="No phone service"/>
    <s v="DSL"/>
    <x v="0"/>
    <s v="Yes"/>
    <s v="Electronic check"/>
    <x v="766"/>
    <n v="2221.69"/>
    <s v="Islamabad"/>
    <s v="No"/>
    <n v="0"/>
    <x v="1"/>
  </r>
  <r>
    <s v="CUST-00805"/>
    <n v="30"/>
    <s v="No"/>
    <s v="No"/>
    <s v="No"/>
    <n v="8"/>
    <s v="Yes"/>
    <s v="No"/>
    <s v="Fiber optic"/>
    <x v="2"/>
    <s v="Yes"/>
    <s v="Mailed check"/>
    <x v="767"/>
    <n v="580.85"/>
    <s v="Lahore"/>
    <s v="No"/>
    <n v="0"/>
    <x v="1"/>
  </r>
  <r>
    <s v="CUST-00806"/>
    <n v="21"/>
    <s v="No"/>
    <s v="Yes"/>
    <s v="No"/>
    <n v="24"/>
    <s v="No"/>
    <s v="No phone service"/>
    <s v="Fiber optic"/>
    <x v="2"/>
    <s v="Yes"/>
    <s v="Mailed check"/>
    <x v="768"/>
    <n v="1813.25"/>
    <s v="Multan"/>
    <s v="No"/>
    <n v="0"/>
    <x v="1"/>
  </r>
  <r>
    <s v="CUST-00807"/>
    <n v="22"/>
    <s v="No"/>
    <s v="Yes"/>
    <s v="No"/>
    <n v="70"/>
    <s v="No"/>
    <s v="No phone service"/>
    <s v="Fiber optic"/>
    <x v="1"/>
    <s v="Yes"/>
    <s v="Credit card"/>
    <x v="769"/>
    <n v="5864.63"/>
    <s v="Peshawar"/>
    <s v="No"/>
    <n v="0"/>
    <x v="1"/>
  </r>
  <r>
    <s v="CUST-00808"/>
    <n v="59"/>
    <s v="No"/>
    <s v="Yes"/>
    <s v="No"/>
    <n v="41"/>
    <s v="Yes"/>
    <s v="Yes"/>
    <s v="DSL"/>
    <x v="1"/>
    <s v="No"/>
    <s v="Electronic check"/>
    <x v="770"/>
    <n v="1887.8"/>
    <s v="Karachi"/>
    <s v="No"/>
    <n v="0"/>
    <x v="1"/>
  </r>
  <r>
    <s v="CUST-00809"/>
    <n v="37"/>
    <s v="No"/>
    <s v="Yes"/>
    <s v="Yes"/>
    <n v="48"/>
    <s v="Yes"/>
    <s v="Yes"/>
    <s v="DSL"/>
    <x v="2"/>
    <s v="No"/>
    <s v="Bank Transfer"/>
    <x v="771"/>
    <n v="2661.99"/>
    <s v="Lahore"/>
    <s v="No"/>
    <n v="0"/>
    <x v="1"/>
  </r>
  <r>
    <s v="CUST-00810"/>
    <n v="35"/>
    <s v="No"/>
    <s v="No"/>
    <s v="No"/>
    <n v="39"/>
    <s v="Yes"/>
    <s v="Yes"/>
    <s v="No internet"/>
    <x v="1"/>
    <s v="No"/>
    <s v="Credit card"/>
    <x v="772"/>
    <n v="1090.3499999999999"/>
    <s v="Karachi"/>
    <s v="Yes"/>
    <n v="1"/>
    <x v="1"/>
  </r>
  <r>
    <s v="CUST-00811"/>
    <n v="42"/>
    <s v="No"/>
    <s v="Yes"/>
    <s v="No"/>
    <n v="69"/>
    <s v="No"/>
    <s v="No phone service"/>
    <s v="Fiber optic"/>
    <x v="2"/>
    <s v="No"/>
    <s v="Mailed check"/>
    <x v="773"/>
    <n v="8212.8700000000008"/>
    <s v="Peshawar"/>
    <s v="Yes"/>
    <n v="1"/>
    <x v="1"/>
  </r>
  <r>
    <s v="CUST-00812"/>
    <n v="34"/>
    <s v="No"/>
    <s v="Yes"/>
    <s v="Yes"/>
    <n v="44"/>
    <s v="No"/>
    <s v="No phone service"/>
    <s v="DSL"/>
    <x v="1"/>
    <s v="Yes"/>
    <s v="Bank Transfer"/>
    <x v="774"/>
    <n v="2882.15"/>
    <s v="Islamabad"/>
    <s v="No"/>
    <n v="0"/>
    <x v="1"/>
  </r>
  <r>
    <s v="CUST-00813"/>
    <n v="72"/>
    <s v="Yes"/>
    <s v="No"/>
    <s v="No"/>
    <n v="67"/>
    <s v="No"/>
    <s v="No phone service"/>
    <s v="Fiber optic"/>
    <x v="2"/>
    <s v="Yes"/>
    <s v="Electronic check"/>
    <x v="775"/>
    <n v="4911.3599999999997"/>
    <s v="Lahore"/>
    <s v="No"/>
    <n v="0"/>
    <x v="1"/>
  </r>
  <r>
    <s v="CUST-00814"/>
    <n v="33"/>
    <s v="No"/>
    <s v="No"/>
    <s v="No"/>
    <n v="51"/>
    <s v="No"/>
    <s v="No phone service"/>
    <s v="Fiber optic"/>
    <x v="2"/>
    <s v="No"/>
    <s v="Bank Transfer"/>
    <x v="776"/>
    <n v="5709.05"/>
    <s v="Faisalabad"/>
    <s v="Yes"/>
    <n v="1"/>
    <x v="1"/>
  </r>
  <r>
    <s v="CUST-00815"/>
    <n v="60"/>
    <s v="Yes"/>
    <s v="No"/>
    <s v="No"/>
    <n v="23"/>
    <s v="Yes"/>
    <s v="No"/>
    <s v="Fiber optic"/>
    <x v="2"/>
    <s v="No"/>
    <s v="Credit card"/>
    <x v="777"/>
    <n v="2493.67"/>
    <s v="Lahore"/>
    <s v="Yes"/>
    <n v="1"/>
    <x v="1"/>
  </r>
  <r>
    <s v="CUST-00816"/>
    <n v="35"/>
    <s v="No"/>
    <s v="No"/>
    <s v="Yes"/>
    <n v="57"/>
    <s v="No"/>
    <s v="No phone service"/>
    <s v="Fiber optic"/>
    <x v="2"/>
    <s v="No"/>
    <s v="Electronic check"/>
    <x v="778"/>
    <n v="5541.45"/>
    <s v="Lahore"/>
    <s v="No"/>
    <n v="0"/>
    <x v="1"/>
  </r>
  <r>
    <s v="CUST-00817"/>
    <n v="32"/>
    <s v="No"/>
    <s v="Yes"/>
    <s v="Yes"/>
    <n v="24"/>
    <s v="No"/>
    <s v="No phone service"/>
    <s v="DSL"/>
    <x v="0"/>
    <s v="Yes"/>
    <s v="Credit card"/>
    <x v="779"/>
    <n v="1242.78"/>
    <s v="Islamabad"/>
    <s v="No"/>
    <n v="0"/>
    <x v="1"/>
  </r>
  <r>
    <s v="CUST-00818"/>
    <n v="19"/>
    <s v="No"/>
    <s v="No"/>
    <s v="Yes"/>
    <n v="31"/>
    <s v="Yes"/>
    <s v="No"/>
    <s v="Fiber optic"/>
    <x v="2"/>
    <s v="Yes"/>
    <s v="Electronic check"/>
    <x v="780"/>
    <n v="2633.7"/>
    <s v="Rawalpindi"/>
    <s v="No"/>
    <n v="0"/>
    <x v="1"/>
  </r>
  <r>
    <s v="CUST-00819"/>
    <n v="22"/>
    <s v="No"/>
    <s v="No"/>
    <s v="No"/>
    <n v="19"/>
    <s v="No"/>
    <s v="No phone service"/>
    <s v="Fiber optic"/>
    <x v="2"/>
    <s v="No"/>
    <s v="Mailed check"/>
    <x v="781"/>
    <n v="1775.59"/>
    <s v="Lahore"/>
    <s v="Yes"/>
    <n v="1"/>
    <x v="1"/>
  </r>
  <r>
    <s v="CUST-00820"/>
    <n v="28"/>
    <s v="No"/>
    <s v="No"/>
    <s v="Yes"/>
    <n v="38"/>
    <s v="Yes"/>
    <s v="Yes"/>
    <s v="No internet"/>
    <x v="2"/>
    <s v="No"/>
    <s v="Credit card"/>
    <x v="782"/>
    <n v="1041.08"/>
    <s v="Islamabad"/>
    <s v="No"/>
    <n v="0"/>
    <x v="1"/>
  </r>
  <r>
    <s v="CUST-00821"/>
    <n v="31"/>
    <s v="No"/>
    <s v="No"/>
    <s v="Yes"/>
    <n v="20"/>
    <s v="Yes"/>
    <s v="No"/>
    <s v="Fiber optic"/>
    <x v="1"/>
    <s v="Yes"/>
    <s v="Credit card"/>
    <x v="783"/>
    <n v="2435.3000000000002"/>
    <s v="Faisalabad"/>
    <s v="No"/>
    <n v="0"/>
    <x v="1"/>
  </r>
  <r>
    <s v="CUST-00822"/>
    <n v="64"/>
    <s v="Yes"/>
    <s v="Yes"/>
    <s v="Yes"/>
    <n v="61"/>
    <s v="No"/>
    <s v="No phone service"/>
    <s v="DSL"/>
    <x v="2"/>
    <s v="Yes"/>
    <s v="Bank Transfer"/>
    <x v="784"/>
    <n v="3058.01"/>
    <s v="Peshawar"/>
    <s v="Yes"/>
    <n v="1"/>
    <x v="1"/>
  </r>
  <r>
    <s v="CUST-00823"/>
    <n v="41"/>
    <s v="No"/>
    <s v="Yes"/>
    <s v="No"/>
    <n v="41"/>
    <s v="Yes"/>
    <s v="No"/>
    <s v="DSL"/>
    <x v="2"/>
    <s v="No"/>
    <s v="Credit card"/>
    <x v="785"/>
    <n v="2218.7800000000002"/>
    <s v="Multan"/>
    <s v="No"/>
    <n v="0"/>
    <x v="1"/>
  </r>
  <r>
    <s v="CUST-00824"/>
    <n v="48"/>
    <s v="No"/>
    <s v="Yes"/>
    <s v="No"/>
    <n v="54"/>
    <s v="Yes"/>
    <s v="No"/>
    <s v="Fiber optic"/>
    <x v="2"/>
    <s v="No"/>
    <s v="Bank Transfer"/>
    <x v="467"/>
    <n v="5648.85"/>
    <s v="Islamabad"/>
    <s v="No"/>
    <n v="0"/>
    <x v="1"/>
  </r>
  <r>
    <s v="CUST-00825"/>
    <n v="38"/>
    <s v="No"/>
    <s v="Yes"/>
    <s v="Yes"/>
    <n v="53"/>
    <s v="Yes"/>
    <s v="No"/>
    <s v="Fiber optic"/>
    <x v="0"/>
    <s v="Yes"/>
    <s v="Mailed check"/>
    <x v="786"/>
    <n v="5681.74"/>
    <s v="Islamabad"/>
    <s v="Yes"/>
    <n v="1"/>
    <x v="1"/>
  </r>
  <r>
    <s v="CUST-00826"/>
    <n v="66"/>
    <s v="Yes"/>
    <s v="No"/>
    <s v="Yes"/>
    <n v="17"/>
    <s v="No"/>
    <s v="No phone service"/>
    <s v="No internet"/>
    <x v="2"/>
    <s v="Yes"/>
    <s v="Mailed check"/>
    <x v="198"/>
    <n v="347.69"/>
    <s v="Rawalpindi"/>
    <s v="No"/>
    <n v="0"/>
    <x v="1"/>
  </r>
  <r>
    <s v="CUST-00827"/>
    <n v="40"/>
    <s v="No"/>
    <s v="Yes"/>
    <s v="No"/>
    <n v="72"/>
    <s v="No"/>
    <s v="No phone service"/>
    <s v="Fiber optic"/>
    <x v="2"/>
    <s v="No"/>
    <s v="Credit card"/>
    <x v="787"/>
    <n v="7690.24"/>
    <s v="Multan"/>
    <s v="Yes"/>
    <n v="1"/>
    <x v="1"/>
  </r>
  <r>
    <s v="CUST-00828"/>
    <n v="40"/>
    <s v="No"/>
    <s v="No"/>
    <s v="No"/>
    <n v="58"/>
    <s v="No"/>
    <s v="No phone service"/>
    <s v="DSL"/>
    <x v="2"/>
    <s v="No"/>
    <s v="Bank Transfer"/>
    <x v="788"/>
    <n v="4129.68"/>
    <s v="Peshawar"/>
    <s v="No"/>
    <n v="0"/>
    <x v="1"/>
  </r>
  <r>
    <s v="CUST-00829"/>
    <n v="50"/>
    <s v="No"/>
    <s v="Yes"/>
    <s v="Yes"/>
    <n v="1"/>
    <s v="No"/>
    <s v="No phone service"/>
    <s v="DSL"/>
    <x v="0"/>
    <s v="No"/>
    <s v="Credit card"/>
    <x v="789"/>
    <n v="57.6"/>
    <s v="Peshawar"/>
    <s v="No"/>
    <n v="0"/>
    <x v="1"/>
  </r>
  <r>
    <s v="CUST-00830"/>
    <n v="24"/>
    <s v="No"/>
    <s v="Yes"/>
    <s v="No"/>
    <n v="64"/>
    <s v="No"/>
    <s v="No phone service"/>
    <s v="Fiber optic"/>
    <x v="2"/>
    <s v="No"/>
    <s v="Electronic check"/>
    <x v="790"/>
    <n v="4834.62"/>
    <s v="Multan"/>
    <s v="No"/>
    <n v="0"/>
    <x v="1"/>
  </r>
  <r>
    <s v="CUST-00831"/>
    <n v="74"/>
    <s v="Yes"/>
    <s v="Yes"/>
    <s v="No"/>
    <n v="67"/>
    <s v="No"/>
    <s v="No phone service"/>
    <s v="Fiber optic"/>
    <x v="2"/>
    <s v="No"/>
    <s v="Electronic check"/>
    <x v="791"/>
    <n v="5645.06"/>
    <s v="Karachi"/>
    <s v="Yes"/>
    <n v="1"/>
    <x v="1"/>
  </r>
  <r>
    <s v="CUST-00832"/>
    <n v="36"/>
    <s v="No"/>
    <s v="No"/>
    <s v="Yes"/>
    <n v="30"/>
    <s v="Yes"/>
    <s v="Yes"/>
    <s v="DSL"/>
    <x v="0"/>
    <s v="Yes"/>
    <s v="Electronic check"/>
    <x v="792"/>
    <n v="2408.98"/>
    <s v="Peshawar"/>
    <s v="No"/>
    <n v="0"/>
    <x v="1"/>
  </r>
  <r>
    <s v="CUST-00833"/>
    <n v="30"/>
    <s v="No"/>
    <s v="Yes"/>
    <s v="No"/>
    <n v="4"/>
    <s v="No"/>
    <s v="No phone service"/>
    <s v="Fiber optic"/>
    <x v="1"/>
    <s v="No"/>
    <s v="Bank Transfer"/>
    <x v="373"/>
    <n v="399.42"/>
    <s v="Lahore"/>
    <s v="Yes"/>
    <n v="1"/>
    <x v="1"/>
  </r>
  <r>
    <s v="CUST-00834"/>
    <n v="63"/>
    <s v="Yes"/>
    <s v="Yes"/>
    <s v="No"/>
    <n v="56"/>
    <s v="Yes"/>
    <s v="No"/>
    <s v="DSL"/>
    <x v="1"/>
    <s v="Yes"/>
    <s v="Mailed check"/>
    <x v="793"/>
    <n v="4158.84"/>
    <s v="Lahore"/>
    <s v="No"/>
    <n v="0"/>
    <x v="1"/>
  </r>
  <r>
    <s v="CUST-00835"/>
    <n v="38"/>
    <s v="No"/>
    <s v="Yes"/>
    <s v="No"/>
    <n v="36"/>
    <s v="Yes"/>
    <s v="No"/>
    <s v="DSL"/>
    <x v="2"/>
    <s v="Yes"/>
    <s v="Credit card"/>
    <x v="794"/>
    <n v="2880.67"/>
    <s v="Peshawar"/>
    <s v="No"/>
    <n v="0"/>
    <x v="1"/>
  </r>
  <r>
    <s v="CUST-00836"/>
    <n v="53"/>
    <s v="No"/>
    <s v="Yes"/>
    <s v="Yes"/>
    <n v="32"/>
    <s v="No"/>
    <s v="No phone service"/>
    <s v="Fiber optic"/>
    <x v="1"/>
    <s v="Yes"/>
    <s v="Bank Transfer"/>
    <x v="795"/>
    <n v="2552.88"/>
    <s v="Multan"/>
    <s v="No"/>
    <n v="0"/>
    <x v="1"/>
  </r>
  <r>
    <s v="CUST-00837"/>
    <n v="49"/>
    <s v="No"/>
    <s v="No"/>
    <s v="Yes"/>
    <n v="26"/>
    <s v="Yes"/>
    <s v="No"/>
    <s v="DSL"/>
    <x v="1"/>
    <s v="Yes"/>
    <s v="Electronic check"/>
    <x v="796"/>
    <n v="1117.6300000000001"/>
    <s v="Karachi"/>
    <s v="No"/>
    <n v="0"/>
    <x v="1"/>
  </r>
  <r>
    <s v="CUST-00838"/>
    <n v="20"/>
    <s v="No"/>
    <s v="No"/>
    <s v="No"/>
    <n v="49"/>
    <s v="Yes"/>
    <s v="No"/>
    <s v="DSL"/>
    <x v="2"/>
    <s v="Yes"/>
    <s v="Mailed check"/>
    <x v="243"/>
    <n v="3770.24"/>
    <s v="Rawalpindi"/>
    <s v="No"/>
    <n v="0"/>
    <x v="1"/>
  </r>
  <r>
    <s v="CUST-00839"/>
    <n v="68"/>
    <s v="Yes"/>
    <s v="No"/>
    <s v="No"/>
    <n v="70"/>
    <s v="Yes"/>
    <s v="Yes"/>
    <s v="DSL"/>
    <x v="1"/>
    <s v="No"/>
    <s v="Credit card"/>
    <x v="797"/>
    <n v="3929.46"/>
    <s v="Karachi"/>
    <s v="No"/>
    <n v="0"/>
    <x v="1"/>
  </r>
  <r>
    <s v="CUST-00840"/>
    <n v="47"/>
    <s v="No"/>
    <s v="No"/>
    <s v="Yes"/>
    <n v="45"/>
    <s v="Yes"/>
    <s v="No"/>
    <s v="DSL"/>
    <x v="2"/>
    <s v="No"/>
    <s v="Bank Transfer"/>
    <x v="798"/>
    <n v="2865.38"/>
    <s v="Karachi"/>
    <s v="Yes"/>
    <n v="1"/>
    <x v="1"/>
  </r>
  <r>
    <s v="CUST-00841"/>
    <n v="74"/>
    <s v="Yes"/>
    <s v="No"/>
    <s v="Yes"/>
    <n v="72"/>
    <s v="No"/>
    <s v="No phone service"/>
    <s v="DSL"/>
    <x v="0"/>
    <s v="No"/>
    <s v="Credit card"/>
    <x v="92"/>
    <n v="4102.47"/>
    <s v="Islamabad"/>
    <s v="No"/>
    <n v="0"/>
    <x v="1"/>
  </r>
  <r>
    <s v="CUST-00842"/>
    <n v="49"/>
    <s v="No"/>
    <s v="Yes"/>
    <s v="No"/>
    <n v="6"/>
    <s v="No"/>
    <s v="No phone service"/>
    <s v="Fiber optic"/>
    <x v="2"/>
    <s v="Yes"/>
    <s v="Credit card"/>
    <x v="799"/>
    <n v="623.29999999999995"/>
    <s v="Faisalabad"/>
    <s v="No"/>
    <n v="0"/>
    <x v="1"/>
  </r>
  <r>
    <s v="CUST-00843"/>
    <n v="39"/>
    <s v="No"/>
    <s v="Yes"/>
    <s v="Yes"/>
    <n v="3"/>
    <s v="Yes"/>
    <s v="No"/>
    <s v="No internet"/>
    <x v="2"/>
    <s v="No"/>
    <s v="Bank Transfer"/>
    <x v="800"/>
    <n v="75.260000000000005"/>
    <s v="Islamabad"/>
    <s v="No"/>
    <n v="0"/>
    <x v="1"/>
  </r>
  <r>
    <s v="CUST-00844"/>
    <n v="52"/>
    <s v="No"/>
    <s v="Yes"/>
    <s v="Yes"/>
    <n v="69"/>
    <s v="Yes"/>
    <s v="Yes"/>
    <s v="Fiber optic"/>
    <x v="2"/>
    <s v="No"/>
    <s v="Electronic check"/>
    <x v="801"/>
    <n v="5729.89"/>
    <s v="Lahore"/>
    <s v="No"/>
    <n v="0"/>
    <x v="1"/>
  </r>
  <r>
    <s v="CUST-00845"/>
    <n v="72"/>
    <s v="Yes"/>
    <s v="Yes"/>
    <s v="Yes"/>
    <n v="65"/>
    <s v="No"/>
    <s v="No phone service"/>
    <s v="Fiber optic"/>
    <x v="2"/>
    <s v="No"/>
    <s v="Electronic check"/>
    <x v="802"/>
    <n v="5470.67"/>
    <s v="Islamabad"/>
    <s v="Yes"/>
    <n v="1"/>
    <x v="1"/>
  </r>
  <r>
    <s v="CUST-00846"/>
    <n v="65"/>
    <s v="Yes"/>
    <s v="Yes"/>
    <s v="No"/>
    <n v="52"/>
    <s v="No"/>
    <s v="No phone service"/>
    <s v="Fiber optic"/>
    <x v="1"/>
    <s v="Yes"/>
    <s v="Electronic check"/>
    <x v="803"/>
    <n v="5691.45"/>
    <s v="Lahore"/>
    <s v="No"/>
    <n v="0"/>
    <x v="1"/>
  </r>
  <r>
    <s v="CUST-00847"/>
    <n v="65"/>
    <s v="Yes"/>
    <s v="Yes"/>
    <s v="Yes"/>
    <n v="51"/>
    <s v="No"/>
    <s v="No phone service"/>
    <s v="Fiber optic"/>
    <x v="0"/>
    <s v="No"/>
    <s v="Credit card"/>
    <x v="804"/>
    <n v="3531.26"/>
    <s v="Islamabad"/>
    <s v="Yes"/>
    <n v="1"/>
    <x v="1"/>
  </r>
  <r>
    <s v="CUST-00848"/>
    <n v="59"/>
    <s v="No"/>
    <s v="No"/>
    <s v="No"/>
    <n v="38"/>
    <s v="Yes"/>
    <s v="No"/>
    <s v="Fiber optic"/>
    <x v="0"/>
    <s v="No"/>
    <s v="Electronic check"/>
    <x v="805"/>
    <n v="3998.48"/>
    <s v="Rawalpindi"/>
    <s v="No"/>
    <n v="0"/>
    <x v="1"/>
  </r>
  <r>
    <s v="CUST-00849"/>
    <n v="64"/>
    <s v="Yes"/>
    <s v="No"/>
    <s v="No"/>
    <n v="70"/>
    <s v="No"/>
    <s v="No phone service"/>
    <s v="DSL"/>
    <x v="2"/>
    <s v="Yes"/>
    <s v="Credit card"/>
    <x v="806"/>
    <n v="3395.71"/>
    <s v="Multan"/>
    <s v="No"/>
    <n v="0"/>
    <x v="1"/>
  </r>
  <r>
    <s v="CUST-00850"/>
    <n v="37"/>
    <s v="No"/>
    <s v="No"/>
    <s v="Yes"/>
    <n v="11"/>
    <s v="Yes"/>
    <s v="Yes"/>
    <s v="Fiber optic"/>
    <x v="1"/>
    <s v="Yes"/>
    <s v="Electronic check"/>
    <x v="807"/>
    <n v="1031.99"/>
    <s v="Peshawar"/>
    <s v="No"/>
    <n v="0"/>
    <x v="1"/>
  </r>
  <r>
    <s v="CUST-00851"/>
    <n v="54"/>
    <s v="No"/>
    <s v="Yes"/>
    <s v="Yes"/>
    <n v="64"/>
    <s v="No"/>
    <s v="No phone service"/>
    <s v="Fiber optic"/>
    <x v="0"/>
    <s v="Yes"/>
    <s v="Electronic check"/>
    <x v="808"/>
    <n v="6764"/>
    <s v="Islamabad"/>
    <s v="No"/>
    <n v="0"/>
    <x v="1"/>
  </r>
  <r>
    <s v="CUST-00852"/>
    <n v="62"/>
    <s v="Yes"/>
    <s v="Yes"/>
    <s v="No"/>
    <n v="70"/>
    <s v="Yes"/>
    <s v="Yes"/>
    <s v="DSL"/>
    <x v="0"/>
    <s v="Yes"/>
    <s v="Mailed check"/>
    <x v="809"/>
    <n v="3789.7"/>
    <s v="Lahore"/>
    <s v="Yes"/>
    <n v="1"/>
    <x v="1"/>
  </r>
  <r>
    <s v="CUST-00853"/>
    <n v="28"/>
    <s v="No"/>
    <s v="Yes"/>
    <s v="Yes"/>
    <n v="26"/>
    <s v="Yes"/>
    <s v="Yes"/>
    <s v="Fiber optic"/>
    <x v="2"/>
    <s v="Yes"/>
    <s v="Bank Transfer"/>
    <x v="810"/>
    <n v="2393.85"/>
    <s v="Rawalpindi"/>
    <s v="No"/>
    <n v="0"/>
    <x v="1"/>
  </r>
  <r>
    <s v="CUST-00854"/>
    <n v="43"/>
    <s v="No"/>
    <s v="Yes"/>
    <s v="No"/>
    <n v="16"/>
    <s v="No"/>
    <s v="No phone service"/>
    <s v="Fiber optic"/>
    <x v="0"/>
    <s v="No"/>
    <s v="Credit card"/>
    <x v="811"/>
    <n v="1587.33"/>
    <s v="Karachi"/>
    <s v="No"/>
    <n v="0"/>
    <x v="1"/>
  </r>
  <r>
    <s v="CUST-00855"/>
    <n v="36"/>
    <s v="No"/>
    <s v="Yes"/>
    <s v="No"/>
    <n v="67"/>
    <s v="No"/>
    <s v="No phone service"/>
    <s v="DSL"/>
    <x v="2"/>
    <s v="No"/>
    <s v="Mailed check"/>
    <x v="812"/>
    <n v="4805.2299999999996"/>
    <s v="Faisalabad"/>
    <s v="Yes"/>
    <n v="1"/>
    <x v="1"/>
  </r>
  <r>
    <s v="CUST-00856"/>
    <n v="63"/>
    <s v="Yes"/>
    <s v="No"/>
    <s v="Yes"/>
    <n v="41"/>
    <s v="Yes"/>
    <s v="No"/>
    <s v="Fiber optic"/>
    <x v="1"/>
    <s v="Yes"/>
    <s v="Electronic check"/>
    <x v="813"/>
    <n v="3330.36"/>
    <s v="Islamabad"/>
    <s v="No"/>
    <n v="0"/>
    <x v="1"/>
  </r>
  <r>
    <s v="CUST-00857"/>
    <n v="24"/>
    <s v="No"/>
    <s v="Yes"/>
    <s v="No"/>
    <n v="21"/>
    <s v="Yes"/>
    <s v="Yes"/>
    <s v="Fiber optic"/>
    <x v="2"/>
    <s v="Yes"/>
    <s v="Electronic check"/>
    <x v="814"/>
    <n v="2434.84"/>
    <s v="Islamabad"/>
    <s v="No"/>
    <n v="0"/>
    <x v="1"/>
  </r>
  <r>
    <s v="CUST-00858"/>
    <n v="41"/>
    <s v="No"/>
    <s v="No"/>
    <s v="No"/>
    <n v="72"/>
    <s v="Yes"/>
    <s v="Yes"/>
    <s v="DSL"/>
    <x v="2"/>
    <s v="Yes"/>
    <s v="Electronic check"/>
    <x v="815"/>
    <n v="3463.86"/>
    <s v="Faisalabad"/>
    <s v="No"/>
    <n v="0"/>
    <x v="1"/>
  </r>
  <r>
    <s v="CUST-00859"/>
    <n v="59"/>
    <s v="No"/>
    <s v="No"/>
    <s v="No"/>
    <n v="36"/>
    <s v="No"/>
    <s v="No phone service"/>
    <s v="No internet"/>
    <x v="2"/>
    <s v="Yes"/>
    <s v="Bank Transfer"/>
    <x v="757"/>
    <n v="1022.59"/>
    <s v="Karachi"/>
    <s v="No"/>
    <n v="0"/>
    <x v="1"/>
  </r>
  <r>
    <s v="CUST-00860"/>
    <n v="27"/>
    <s v="No"/>
    <s v="Yes"/>
    <s v="No"/>
    <n v="1"/>
    <s v="Yes"/>
    <s v="Yes"/>
    <s v="Fiber optic"/>
    <x v="1"/>
    <s v="No"/>
    <s v="Bank Transfer"/>
    <x v="816"/>
    <n v="86.35"/>
    <s v="Faisalabad"/>
    <s v="Yes"/>
    <n v="1"/>
    <x v="1"/>
  </r>
  <r>
    <s v="CUST-00861"/>
    <n v="43"/>
    <s v="No"/>
    <s v="No"/>
    <s v="No"/>
    <n v="61"/>
    <s v="No"/>
    <s v="No phone service"/>
    <s v="Fiber optic"/>
    <x v="2"/>
    <s v="Yes"/>
    <s v="Mailed check"/>
    <x v="817"/>
    <n v="7439.84"/>
    <s v="Peshawar"/>
    <s v="No"/>
    <n v="0"/>
    <x v="1"/>
  </r>
  <r>
    <s v="CUST-00862"/>
    <n v="45"/>
    <s v="No"/>
    <s v="No"/>
    <s v="No"/>
    <n v="33"/>
    <s v="No"/>
    <s v="No phone service"/>
    <s v="DSL"/>
    <x v="0"/>
    <s v="Yes"/>
    <s v="Electronic check"/>
    <x v="818"/>
    <n v="1795.45"/>
    <s v="Multan"/>
    <s v="No"/>
    <n v="0"/>
    <x v="1"/>
  </r>
  <r>
    <s v="CUST-00863"/>
    <n v="45"/>
    <s v="No"/>
    <s v="Yes"/>
    <s v="Yes"/>
    <n v="49"/>
    <s v="Yes"/>
    <s v="Yes"/>
    <s v="Fiber optic"/>
    <x v="2"/>
    <s v="Yes"/>
    <s v="Electronic check"/>
    <x v="819"/>
    <n v="3986.37"/>
    <s v="Islamabad"/>
    <s v="Yes"/>
    <n v="1"/>
    <x v="1"/>
  </r>
  <r>
    <s v="CUST-00864"/>
    <n v="50"/>
    <s v="No"/>
    <s v="Yes"/>
    <s v="No"/>
    <n v="5"/>
    <s v="No"/>
    <s v="No phone service"/>
    <s v="DSL"/>
    <x v="2"/>
    <s v="No"/>
    <s v="Electronic check"/>
    <x v="820"/>
    <n v="213.28"/>
    <s v="Multan"/>
    <s v="Yes"/>
    <n v="1"/>
    <x v="1"/>
  </r>
  <r>
    <s v="CUST-00865"/>
    <n v="48"/>
    <s v="No"/>
    <s v="No"/>
    <s v="No"/>
    <n v="23"/>
    <s v="Yes"/>
    <s v="Yes"/>
    <s v="DSL"/>
    <x v="2"/>
    <s v="Yes"/>
    <s v="Bank Transfer"/>
    <x v="821"/>
    <n v="1128.44"/>
    <s v="Peshawar"/>
    <s v="Yes"/>
    <n v="1"/>
    <x v="1"/>
  </r>
  <r>
    <s v="CUST-00866"/>
    <n v="72"/>
    <s v="Yes"/>
    <s v="Yes"/>
    <s v="Yes"/>
    <n v="57"/>
    <s v="Yes"/>
    <s v="Yes"/>
    <s v="DSL"/>
    <x v="1"/>
    <s v="No"/>
    <s v="Mailed check"/>
    <x v="822"/>
    <n v="2760.14"/>
    <s v="Peshawar"/>
    <s v="Yes"/>
    <n v="1"/>
    <x v="1"/>
  </r>
  <r>
    <s v="CUST-00867"/>
    <n v="61"/>
    <s v="Yes"/>
    <s v="No"/>
    <s v="Yes"/>
    <n v="47"/>
    <s v="No"/>
    <s v="No phone service"/>
    <s v="DSL"/>
    <x v="2"/>
    <s v="Yes"/>
    <s v="Electronic check"/>
    <x v="823"/>
    <n v="3431.63"/>
    <s v="Lahore"/>
    <s v="No"/>
    <n v="0"/>
    <x v="1"/>
  </r>
  <r>
    <s v="CUST-00868"/>
    <n v="29"/>
    <s v="No"/>
    <s v="No"/>
    <s v="Yes"/>
    <n v="36"/>
    <s v="No"/>
    <s v="No phone service"/>
    <s v="DSL"/>
    <x v="2"/>
    <s v="Yes"/>
    <s v="Electronic check"/>
    <x v="824"/>
    <n v="2144.04"/>
    <s v="Peshawar"/>
    <s v="No"/>
    <n v="0"/>
    <x v="1"/>
  </r>
  <r>
    <s v="CUST-00869"/>
    <n v="62"/>
    <s v="Yes"/>
    <s v="Yes"/>
    <s v="No"/>
    <n v="12"/>
    <s v="Yes"/>
    <s v="Yes"/>
    <s v="Fiber optic"/>
    <x v="2"/>
    <s v="No"/>
    <s v="Credit card"/>
    <x v="825"/>
    <n v="1464.91"/>
    <s v="Karachi"/>
    <s v="No"/>
    <n v="0"/>
    <x v="1"/>
  </r>
  <r>
    <s v="CUST-00870"/>
    <n v="58"/>
    <s v="No"/>
    <s v="No"/>
    <s v="No"/>
    <n v="11"/>
    <s v="Yes"/>
    <s v="Yes"/>
    <s v="No internet"/>
    <x v="0"/>
    <s v="Yes"/>
    <s v="Bank Transfer"/>
    <x v="655"/>
    <n v="288.74"/>
    <s v="Islamabad"/>
    <s v="No"/>
    <n v="0"/>
    <x v="1"/>
  </r>
  <r>
    <s v="CUST-00871"/>
    <n v="29"/>
    <s v="No"/>
    <s v="No"/>
    <s v="Yes"/>
    <n v="41"/>
    <s v="Yes"/>
    <s v="Yes"/>
    <s v="Fiber optic"/>
    <x v="2"/>
    <s v="No"/>
    <s v="Electronic check"/>
    <x v="826"/>
    <n v="3586.73"/>
    <s v="Islamabad"/>
    <s v="Yes"/>
    <n v="1"/>
    <x v="1"/>
  </r>
  <r>
    <s v="CUST-00872"/>
    <n v="40"/>
    <s v="No"/>
    <s v="No"/>
    <s v="Yes"/>
    <n v="5"/>
    <s v="No"/>
    <s v="No phone service"/>
    <s v="No internet"/>
    <x v="2"/>
    <s v="Yes"/>
    <s v="Mailed check"/>
    <x v="827"/>
    <n v="118.08"/>
    <s v="Islamabad"/>
    <s v="No"/>
    <n v="0"/>
    <x v="1"/>
  </r>
  <r>
    <s v="CUST-00873"/>
    <n v="31"/>
    <s v="No"/>
    <s v="No"/>
    <s v="No"/>
    <n v="12"/>
    <s v="Yes"/>
    <s v="Yes"/>
    <s v="DSL"/>
    <x v="2"/>
    <s v="Yes"/>
    <s v="Mailed check"/>
    <x v="828"/>
    <n v="739.62"/>
    <s v="Rawalpindi"/>
    <s v="No"/>
    <n v="0"/>
    <x v="1"/>
  </r>
  <r>
    <s v="CUST-00874"/>
    <n v="55"/>
    <s v="No"/>
    <s v="No"/>
    <s v="No"/>
    <n v="49"/>
    <s v="Yes"/>
    <s v="Yes"/>
    <s v="DSL"/>
    <x v="2"/>
    <s v="No"/>
    <s v="Mailed check"/>
    <x v="829"/>
    <n v="1957.05"/>
    <s v="Multan"/>
    <s v="No"/>
    <n v="0"/>
    <x v="1"/>
  </r>
  <r>
    <s v="CUST-00875"/>
    <n v="75"/>
    <s v="Yes"/>
    <s v="Yes"/>
    <s v="Yes"/>
    <n v="46"/>
    <s v="No"/>
    <s v="No phone service"/>
    <s v="Fiber optic"/>
    <x v="2"/>
    <s v="Yes"/>
    <s v="Credit card"/>
    <x v="787"/>
    <n v="4690.26"/>
    <s v="Multan"/>
    <s v="No"/>
    <n v="0"/>
    <x v="1"/>
  </r>
  <r>
    <s v="CUST-00876"/>
    <n v="43"/>
    <s v="No"/>
    <s v="No"/>
    <s v="Yes"/>
    <n v="33"/>
    <s v="No"/>
    <s v="No phone service"/>
    <s v="DSL"/>
    <x v="2"/>
    <s v="No"/>
    <s v="Electronic check"/>
    <x v="830"/>
    <n v="2719.21"/>
    <s v="Faisalabad"/>
    <s v="No"/>
    <n v="0"/>
    <x v="1"/>
  </r>
  <r>
    <s v="CUST-00877"/>
    <n v="24"/>
    <s v="No"/>
    <s v="No"/>
    <s v="No"/>
    <n v="35"/>
    <s v="No"/>
    <s v="No phone service"/>
    <s v="No internet"/>
    <x v="0"/>
    <s v="Yes"/>
    <s v="Credit card"/>
    <x v="831"/>
    <n v="1064.6500000000001"/>
    <s v="Faisalabad"/>
    <s v="No"/>
    <n v="0"/>
    <x v="1"/>
  </r>
  <r>
    <s v="CUST-00878"/>
    <n v="30"/>
    <s v="No"/>
    <s v="Yes"/>
    <s v="Yes"/>
    <n v="43"/>
    <s v="Yes"/>
    <s v="No"/>
    <s v="DSL"/>
    <x v="2"/>
    <s v="Yes"/>
    <s v="Bank Transfer"/>
    <x v="832"/>
    <n v="2408.29"/>
    <s v="Karachi"/>
    <s v="Yes"/>
    <n v="1"/>
    <x v="1"/>
  </r>
  <r>
    <s v="CUST-00879"/>
    <n v="30"/>
    <s v="No"/>
    <s v="Yes"/>
    <s v="No"/>
    <n v="40"/>
    <s v="Yes"/>
    <s v="No"/>
    <s v="Fiber optic"/>
    <x v="2"/>
    <s v="Yes"/>
    <s v="Electronic check"/>
    <x v="833"/>
    <n v="4040.14"/>
    <s v="Karachi"/>
    <s v="Yes"/>
    <n v="1"/>
    <x v="1"/>
  </r>
  <r>
    <s v="CUST-00880"/>
    <n v="40"/>
    <s v="No"/>
    <s v="Yes"/>
    <s v="No"/>
    <n v="71"/>
    <s v="Yes"/>
    <s v="No"/>
    <s v="DSL"/>
    <x v="0"/>
    <s v="No"/>
    <s v="Bank Transfer"/>
    <x v="834"/>
    <n v="4764.08"/>
    <s v="Peshawar"/>
    <s v="Yes"/>
    <n v="1"/>
    <x v="1"/>
  </r>
  <r>
    <s v="CUST-00881"/>
    <n v="26"/>
    <s v="No"/>
    <s v="No"/>
    <s v="No"/>
    <n v="37"/>
    <s v="No"/>
    <s v="No phone service"/>
    <s v="No internet"/>
    <x v="0"/>
    <s v="Yes"/>
    <s v="Electronic check"/>
    <x v="835"/>
    <n v="1017.85"/>
    <s v="Faisalabad"/>
    <s v="Yes"/>
    <n v="1"/>
    <x v="1"/>
  </r>
  <r>
    <s v="CUST-00882"/>
    <n v="29"/>
    <s v="No"/>
    <s v="Yes"/>
    <s v="No"/>
    <n v="47"/>
    <s v="Yes"/>
    <s v="No"/>
    <s v="Fiber optic"/>
    <x v="0"/>
    <s v="Yes"/>
    <s v="Bank Transfer"/>
    <x v="836"/>
    <n v="3478.97"/>
    <s v="Rawalpindi"/>
    <s v="Yes"/>
    <n v="1"/>
    <x v="1"/>
  </r>
  <r>
    <s v="CUST-00883"/>
    <n v="23"/>
    <s v="No"/>
    <s v="No"/>
    <s v="No"/>
    <n v="24"/>
    <s v="No"/>
    <s v="No phone service"/>
    <s v="Fiber optic"/>
    <x v="2"/>
    <s v="No"/>
    <s v="Electronic check"/>
    <x v="837"/>
    <n v="2803.74"/>
    <s v="Multan"/>
    <s v="Yes"/>
    <n v="1"/>
    <x v="1"/>
  </r>
  <r>
    <s v="CUST-00884"/>
    <n v="51"/>
    <s v="No"/>
    <s v="Yes"/>
    <s v="No"/>
    <n v="11"/>
    <s v="Yes"/>
    <s v="No"/>
    <s v="Fiber optic"/>
    <x v="2"/>
    <s v="Yes"/>
    <s v="Electronic check"/>
    <x v="838"/>
    <n v="841.54"/>
    <s v="Lahore"/>
    <s v="No"/>
    <n v="0"/>
    <x v="1"/>
  </r>
  <r>
    <s v="CUST-00885"/>
    <n v="49"/>
    <s v="No"/>
    <s v="No"/>
    <s v="No"/>
    <n v="7"/>
    <s v="No"/>
    <s v="No phone service"/>
    <s v="Fiber optic"/>
    <x v="0"/>
    <s v="Yes"/>
    <s v="Bank Transfer"/>
    <x v="480"/>
    <n v="766.24"/>
    <s v="Rawalpindi"/>
    <s v="No"/>
    <n v="0"/>
    <x v="1"/>
  </r>
  <r>
    <s v="CUST-00886"/>
    <n v="63"/>
    <s v="Yes"/>
    <s v="No"/>
    <s v="No"/>
    <n v="15"/>
    <s v="No"/>
    <s v="No phone service"/>
    <s v="DSL"/>
    <x v="2"/>
    <s v="No"/>
    <s v="Mailed check"/>
    <x v="839"/>
    <n v="609.66"/>
    <s v="Multan"/>
    <s v="No"/>
    <n v="0"/>
    <x v="1"/>
  </r>
  <r>
    <s v="CUST-00887"/>
    <n v="55"/>
    <s v="No"/>
    <s v="No"/>
    <s v="Yes"/>
    <n v="66"/>
    <s v="No"/>
    <s v="No phone service"/>
    <s v="No internet"/>
    <x v="2"/>
    <s v="No"/>
    <s v="Electronic check"/>
    <x v="840"/>
    <n v="1282.76"/>
    <s v="Faisalabad"/>
    <s v="No"/>
    <n v="0"/>
    <x v="1"/>
  </r>
  <r>
    <s v="CUST-00888"/>
    <n v="61"/>
    <s v="Yes"/>
    <s v="No"/>
    <s v="No"/>
    <n v="55"/>
    <s v="No"/>
    <s v="No phone service"/>
    <s v="Fiber optic"/>
    <x v="0"/>
    <s v="Yes"/>
    <s v="Credit card"/>
    <x v="841"/>
    <n v="4267.1400000000003"/>
    <s v="Islamabad"/>
    <s v="Yes"/>
    <n v="1"/>
    <x v="1"/>
  </r>
  <r>
    <s v="CUST-00889"/>
    <n v="37"/>
    <s v="No"/>
    <s v="Yes"/>
    <s v="Yes"/>
    <n v="46"/>
    <s v="No"/>
    <s v="No phone service"/>
    <s v="DSL"/>
    <x v="2"/>
    <s v="Yes"/>
    <s v="Credit card"/>
    <x v="842"/>
    <n v="1983.49"/>
    <s v="Islamabad"/>
    <s v="No"/>
    <n v="0"/>
    <x v="1"/>
  </r>
  <r>
    <s v="CUST-00890"/>
    <n v="40"/>
    <s v="No"/>
    <s v="No"/>
    <s v="Yes"/>
    <n v="68"/>
    <s v="Yes"/>
    <s v="Yes"/>
    <s v="DSL"/>
    <x v="2"/>
    <s v="Yes"/>
    <s v="Bank Transfer"/>
    <x v="843"/>
    <n v="4864.41"/>
    <s v="Faisalabad"/>
    <s v="Yes"/>
    <n v="1"/>
    <x v="1"/>
  </r>
  <r>
    <s v="CUST-00891"/>
    <n v="64"/>
    <s v="Yes"/>
    <s v="Yes"/>
    <s v="No"/>
    <n v="39"/>
    <s v="Yes"/>
    <s v="Yes"/>
    <s v="Fiber optic"/>
    <x v="0"/>
    <s v="Yes"/>
    <s v="Bank Transfer"/>
    <x v="844"/>
    <n v="3410.57"/>
    <s v="Islamabad"/>
    <s v="Yes"/>
    <n v="1"/>
    <x v="1"/>
  </r>
  <r>
    <s v="CUST-00892"/>
    <n v="37"/>
    <s v="No"/>
    <s v="Yes"/>
    <s v="Yes"/>
    <n v="48"/>
    <s v="Yes"/>
    <s v="No"/>
    <s v="DSL"/>
    <x v="2"/>
    <s v="Yes"/>
    <s v="Electronic check"/>
    <x v="845"/>
    <n v="3249.57"/>
    <s v="Multan"/>
    <s v="No"/>
    <n v="0"/>
    <x v="1"/>
  </r>
  <r>
    <s v="CUST-00893"/>
    <n v="36"/>
    <s v="No"/>
    <s v="No"/>
    <s v="Yes"/>
    <n v="53"/>
    <s v="No"/>
    <s v="No phone service"/>
    <s v="Fiber optic"/>
    <x v="0"/>
    <s v="No"/>
    <s v="Electronic check"/>
    <x v="846"/>
    <n v="5599.87"/>
    <s v="Karachi"/>
    <s v="Yes"/>
    <n v="1"/>
    <x v="1"/>
  </r>
  <r>
    <s v="CUST-00894"/>
    <n v="32"/>
    <s v="No"/>
    <s v="Yes"/>
    <s v="No"/>
    <n v="29"/>
    <s v="No"/>
    <s v="No phone service"/>
    <s v="Fiber optic"/>
    <x v="0"/>
    <s v="No"/>
    <s v="Credit card"/>
    <x v="847"/>
    <n v="2889.83"/>
    <s v="Faisalabad"/>
    <s v="No"/>
    <n v="0"/>
    <x v="1"/>
  </r>
  <r>
    <s v="CUST-00895"/>
    <n v="18"/>
    <s v="No"/>
    <s v="No"/>
    <s v="No"/>
    <n v="41"/>
    <s v="No"/>
    <s v="No phone service"/>
    <s v="Fiber optic"/>
    <x v="2"/>
    <s v="No"/>
    <s v="Electronic check"/>
    <x v="848"/>
    <n v="4389.76"/>
    <s v="Lahore"/>
    <s v="Yes"/>
    <n v="1"/>
    <x v="1"/>
  </r>
  <r>
    <s v="CUST-00896"/>
    <n v="60"/>
    <s v="Yes"/>
    <s v="Yes"/>
    <s v="No"/>
    <n v="72"/>
    <s v="Yes"/>
    <s v="Yes"/>
    <s v="No internet"/>
    <x v="1"/>
    <s v="No"/>
    <s v="Electronic check"/>
    <x v="849"/>
    <n v="1933.4"/>
    <s v="Karachi"/>
    <s v="No"/>
    <n v="0"/>
    <x v="1"/>
  </r>
  <r>
    <s v="CUST-00897"/>
    <n v="57"/>
    <s v="No"/>
    <s v="Yes"/>
    <s v="No"/>
    <n v="56"/>
    <s v="Yes"/>
    <s v="No"/>
    <s v="Fiber optic"/>
    <x v="2"/>
    <s v="No"/>
    <s v="Mailed check"/>
    <x v="850"/>
    <n v="4992.9799999999996"/>
    <s v="Peshawar"/>
    <s v="Yes"/>
    <n v="1"/>
    <x v="1"/>
  </r>
  <r>
    <s v="CUST-00898"/>
    <n v="25"/>
    <s v="No"/>
    <s v="Yes"/>
    <s v="No"/>
    <n v="28"/>
    <s v="Yes"/>
    <s v="No"/>
    <s v="Fiber optic"/>
    <x v="2"/>
    <s v="Yes"/>
    <s v="Bank Transfer"/>
    <x v="851"/>
    <n v="3530"/>
    <s v="Islamabad"/>
    <s v="No"/>
    <n v="0"/>
    <x v="1"/>
  </r>
  <r>
    <s v="CUST-00899"/>
    <n v="66"/>
    <s v="Yes"/>
    <s v="Yes"/>
    <s v="No"/>
    <n v="36"/>
    <s v="No"/>
    <s v="No phone service"/>
    <s v="Fiber optic"/>
    <x v="0"/>
    <s v="No"/>
    <s v="Credit card"/>
    <x v="852"/>
    <n v="3363.92"/>
    <s v="Peshawar"/>
    <s v="No"/>
    <n v="0"/>
    <x v="1"/>
  </r>
  <r>
    <s v="CUST-00900"/>
    <n v="47"/>
    <s v="No"/>
    <s v="No"/>
    <s v="No"/>
    <n v="21"/>
    <s v="Yes"/>
    <s v="No"/>
    <s v="No internet"/>
    <x v="2"/>
    <s v="No"/>
    <s v="Bank Transfer"/>
    <x v="33"/>
    <n v="555.22"/>
    <s v="Faisalabad"/>
    <s v="Yes"/>
    <n v="1"/>
    <x v="1"/>
  </r>
  <r>
    <s v="CUST-00901"/>
    <n v="59"/>
    <s v="No"/>
    <s v="No"/>
    <s v="No"/>
    <n v="53"/>
    <s v="Yes"/>
    <s v="No"/>
    <s v="Fiber optic"/>
    <x v="2"/>
    <s v="Yes"/>
    <s v="Credit card"/>
    <x v="853"/>
    <n v="5952.39"/>
    <s v="Karachi"/>
    <s v="Yes"/>
    <n v="1"/>
    <x v="1"/>
  </r>
  <r>
    <s v="CUST-00902"/>
    <n v="28"/>
    <s v="No"/>
    <s v="No"/>
    <s v="Yes"/>
    <n v="48"/>
    <s v="No"/>
    <s v="No phone service"/>
    <s v="Fiber optic"/>
    <x v="0"/>
    <s v="Yes"/>
    <s v="Mailed check"/>
    <x v="854"/>
    <n v="3688.48"/>
    <s v="Karachi"/>
    <s v="No"/>
    <n v="0"/>
    <x v="1"/>
  </r>
  <r>
    <s v="CUST-00903"/>
    <n v="48"/>
    <s v="No"/>
    <s v="Yes"/>
    <s v="No"/>
    <n v="17"/>
    <s v="Yes"/>
    <s v="Yes"/>
    <s v="Fiber optic"/>
    <x v="2"/>
    <s v="Yes"/>
    <s v="Bank Transfer"/>
    <x v="855"/>
    <n v="1518.52"/>
    <s v="Rawalpindi"/>
    <s v="Yes"/>
    <n v="1"/>
    <x v="1"/>
  </r>
  <r>
    <s v="CUST-00904"/>
    <n v="50"/>
    <s v="No"/>
    <s v="Yes"/>
    <s v="No"/>
    <n v="21"/>
    <s v="Yes"/>
    <s v="Yes"/>
    <s v="Fiber optic"/>
    <x v="2"/>
    <s v="No"/>
    <s v="Mailed check"/>
    <x v="856"/>
    <n v="2624.7"/>
    <s v="Rawalpindi"/>
    <s v="Yes"/>
    <n v="1"/>
    <x v="1"/>
  </r>
  <r>
    <s v="CUST-00905"/>
    <n v="34"/>
    <s v="No"/>
    <s v="Yes"/>
    <s v="Yes"/>
    <n v="57"/>
    <s v="Yes"/>
    <s v="Yes"/>
    <s v="DSL"/>
    <x v="2"/>
    <s v="Yes"/>
    <s v="Credit card"/>
    <x v="857"/>
    <n v="3919.05"/>
    <s v="Rawalpindi"/>
    <s v="No"/>
    <n v="0"/>
    <x v="1"/>
  </r>
  <r>
    <s v="CUST-00906"/>
    <n v="68"/>
    <s v="Yes"/>
    <s v="Yes"/>
    <s v="Yes"/>
    <n v="19"/>
    <s v="Yes"/>
    <s v="No"/>
    <s v="No internet"/>
    <x v="2"/>
    <s v="No"/>
    <s v="Electronic check"/>
    <x v="858"/>
    <n v="396.65"/>
    <s v="Islamabad"/>
    <s v="Yes"/>
    <n v="1"/>
    <x v="1"/>
  </r>
  <r>
    <s v="CUST-00907"/>
    <n v="59"/>
    <s v="No"/>
    <s v="Yes"/>
    <s v="No"/>
    <n v="63"/>
    <s v="No"/>
    <s v="No phone service"/>
    <s v="DSL"/>
    <x v="2"/>
    <s v="No"/>
    <s v="Electronic check"/>
    <x v="859"/>
    <n v="3549.08"/>
    <s v="Lahore"/>
    <s v="Yes"/>
    <n v="1"/>
    <x v="1"/>
  </r>
  <r>
    <s v="CUST-00908"/>
    <n v="66"/>
    <s v="Yes"/>
    <s v="Yes"/>
    <s v="Yes"/>
    <n v="67"/>
    <s v="Yes"/>
    <s v="No"/>
    <s v="Fiber optic"/>
    <x v="0"/>
    <s v="No"/>
    <s v="Electronic check"/>
    <x v="860"/>
    <n v="7145.46"/>
    <s v="Multan"/>
    <s v="Yes"/>
    <n v="1"/>
    <x v="1"/>
  </r>
  <r>
    <s v="CUST-00909"/>
    <n v="46"/>
    <s v="No"/>
    <s v="No"/>
    <s v="Yes"/>
    <n v="17"/>
    <s v="No"/>
    <s v="No phone service"/>
    <s v="Fiber optic"/>
    <x v="1"/>
    <s v="No"/>
    <s v="Bank Transfer"/>
    <x v="861"/>
    <n v="1171.8"/>
    <s v="Faisalabad"/>
    <s v="No"/>
    <n v="0"/>
    <x v="1"/>
  </r>
  <r>
    <s v="CUST-00910"/>
    <n v="18"/>
    <s v="No"/>
    <s v="No"/>
    <s v="No"/>
    <n v="66"/>
    <s v="No"/>
    <s v="No phone service"/>
    <s v="DSL"/>
    <x v="2"/>
    <s v="Yes"/>
    <s v="Mailed check"/>
    <x v="662"/>
    <n v="4384.87"/>
    <s v="Faisalabad"/>
    <s v="No"/>
    <n v="0"/>
    <x v="1"/>
  </r>
  <r>
    <s v="CUST-00911"/>
    <n v="41"/>
    <s v="No"/>
    <s v="No"/>
    <s v="No"/>
    <n v="22"/>
    <s v="No"/>
    <s v="No phone service"/>
    <s v="No internet"/>
    <x v="2"/>
    <s v="No"/>
    <s v="Electronic check"/>
    <x v="862"/>
    <n v="633.70000000000005"/>
    <s v="Karachi"/>
    <s v="Yes"/>
    <n v="1"/>
    <x v="1"/>
  </r>
  <r>
    <s v="CUST-00912"/>
    <n v="27"/>
    <s v="No"/>
    <s v="No"/>
    <s v="Yes"/>
    <n v="26"/>
    <s v="No"/>
    <s v="No phone service"/>
    <s v="Fiber optic"/>
    <x v="0"/>
    <s v="Yes"/>
    <s v="Bank Transfer"/>
    <x v="863"/>
    <n v="3018.72"/>
    <s v="Karachi"/>
    <s v="No"/>
    <n v="0"/>
    <x v="1"/>
  </r>
  <r>
    <s v="CUST-00913"/>
    <n v="65"/>
    <s v="Yes"/>
    <s v="Yes"/>
    <s v="No"/>
    <n v="5"/>
    <s v="Yes"/>
    <s v="No"/>
    <s v="Fiber optic"/>
    <x v="2"/>
    <s v="No"/>
    <s v="Credit card"/>
    <x v="864"/>
    <n v="497.7"/>
    <s v="Peshawar"/>
    <s v="No"/>
    <n v="0"/>
    <x v="1"/>
  </r>
  <r>
    <s v="CUST-00914"/>
    <n v="21"/>
    <s v="No"/>
    <s v="No"/>
    <s v="Yes"/>
    <n v="32"/>
    <s v="Yes"/>
    <s v="No"/>
    <s v="Fiber optic"/>
    <x v="0"/>
    <s v="Yes"/>
    <s v="Electronic check"/>
    <x v="865"/>
    <n v="3256.7"/>
    <s v="Islamabad"/>
    <s v="No"/>
    <n v="0"/>
    <x v="1"/>
  </r>
  <r>
    <s v="CUST-00915"/>
    <n v="53"/>
    <s v="No"/>
    <s v="No"/>
    <s v="Yes"/>
    <n v="25"/>
    <s v="Yes"/>
    <s v="No"/>
    <s v="DSL"/>
    <x v="2"/>
    <s v="No"/>
    <s v="Electronic check"/>
    <x v="866"/>
    <n v="1240.1199999999999"/>
    <s v="Rawalpindi"/>
    <s v="No"/>
    <n v="0"/>
    <x v="1"/>
  </r>
  <r>
    <s v="CUST-00916"/>
    <n v="24"/>
    <s v="No"/>
    <s v="Yes"/>
    <s v="No"/>
    <n v="10"/>
    <s v="Yes"/>
    <s v="No"/>
    <s v="Fiber optic"/>
    <x v="2"/>
    <s v="Yes"/>
    <s v="Credit card"/>
    <x v="867"/>
    <n v="806.26"/>
    <s v="Faisalabad"/>
    <s v="No"/>
    <n v="0"/>
    <x v="1"/>
  </r>
  <r>
    <s v="CUST-00917"/>
    <n v="45"/>
    <s v="No"/>
    <s v="Yes"/>
    <s v="No"/>
    <n v="25"/>
    <s v="No"/>
    <s v="No phone service"/>
    <s v="DSL"/>
    <x v="1"/>
    <s v="No"/>
    <s v="Bank Transfer"/>
    <x v="868"/>
    <n v="1599.83"/>
    <s v="Faisalabad"/>
    <s v="No"/>
    <n v="0"/>
    <x v="1"/>
  </r>
  <r>
    <s v="CUST-00918"/>
    <n v="48"/>
    <s v="No"/>
    <s v="No"/>
    <s v="No"/>
    <n v="34"/>
    <s v="Yes"/>
    <s v="Yes"/>
    <s v="No internet"/>
    <x v="0"/>
    <s v="No"/>
    <s v="Bank Transfer"/>
    <x v="869"/>
    <n v="677.81"/>
    <s v="Lahore"/>
    <s v="No"/>
    <n v="0"/>
    <x v="1"/>
  </r>
  <r>
    <s v="CUST-00919"/>
    <n v="38"/>
    <s v="No"/>
    <s v="No"/>
    <s v="No"/>
    <n v="21"/>
    <s v="No"/>
    <s v="No phone service"/>
    <s v="Fiber optic"/>
    <x v="0"/>
    <s v="Yes"/>
    <s v="Mailed check"/>
    <x v="870"/>
    <n v="1967.38"/>
    <s v="Karachi"/>
    <s v="No"/>
    <n v="0"/>
    <x v="1"/>
  </r>
  <r>
    <s v="CUST-00920"/>
    <n v="30"/>
    <s v="No"/>
    <s v="Yes"/>
    <s v="Yes"/>
    <n v="28"/>
    <s v="No"/>
    <s v="No phone service"/>
    <s v="Fiber optic"/>
    <x v="2"/>
    <s v="No"/>
    <s v="Electronic check"/>
    <x v="871"/>
    <n v="2411.2800000000002"/>
    <s v="Karachi"/>
    <s v="No"/>
    <n v="0"/>
    <x v="1"/>
  </r>
  <r>
    <s v="CUST-00921"/>
    <n v="38"/>
    <s v="No"/>
    <s v="Yes"/>
    <s v="Yes"/>
    <n v="51"/>
    <s v="Yes"/>
    <s v="No"/>
    <s v="DSL"/>
    <x v="2"/>
    <s v="No"/>
    <s v="Bank Transfer"/>
    <x v="872"/>
    <n v="3771.55"/>
    <s v="Islamabad"/>
    <s v="Yes"/>
    <n v="1"/>
    <x v="1"/>
  </r>
  <r>
    <s v="CUST-00922"/>
    <n v="48"/>
    <s v="No"/>
    <s v="No"/>
    <s v="No"/>
    <n v="19"/>
    <s v="No"/>
    <s v="No phone service"/>
    <s v="Fiber optic"/>
    <x v="1"/>
    <s v="No"/>
    <s v="Credit card"/>
    <x v="873"/>
    <n v="1711.79"/>
    <s v="Peshawar"/>
    <s v="No"/>
    <n v="0"/>
    <x v="1"/>
  </r>
  <r>
    <s v="CUST-00923"/>
    <n v="43"/>
    <s v="No"/>
    <s v="Yes"/>
    <s v="No"/>
    <n v="46"/>
    <s v="Yes"/>
    <s v="No"/>
    <s v="DSL"/>
    <x v="0"/>
    <s v="Yes"/>
    <s v="Bank Transfer"/>
    <x v="874"/>
    <n v="2255.16"/>
    <s v="Peshawar"/>
    <s v="No"/>
    <n v="0"/>
    <x v="1"/>
  </r>
  <r>
    <s v="CUST-00924"/>
    <n v="41"/>
    <s v="No"/>
    <s v="Yes"/>
    <s v="No"/>
    <n v="55"/>
    <s v="No"/>
    <s v="No phone service"/>
    <s v="DSL"/>
    <x v="0"/>
    <s v="Yes"/>
    <s v="Bank Transfer"/>
    <x v="875"/>
    <n v="3532.92"/>
    <s v="Lahore"/>
    <s v="No"/>
    <n v="0"/>
    <x v="1"/>
  </r>
  <r>
    <s v="CUST-00925"/>
    <n v="33"/>
    <s v="No"/>
    <s v="Yes"/>
    <s v="No"/>
    <n v="62"/>
    <s v="No"/>
    <s v="No phone service"/>
    <s v="No internet"/>
    <x v="1"/>
    <s v="Yes"/>
    <s v="Bank Transfer"/>
    <x v="876"/>
    <n v="1483.73"/>
    <s v="Karachi"/>
    <s v="No"/>
    <n v="0"/>
    <x v="1"/>
  </r>
  <r>
    <s v="CUST-00926"/>
    <n v="35"/>
    <s v="No"/>
    <s v="No"/>
    <s v="Yes"/>
    <n v="13"/>
    <s v="No"/>
    <s v="No phone service"/>
    <s v="Fiber optic"/>
    <x v="2"/>
    <s v="No"/>
    <s v="Credit card"/>
    <x v="877"/>
    <n v="1091.03"/>
    <s v="Lahore"/>
    <s v="No"/>
    <n v="0"/>
    <x v="1"/>
  </r>
  <r>
    <s v="CUST-00927"/>
    <n v="38"/>
    <s v="No"/>
    <s v="No"/>
    <s v="Yes"/>
    <n v="20"/>
    <s v="Yes"/>
    <s v="No"/>
    <s v="DSL"/>
    <x v="2"/>
    <s v="No"/>
    <s v="Credit card"/>
    <x v="878"/>
    <n v="1369.71"/>
    <s v="Islamabad"/>
    <s v="No"/>
    <n v="0"/>
    <x v="1"/>
  </r>
  <r>
    <s v="CUST-00928"/>
    <n v="62"/>
    <s v="Yes"/>
    <s v="Yes"/>
    <s v="Yes"/>
    <n v="9"/>
    <s v="No"/>
    <s v="No phone service"/>
    <s v="No internet"/>
    <x v="1"/>
    <s v="No"/>
    <s v="Mailed check"/>
    <x v="879"/>
    <n v="219.85"/>
    <s v="Rawalpindi"/>
    <s v="Yes"/>
    <n v="1"/>
    <x v="1"/>
  </r>
  <r>
    <s v="CUST-00929"/>
    <n v="32"/>
    <s v="No"/>
    <s v="No"/>
    <s v="No"/>
    <n v="43"/>
    <s v="No"/>
    <s v="No phone service"/>
    <s v="Fiber optic"/>
    <x v="2"/>
    <s v="Yes"/>
    <s v="Electronic check"/>
    <x v="880"/>
    <n v="4352.4399999999996"/>
    <s v="Peshawar"/>
    <s v="No"/>
    <n v="0"/>
    <x v="1"/>
  </r>
  <r>
    <s v="CUST-00930"/>
    <n v="21"/>
    <s v="No"/>
    <s v="Yes"/>
    <s v="No"/>
    <n v="3"/>
    <s v="Yes"/>
    <s v="No"/>
    <s v="DSL"/>
    <x v="1"/>
    <s v="No"/>
    <s v="Bank Transfer"/>
    <x v="881"/>
    <n v="180.65"/>
    <s v="Multan"/>
    <s v="No"/>
    <n v="0"/>
    <x v="1"/>
  </r>
  <r>
    <s v="CUST-00931"/>
    <n v="22"/>
    <s v="No"/>
    <s v="Yes"/>
    <s v="Yes"/>
    <n v="69"/>
    <s v="Yes"/>
    <s v="No"/>
    <s v="Fiber optic"/>
    <x v="2"/>
    <s v="Yes"/>
    <s v="Bank Transfer"/>
    <x v="882"/>
    <n v="7414.88"/>
    <s v="Rawalpindi"/>
    <s v="Yes"/>
    <n v="1"/>
    <x v="1"/>
  </r>
  <r>
    <s v="CUST-00932"/>
    <n v="74"/>
    <s v="Yes"/>
    <s v="Yes"/>
    <s v="No"/>
    <n v="10"/>
    <s v="No"/>
    <s v="No phone service"/>
    <s v="Fiber optic"/>
    <x v="2"/>
    <s v="No"/>
    <s v="Mailed check"/>
    <x v="883"/>
    <n v="878.41"/>
    <s v="Rawalpindi"/>
    <s v="No"/>
    <n v="0"/>
    <x v="1"/>
  </r>
  <r>
    <s v="CUST-00933"/>
    <n v="19"/>
    <s v="No"/>
    <s v="Yes"/>
    <s v="Yes"/>
    <n v="42"/>
    <s v="No"/>
    <s v="No phone service"/>
    <s v="Fiber optic"/>
    <x v="1"/>
    <s v="No"/>
    <s v="Credit card"/>
    <x v="884"/>
    <n v="4157.4799999999996"/>
    <s v="Islamabad"/>
    <s v="No"/>
    <n v="0"/>
    <x v="1"/>
  </r>
  <r>
    <s v="CUST-00934"/>
    <n v="75"/>
    <s v="Yes"/>
    <s v="Yes"/>
    <s v="Yes"/>
    <n v="19"/>
    <s v="Yes"/>
    <s v="Yes"/>
    <s v="Fiber optic"/>
    <x v="2"/>
    <s v="Yes"/>
    <s v="Bank Transfer"/>
    <x v="885"/>
    <n v="1943.55"/>
    <s v="Islamabad"/>
    <s v="Yes"/>
    <n v="1"/>
    <x v="1"/>
  </r>
  <r>
    <s v="CUST-00935"/>
    <n v="32"/>
    <s v="No"/>
    <s v="Yes"/>
    <s v="Yes"/>
    <n v="39"/>
    <s v="No"/>
    <s v="No phone service"/>
    <s v="Fiber optic"/>
    <x v="2"/>
    <s v="Yes"/>
    <s v="Bank Transfer"/>
    <x v="886"/>
    <n v="2909.16"/>
    <s v="Lahore"/>
    <s v="No"/>
    <n v="0"/>
    <x v="1"/>
  </r>
  <r>
    <s v="CUST-00936"/>
    <n v="71"/>
    <s v="Yes"/>
    <s v="No"/>
    <s v="Yes"/>
    <n v="57"/>
    <s v="Yes"/>
    <s v="No"/>
    <s v="No internet"/>
    <x v="2"/>
    <s v="No"/>
    <s v="Electronic check"/>
    <x v="887"/>
    <n v="1570.07"/>
    <s v="Karachi"/>
    <s v="Yes"/>
    <n v="1"/>
    <x v="1"/>
  </r>
  <r>
    <s v="CUST-00937"/>
    <n v="50"/>
    <s v="No"/>
    <s v="Yes"/>
    <s v="Yes"/>
    <n v="27"/>
    <s v="No"/>
    <s v="No phone service"/>
    <s v="Fiber optic"/>
    <x v="0"/>
    <s v="No"/>
    <s v="Bank Transfer"/>
    <x v="888"/>
    <n v="2231.7399999999998"/>
    <s v="Peshawar"/>
    <s v="No"/>
    <n v="0"/>
    <x v="1"/>
  </r>
  <r>
    <s v="CUST-00938"/>
    <n v="50"/>
    <s v="No"/>
    <s v="No"/>
    <s v="No"/>
    <n v="33"/>
    <s v="No"/>
    <s v="No phone service"/>
    <s v="DSL"/>
    <x v="2"/>
    <s v="No"/>
    <s v="Bank Transfer"/>
    <x v="889"/>
    <n v="1927.62"/>
    <s v="Islamabad"/>
    <s v="No"/>
    <n v="0"/>
    <x v="1"/>
  </r>
  <r>
    <s v="CUST-00939"/>
    <n v="71"/>
    <s v="Yes"/>
    <s v="Yes"/>
    <s v="No"/>
    <n v="39"/>
    <s v="Yes"/>
    <s v="No"/>
    <s v="Fiber optic"/>
    <x v="1"/>
    <s v="No"/>
    <s v="Electronic check"/>
    <x v="890"/>
    <n v="4737.2299999999996"/>
    <s v="Lahore"/>
    <s v="No"/>
    <n v="0"/>
    <x v="1"/>
  </r>
  <r>
    <s v="CUST-00940"/>
    <n v="27"/>
    <s v="No"/>
    <s v="Yes"/>
    <s v="Yes"/>
    <n v="2"/>
    <s v="Yes"/>
    <s v="Yes"/>
    <s v="Fiber optic"/>
    <x v="2"/>
    <s v="Yes"/>
    <s v="Electronic check"/>
    <x v="480"/>
    <n v="229.92"/>
    <s v="Islamabad"/>
    <s v="Yes"/>
    <n v="1"/>
    <x v="1"/>
  </r>
  <r>
    <s v="CUST-00941"/>
    <n v="57"/>
    <s v="No"/>
    <s v="No"/>
    <s v="Yes"/>
    <n v="54"/>
    <s v="Yes"/>
    <s v="No"/>
    <s v="Fiber optic"/>
    <x v="1"/>
    <s v="Yes"/>
    <s v="Credit card"/>
    <x v="891"/>
    <n v="6493.36"/>
    <s v="Karachi"/>
    <s v="Yes"/>
    <n v="1"/>
    <x v="1"/>
  </r>
  <r>
    <s v="CUST-00942"/>
    <n v="37"/>
    <s v="No"/>
    <s v="No"/>
    <s v="No"/>
    <n v="34"/>
    <s v="Yes"/>
    <s v="No"/>
    <s v="DSL"/>
    <x v="2"/>
    <s v="No"/>
    <s v="Electronic check"/>
    <x v="892"/>
    <n v="2672.27"/>
    <s v="Rawalpindi"/>
    <s v="Yes"/>
    <n v="1"/>
    <x v="1"/>
  </r>
  <r>
    <s v="CUST-00943"/>
    <n v="66"/>
    <s v="Yes"/>
    <s v="Yes"/>
    <s v="Yes"/>
    <n v="13"/>
    <s v="Yes"/>
    <s v="Yes"/>
    <s v="Fiber optic"/>
    <x v="1"/>
    <s v="Yes"/>
    <s v="Mailed check"/>
    <x v="893"/>
    <n v="1199.51"/>
    <s v="Rawalpindi"/>
    <s v="No"/>
    <n v="0"/>
    <x v="1"/>
  </r>
  <r>
    <s v="CUST-00944"/>
    <n v="26"/>
    <s v="No"/>
    <s v="Yes"/>
    <s v="No"/>
    <n v="61"/>
    <s v="No"/>
    <s v="No phone service"/>
    <s v="DSL"/>
    <x v="2"/>
    <s v="No"/>
    <s v="Mailed check"/>
    <x v="894"/>
    <n v="3873.97"/>
    <s v="Peshawar"/>
    <s v="No"/>
    <n v="0"/>
    <x v="1"/>
  </r>
  <r>
    <s v="CUST-00945"/>
    <n v="72"/>
    <s v="Yes"/>
    <s v="Yes"/>
    <s v="Yes"/>
    <n v="29"/>
    <s v="Yes"/>
    <s v="Yes"/>
    <s v="DSL"/>
    <x v="2"/>
    <s v="Yes"/>
    <s v="Bank Transfer"/>
    <x v="895"/>
    <n v="1507.94"/>
    <s v="Islamabad"/>
    <s v="Yes"/>
    <n v="1"/>
    <x v="1"/>
  </r>
  <r>
    <s v="CUST-00946"/>
    <n v="29"/>
    <s v="No"/>
    <s v="No"/>
    <s v="No"/>
    <n v="60"/>
    <s v="No"/>
    <s v="No phone service"/>
    <s v="DSL"/>
    <x v="0"/>
    <s v="Yes"/>
    <s v="Electronic check"/>
    <x v="896"/>
    <n v="3158.93"/>
    <s v="Peshawar"/>
    <s v="No"/>
    <n v="0"/>
    <x v="1"/>
  </r>
  <r>
    <s v="CUST-00947"/>
    <n v="20"/>
    <s v="No"/>
    <s v="No"/>
    <s v="Yes"/>
    <n v="26"/>
    <s v="Yes"/>
    <s v="Yes"/>
    <s v="No internet"/>
    <x v="2"/>
    <s v="Yes"/>
    <s v="Electronic check"/>
    <x v="897"/>
    <n v="573.54"/>
    <s v="Islamabad"/>
    <s v="No"/>
    <n v="0"/>
    <x v="1"/>
  </r>
  <r>
    <s v="CUST-00948"/>
    <n v="30"/>
    <s v="No"/>
    <s v="No"/>
    <s v="No"/>
    <n v="28"/>
    <s v="No"/>
    <s v="No phone service"/>
    <s v="DSL"/>
    <x v="2"/>
    <s v="Yes"/>
    <s v="Bank Transfer"/>
    <x v="898"/>
    <n v="1857.38"/>
    <s v="Karachi"/>
    <s v="No"/>
    <n v="0"/>
    <x v="1"/>
  </r>
  <r>
    <s v="CUST-00949"/>
    <n v="34"/>
    <s v="No"/>
    <s v="No"/>
    <s v="No"/>
    <n v="71"/>
    <s v="Yes"/>
    <s v="No"/>
    <s v="DSL"/>
    <x v="2"/>
    <s v="No"/>
    <s v="Electronic check"/>
    <x v="899"/>
    <n v="3944.24"/>
    <s v="Karachi"/>
    <s v="No"/>
    <n v="0"/>
    <x v="1"/>
  </r>
  <r>
    <s v="CUST-00950"/>
    <n v="24"/>
    <s v="No"/>
    <s v="Yes"/>
    <s v="No"/>
    <n v="15"/>
    <s v="No"/>
    <s v="No phone service"/>
    <s v="Fiber optic"/>
    <x v="2"/>
    <s v="No"/>
    <s v="Electronic check"/>
    <x v="900"/>
    <n v="1457.19"/>
    <s v="Peshawar"/>
    <s v="Yes"/>
    <n v="1"/>
    <x v="1"/>
  </r>
  <r>
    <s v="CUST-00951"/>
    <n v="50"/>
    <s v="No"/>
    <s v="Yes"/>
    <s v="No"/>
    <n v="66"/>
    <s v="Yes"/>
    <s v="No"/>
    <s v="Fiber optic"/>
    <x v="2"/>
    <s v="No"/>
    <s v="Credit card"/>
    <x v="901"/>
    <n v="7248.29"/>
    <s v="Lahore"/>
    <s v="No"/>
    <n v="0"/>
    <x v="1"/>
  </r>
  <r>
    <s v="CUST-00952"/>
    <n v="69"/>
    <s v="Yes"/>
    <s v="No"/>
    <s v="Yes"/>
    <n v="68"/>
    <s v="Yes"/>
    <s v="Yes"/>
    <s v="Fiber optic"/>
    <x v="2"/>
    <s v="Yes"/>
    <s v="Bank Transfer"/>
    <x v="902"/>
    <n v="7008.69"/>
    <s v="Faisalabad"/>
    <s v="No"/>
    <n v="0"/>
    <x v="1"/>
  </r>
  <r>
    <s v="CUST-00953"/>
    <n v="45"/>
    <s v="No"/>
    <s v="Yes"/>
    <s v="No"/>
    <n v="7"/>
    <s v="No"/>
    <s v="No phone service"/>
    <s v="No internet"/>
    <x v="2"/>
    <s v="No"/>
    <s v="Mailed check"/>
    <x v="75"/>
    <n v="158.12"/>
    <s v="Lahore"/>
    <s v="No"/>
    <n v="0"/>
    <x v="1"/>
  </r>
  <r>
    <s v="CUST-00954"/>
    <n v="22"/>
    <s v="No"/>
    <s v="No"/>
    <s v="No"/>
    <n v="27"/>
    <s v="Yes"/>
    <s v="Yes"/>
    <s v="No internet"/>
    <x v="2"/>
    <s v="Yes"/>
    <s v="Credit card"/>
    <x v="903"/>
    <n v="568.30999999999995"/>
    <s v="Karachi"/>
    <s v="No"/>
    <n v="0"/>
    <x v="1"/>
  </r>
  <r>
    <s v="CUST-00955"/>
    <n v="43"/>
    <s v="No"/>
    <s v="Yes"/>
    <s v="No"/>
    <n v="51"/>
    <s v="Yes"/>
    <s v="No"/>
    <s v="DSL"/>
    <x v="2"/>
    <s v="No"/>
    <s v="Electronic check"/>
    <x v="904"/>
    <n v="2936.59"/>
    <s v="Multan"/>
    <s v="No"/>
    <n v="0"/>
    <x v="1"/>
  </r>
  <r>
    <s v="CUST-00956"/>
    <n v="27"/>
    <s v="No"/>
    <s v="Yes"/>
    <s v="No"/>
    <n v="19"/>
    <s v="No"/>
    <s v="No phone service"/>
    <s v="DSL"/>
    <x v="2"/>
    <s v="Yes"/>
    <s v="Credit card"/>
    <x v="905"/>
    <n v="1196.19"/>
    <s v="Karachi"/>
    <s v="No"/>
    <n v="0"/>
    <x v="1"/>
  </r>
  <r>
    <s v="CUST-00957"/>
    <n v="60"/>
    <s v="Yes"/>
    <s v="No"/>
    <s v="No"/>
    <n v="16"/>
    <s v="No"/>
    <s v="No phone service"/>
    <s v="DSL"/>
    <x v="2"/>
    <s v="No"/>
    <s v="Mailed check"/>
    <x v="1"/>
    <n v="1178.95"/>
    <s v="Islamabad"/>
    <s v="No"/>
    <n v="0"/>
    <x v="1"/>
  </r>
  <r>
    <s v="CUST-00958"/>
    <n v="25"/>
    <s v="No"/>
    <s v="No"/>
    <s v="No"/>
    <n v="22"/>
    <s v="No"/>
    <s v="No phone service"/>
    <s v="No internet"/>
    <x v="0"/>
    <s v="Yes"/>
    <s v="Credit card"/>
    <x v="906"/>
    <n v="430.98"/>
    <s v="Peshawar"/>
    <s v="No"/>
    <n v="0"/>
    <x v="1"/>
  </r>
  <r>
    <s v="CUST-00959"/>
    <n v="41"/>
    <s v="No"/>
    <s v="Yes"/>
    <s v="No"/>
    <n v="56"/>
    <s v="Yes"/>
    <s v="No"/>
    <s v="Fiber optic"/>
    <x v="2"/>
    <s v="No"/>
    <s v="Mailed check"/>
    <x v="907"/>
    <n v="5595.22"/>
    <s v="Islamabad"/>
    <s v="No"/>
    <n v="0"/>
    <x v="1"/>
  </r>
  <r>
    <s v="CUST-00960"/>
    <n v="40"/>
    <s v="No"/>
    <s v="Yes"/>
    <s v="Yes"/>
    <n v="13"/>
    <s v="No"/>
    <s v="No phone service"/>
    <s v="DSL"/>
    <x v="2"/>
    <s v="No"/>
    <s v="Electronic check"/>
    <x v="908"/>
    <n v="724.59"/>
    <s v="Peshawar"/>
    <s v="No"/>
    <n v="0"/>
    <x v="1"/>
  </r>
  <r>
    <s v="CUST-00961"/>
    <n v="63"/>
    <s v="Yes"/>
    <s v="No"/>
    <s v="No"/>
    <n v="67"/>
    <s v="No"/>
    <s v="No phone service"/>
    <s v="No internet"/>
    <x v="2"/>
    <s v="Yes"/>
    <s v="Credit card"/>
    <x v="909"/>
    <n v="1944.31"/>
    <s v="Lahore"/>
    <s v="No"/>
    <n v="0"/>
    <x v="1"/>
  </r>
  <r>
    <s v="CUST-00962"/>
    <n v="66"/>
    <s v="Yes"/>
    <s v="Yes"/>
    <s v="No"/>
    <n v="54"/>
    <s v="Yes"/>
    <s v="Yes"/>
    <s v="No internet"/>
    <x v="0"/>
    <s v="No"/>
    <s v="Credit card"/>
    <x v="314"/>
    <n v="1379.81"/>
    <s v="Multan"/>
    <s v="No"/>
    <n v="0"/>
    <x v="1"/>
  </r>
  <r>
    <s v="CUST-00963"/>
    <n v="65"/>
    <s v="Yes"/>
    <s v="No"/>
    <s v="Yes"/>
    <n v="28"/>
    <s v="Yes"/>
    <s v="No"/>
    <s v="DSL"/>
    <x v="2"/>
    <s v="No"/>
    <s v="Mailed check"/>
    <x v="910"/>
    <n v="2073.7199999999998"/>
    <s v="Islamabad"/>
    <s v="No"/>
    <n v="0"/>
    <x v="1"/>
  </r>
  <r>
    <s v="CUST-00964"/>
    <n v="40"/>
    <s v="No"/>
    <s v="No"/>
    <s v="No"/>
    <n v="32"/>
    <s v="Yes"/>
    <s v="Yes"/>
    <s v="Fiber optic"/>
    <x v="0"/>
    <s v="No"/>
    <s v="Bank Transfer"/>
    <x v="911"/>
    <n v="2514.48"/>
    <s v="Multan"/>
    <s v="No"/>
    <n v="0"/>
    <x v="1"/>
  </r>
  <r>
    <s v="CUST-00965"/>
    <n v="38"/>
    <s v="No"/>
    <s v="No"/>
    <s v="No"/>
    <n v="23"/>
    <s v="Yes"/>
    <s v="Yes"/>
    <s v="No internet"/>
    <x v="0"/>
    <s v="Yes"/>
    <s v="Electronic check"/>
    <x v="912"/>
    <n v="523.17999999999995"/>
    <s v="Rawalpindi"/>
    <s v="Yes"/>
    <n v="1"/>
    <x v="1"/>
  </r>
  <r>
    <s v="CUST-00966"/>
    <n v="38"/>
    <s v="No"/>
    <s v="No"/>
    <s v="Yes"/>
    <n v="49"/>
    <s v="No"/>
    <s v="No phone service"/>
    <s v="Fiber optic"/>
    <x v="2"/>
    <s v="No"/>
    <s v="Mailed check"/>
    <x v="913"/>
    <n v="5570.24"/>
    <s v="Lahore"/>
    <s v="Yes"/>
    <n v="1"/>
    <x v="1"/>
  </r>
  <r>
    <s v="CUST-00967"/>
    <n v="30"/>
    <s v="No"/>
    <s v="No"/>
    <s v="No"/>
    <n v="72"/>
    <s v="No"/>
    <s v="No phone service"/>
    <s v="DSL"/>
    <x v="0"/>
    <s v="Yes"/>
    <s v="Electronic check"/>
    <x v="914"/>
    <n v="3177.56"/>
    <s v="Rawalpindi"/>
    <s v="No"/>
    <n v="0"/>
    <x v="1"/>
  </r>
  <r>
    <s v="CUST-00968"/>
    <n v="72"/>
    <s v="Yes"/>
    <s v="No"/>
    <s v="Yes"/>
    <n v="44"/>
    <s v="No"/>
    <s v="No phone service"/>
    <s v="DSL"/>
    <x v="2"/>
    <s v="No"/>
    <s v="Electronic check"/>
    <x v="915"/>
    <n v="3572.51"/>
    <s v="Islamabad"/>
    <s v="No"/>
    <n v="0"/>
    <x v="1"/>
  </r>
  <r>
    <s v="CUST-00969"/>
    <n v="57"/>
    <s v="No"/>
    <s v="Yes"/>
    <s v="No"/>
    <n v="29"/>
    <s v="Yes"/>
    <s v="Yes"/>
    <s v="Fiber optic"/>
    <x v="2"/>
    <s v="No"/>
    <s v="Electronic check"/>
    <x v="916"/>
    <n v="2410.52"/>
    <s v="Karachi"/>
    <s v="Yes"/>
    <n v="1"/>
    <x v="1"/>
  </r>
  <r>
    <s v="CUST-00970"/>
    <n v="46"/>
    <s v="No"/>
    <s v="Yes"/>
    <s v="Yes"/>
    <n v="2"/>
    <s v="Yes"/>
    <s v="No"/>
    <s v="Fiber optic"/>
    <x v="2"/>
    <s v="No"/>
    <s v="Credit card"/>
    <x v="917"/>
    <n v="196.71"/>
    <s v="Peshawar"/>
    <s v="Yes"/>
    <n v="1"/>
    <x v="1"/>
  </r>
  <r>
    <s v="CUST-00971"/>
    <n v="51"/>
    <s v="No"/>
    <s v="No"/>
    <s v="No"/>
    <n v="34"/>
    <s v="No"/>
    <s v="No phone service"/>
    <s v="DSL"/>
    <x v="1"/>
    <s v="No"/>
    <s v="Credit card"/>
    <x v="302"/>
    <n v="1950.47"/>
    <s v="Faisalabad"/>
    <s v="No"/>
    <n v="0"/>
    <x v="1"/>
  </r>
  <r>
    <s v="CUST-00972"/>
    <n v="40"/>
    <s v="No"/>
    <s v="Yes"/>
    <s v="Yes"/>
    <n v="42"/>
    <s v="Yes"/>
    <s v="No"/>
    <s v="No internet"/>
    <x v="0"/>
    <s v="Yes"/>
    <s v="Mailed check"/>
    <x v="918"/>
    <n v="1152.25"/>
    <s v="Islamabad"/>
    <s v="No"/>
    <n v="0"/>
    <x v="1"/>
  </r>
  <r>
    <s v="CUST-00973"/>
    <n v="24"/>
    <s v="No"/>
    <s v="Yes"/>
    <s v="No"/>
    <n v="71"/>
    <s v="Yes"/>
    <s v="No"/>
    <s v="No internet"/>
    <x v="0"/>
    <s v="Yes"/>
    <s v="Credit card"/>
    <x v="919"/>
    <n v="1668.79"/>
    <s v="Karachi"/>
    <s v="Yes"/>
    <n v="1"/>
    <x v="1"/>
  </r>
  <r>
    <s v="CUST-00974"/>
    <n v="19"/>
    <s v="No"/>
    <s v="No"/>
    <s v="Yes"/>
    <n v="45"/>
    <s v="Yes"/>
    <s v="Yes"/>
    <s v="DSL"/>
    <x v="2"/>
    <s v="No"/>
    <s v="Credit card"/>
    <x v="920"/>
    <n v="3600.85"/>
    <s v="Rawalpindi"/>
    <s v="No"/>
    <n v="0"/>
    <x v="1"/>
  </r>
  <r>
    <s v="CUST-00975"/>
    <n v="45"/>
    <s v="No"/>
    <s v="Yes"/>
    <s v="No"/>
    <n v="28"/>
    <s v="No"/>
    <s v="No phone service"/>
    <s v="DSL"/>
    <x v="2"/>
    <s v="No"/>
    <s v="Electronic check"/>
    <x v="921"/>
    <n v="1837.44"/>
    <s v="Karachi"/>
    <s v="No"/>
    <n v="0"/>
    <x v="1"/>
  </r>
  <r>
    <s v="CUST-00976"/>
    <n v="67"/>
    <s v="Yes"/>
    <s v="No"/>
    <s v="Yes"/>
    <n v="7"/>
    <s v="No"/>
    <s v="No phone service"/>
    <s v="DSL"/>
    <x v="0"/>
    <s v="Yes"/>
    <s v="Bank Transfer"/>
    <x v="922"/>
    <n v="440.17"/>
    <s v="Karachi"/>
    <s v="No"/>
    <n v="0"/>
    <x v="1"/>
  </r>
  <r>
    <s v="CUST-00977"/>
    <n v="56"/>
    <s v="No"/>
    <s v="Yes"/>
    <s v="Yes"/>
    <n v="4"/>
    <s v="No"/>
    <s v="No phone service"/>
    <s v="DSL"/>
    <x v="0"/>
    <s v="No"/>
    <s v="Electronic check"/>
    <x v="717"/>
    <n v="314.17"/>
    <s v="Rawalpindi"/>
    <s v="No"/>
    <n v="0"/>
    <x v="1"/>
  </r>
  <r>
    <s v="CUST-00978"/>
    <n v="69"/>
    <s v="Yes"/>
    <s v="No"/>
    <s v="No"/>
    <n v="61"/>
    <s v="No"/>
    <s v="No phone service"/>
    <s v="Fiber optic"/>
    <x v="2"/>
    <s v="No"/>
    <s v="Credit card"/>
    <x v="923"/>
    <n v="6719.31"/>
    <s v="Karachi"/>
    <s v="No"/>
    <n v="0"/>
    <x v="1"/>
  </r>
  <r>
    <s v="CUST-00979"/>
    <n v="34"/>
    <s v="No"/>
    <s v="No"/>
    <s v="Yes"/>
    <n v="30"/>
    <s v="Yes"/>
    <s v="Yes"/>
    <s v="Fiber optic"/>
    <x v="0"/>
    <s v="No"/>
    <s v="Electronic check"/>
    <x v="924"/>
    <n v="3183.36"/>
    <s v="Islamabad"/>
    <s v="Yes"/>
    <n v="1"/>
    <x v="1"/>
  </r>
  <r>
    <s v="CUST-00980"/>
    <n v="24"/>
    <s v="No"/>
    <s v="Yes"/>
    <s v="Yes"/>
    <n v="68"/>
    <s v="No"/>
    <s v="No phone service"/>
    <s v="Fiber optic"/>
    <x v="2"/>
    <s v="Yes"/>
    <s v="Bank Transfer"/>
    <x v="925"/>
    <n v="6590.7"/>
    <s v="Karachi"/>
    <s v="Yes"/>
    <n v="1"/>
    <x v="1"/>
  </r>
  <r>
    <s v="CUST-00981"/>
    <n v="30"/>
    <s v="No"/>
    <s v="No"/>
    <s v="Yes"/>
    <n v="69"/>
    <s v="No"/>
    <s v="No phone service"/>
    <s v="Fiber optic"/>
    <x v="2"/>
    <s v="Yes"/>
    <s v="Credit card"/>
    <x v="926"/>
    <n v="7130.2"/>
    <s v="Peshawar"/>
    <s v="No"/>
    <n v="0"/>
    <x v="1"/>
  </r>
  <r>
    <s v="CUST-00982"/>
    <n v="29"/>
    <s v="No"/>
    <s v="Yes"/>
    <s v="No"/>
    <n v="4"/>
    <s v="Yes"/>
    <s v="No"/>
    <s v="DSL"/>
    <x v="2"/>
    <s v="No"/>
    <s v="Electronic check"/>
    <x v="927"/>
    <n v="272.19"/>
    <s v="Lahore"/>
    <s v="Yes"/>
    <n v="1"/>
    <x v="1"/>
  </r>
  <r>
    <s v="CUST-00983"/>
    <n v="49"/>
    <s v="No"/>
    <s v="Yes"/>
    <s v="Yes"/>
    <n v="44"/>
    <s v="No"/>
    <s v="No phone service"/>
    <s v="No internet"/>
    <x v="0"/>
    <s v="Yes"/>
    <s v="Bank Transfer"/>
    <x v="928"/>
    <n v="801.58"/>
    <s v="Peshawar"/>
    <s v="No"/>
    <n v="0"/>
    <x v="1"/>
  </r>
  <r>
    <s v="CUST-00984"/>
    <n v="49"/>
    <s v="No"/>
    <s v="Yes"/>
    <s v="No"/>
    <n v="6"/>
    <s v="No"/>
    <s v="No phone service"/>
    <s v="Fiber optic"/>
    <x v="1"/>
    <s v="Yes"/>
    <s v="Bank Transfer"/>
    <x v="929"/>
    <n v="455.61"/>
    <s v="Faisalabad"/>
    <s v="No"/>
    <n v="0"/>
    <x v="1"/>
  </r>
  <r>
    <s v="CUST-00985"/>
    <n v="54"/>
    <s v="No"/>
    <s v="No"/>
    <s v="Yes"/>
    <n v="37"/>
    <s v="No"/>
    <s v="No phone service"/>
    <s v="Fiber optic"/>
    <x v="0"/>
    <s v="No"/>
    <s v="Mailed check"/>
    <x v="930"/>
    <n v="3352.54"/>
    <s v="Lahore"/>
    <s v="Yes"/>
    <n v="1"/>
    <x v="1"/>
  </r>
  <r>
    <s v="CUST-00986"/>
    <n v="49"/>
    <s v="No"/>
    <s v="Yes"/>
    <s v="No"/>
    <n v="72"/>
    <s v="No"/>
    <s v="No phone service"/>
    <s v="DSL"/>
    <x v="2"/>
    <s v="No"/>
    <s v="Bank Transfer"/>
    <x v="931"/>
    <n v="4909.3"/>
    <s v="Lahore"/>
    <s v="Yes"/>
    <n v="1"/>
    <x v="1"/>
  </r>
  <r>
    <s v="CUST-00987"/>
    <n v="37"/>
    <s v="No"/>
    <s v="Yes"/>
    <s v="No"/>
    <n v="7"/>
    <s v="Yes"/>
    <s v="No"/>
    <s v="DSL"/>
    <x v="2"/>
    <s v="No"/>
    <s v="Mailed check"/>
    <x v="932"/>
    <n v="306.20999999999998"/>
    <s v="Multan"/>
    <s v="No"/>
    <n v="0"/>
    <x v="1"/>
  </r>
  <r>
    <s v="CUST-00988"/>
    <n v="50"/>
    <s v="No"/>
    <s v="Yes"/>
    <s v="No"/>
    <n v="6"/>
    <s v="Yes"/>
    <s v="No"/>
    <s v="No internet"/>
    <x v="2"/>
    <s v="Yes"/>
    <s v="Bank Transfer"/>
    <x v="933"/>
    <n v="109.25"/>
    <s v="Multan"/>
    <s v="Yes"/>
    <n v="1"/>
    <x v="1"/>
  </r>
  <r>
    <s v="CUST-00989"/>
    <n v="57"/>
    <s v="No"/>
    <s v="Yes"/>
    <s v="Yes"/>
    <n v="49"/>
    <s v="Yes"/>
    <s v="No"/>
    <s v="Fiber optic"/>
    <x v="2"/>
    <s v="Yes"/>
    <s v="Bank Transfer"/>
    <x v="934"/>
    <n v="5557.04"/>
    <s v="Rawalpindi"/>
    <s v="Yes"/>
    <n v="1"/>
    <x v="1"/>
  </r>
  <r>
    <s v="CUST-00990"/>
    <n v="70"/>
    <s v="Yes"/>
    <s v="Yes"/>
    <s v="No"/>
    <n v="52"/>
    <s v="Yes"/>
    <s v="No"/>
    <s v="Fiber optic"/>
    <x v="0"/>
    <s v="No"/>
    <s v="Mailed check"/>
    <x v="935"/>
    <n v="4779.3999999999996"/>
    <s v="Multan"/>
    <s v="No"/>
    <n v="0"/>
    <x v="1"/>
  </r>
  <r>
    <s v="CUST-00991"/>
    <n v="37"/>
    <s v="No"/>
    <s v="Yes"/>
    <s v="No"/>
    <n v="53"/>
    <s v="No"/>
    <s v="No phone service"/>
    <s v="DSL"/>
    <x v="1"/>
    <s v="No"/>
    <s v="Electronic check"/>
    <x v="222"/>
    <n v="4183.29"/>
    <s v="Faisalabad"/>
    <s v="No"/>
    <n v="0"/>
    <x v="1"/>
  </r>
  <r>
    <s v="CUST-00992"/>
    <n v="18"/>
    <s v="No"/>
    <s v="No"/>
    <s v="Yes"/>
    <n v="58"/>
    <s v="Yes"/>
    <s v="Yes"/>
    <s v="Fiber optic"/>
    <x v="2"/>
    <s v="Yes"/>
    <s v="Mailed check"/>
    <x v="936"/>
    <n v="5268.83"/>
    <s v="Multan"/>
    <s v="Yes"/>
    <n v="1"/>
    <x v="1"/>
  </r>
  <r>
    <s v="CUST-00993"/>
    <n v="34"/>
    <s v="No"/>
    <s v="No"/>
    <s v="No"/>
    <n v="69"/>
    <s v="No"/>
    <s v="No phone service"/>
    <s v="Fiber optic"/>
    <x v="2"/>
    <s v="Yes"/>
    <s v="Credit card"/>
    <x v="937"/>
    <n v="7603.46"/>
    <s v="Peshawar"/>
    <s v="Yes"/>
    <n v="1"/>
    <x v="1"/>
  </r>
  <r>
    <s v="CUST-00994"/>
    <n v="49"/>
    <s v="No"/>
    <s v="Yes"/>
    <s v="Yes"/>
    <n v="67"/>
    <s v="No"/>
    <s v="No phone service"/>
    <s v="No internet"/>
    <x v="2"/>
    <s v="Yes"/>
    <s v="Electronic check"/>
    <x v="938"/>
    <n v="1804.97"/>
    <s v="Peshawar"/>
    <s v="No"/>
    <n v="0"/>
    <x v="1"/>
  </r>
  <r>
    <s v="CUST-00995"/>
    <n v="22"/>
    <s v="No"/>
    <s v="Yes"/>
    <s v="No"/>
    <n v="48"/>
    <s v="Yes"/>
    <s v="No"/>
    <s v="Fiber optic"/>
    <x v="0"/>
    <s v="Yes"/>
    <s v="Bank Transfer"/>
    <x v="939"/>
    <n v="4820.78"/>
    <s v="Karachi"/>
    <s v="Yes"/>
    <n v="1"/>
    <x v="1"/>
  </r>
  <r>
    <s v="CUST-00996"/>
    <n v="39"/>
    <s v="No"/>
    <s v="No"/>
    <s v="Yes"/>
    <n v="45"/>
    <s v="Yes"/>
    <s v="No"/>
    <s v="DSL"/>
    <x v="2"/>
    <s v="No"/>
    <s v="Credit card"/>
    <x v="940"/>
    <n v="2239.12"/>
    <s v="Multan"/>
    <s v="No"/>
    <n v="0"/>
    <x v="1"/>
  </r>
  <r>
    <s v="CUST-00997"/>
    <n v="46"/>
    <s v="No"/>
    <s v="Yes"/>
    <s v="No"/>
    <n v="9"/>
    <s v="No"/>
    <s v="No phone service"/>
    <s v="No internet"/>
    <x v="0"/>
    <s v="Yes"/>
    <s v="Credit card"/>
    <x v="941"/>
    <n v="187.14"/>
    <s v="Faisalabad"/>
    <s v="Yes"/>
    <n v="1"/>
    <x v="1"/>
  </r>
  <r>
    <s v="CUST-00998"/>
    <n v="52"/>
    <s v="No"/>
    <s v="Yes"/>
    <s v="Yes"/>
    <n v="42"/>
    <s v="Yes"/>
    <s v="No"/>
    <s v="Fiber optic"/>
    <x v="0"/>
    <s v="Yes"/>
    <s v="Credit card"/>
    <x v="942"/>
    <n v="4277.05"/>
    <s v="Lahore"/>
    <s v="No"/>
    <n v="0"/>
    <x v="1"/>
  </r>
  <r>
    <s v="CUST-00999"/>
    <n v="72"/>
    <s v="Yes"/>
    <s v="Yes"/>
    <s v="Yes"/>
    <n v="70"/>
    <s v="No"/>
    <s v="No phone service"/>
    <s v="Fiber optic"/>
    <x v="1"/>
    <s v="No"/>
    <s v="Electronic check"/>
    <x v="943"/>
    <n v="7013.39"/>
    <s v="Multan"/>
    <s v="No"/>
    <n v="0"/>
    <x v="1"/>
  </r>
  <r>
    <s v="CUST-01000"/>
    <n v="49"/>
    <s v="No"/>
    <s v="No"/>
    <s v="No"/>
    <n v="59"/>
    <s v="Yes"/>
    <s v="No"/>
    <s v="DSL"/>
    <x v="1"/>
    <s v="Yes"/>
    <s v="Electronic check"/>
    <x v="944"/>
    <n v="3712.35"/>
    <s v="Islamabad"/>
    <s v="No"/>
    <n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UST-00001"/>
    <n v="58"/>
    <s v="No"/>
    <s v="Yes"/>
    <s v="Yes"/>
    <n v="36"/>
    <s v="Yes"/>
    <s v="No"/>
    <s v="Fiber optic"/>
    <x v="0"/>
    <s v="Yes"/>
    <s v="Credit card"/>
    <n v="71.59"/>
    <n v="2451.58"/>
    <s v="Faisalabad"/>
    <s v="No"/>
    <n v="0"/>
    <s v="25-48 months"/>
    <x v="0"/>
  </r>
  <r>
    <s v="CUST-00002"/>
    <n v="19"/>
    <s v="No"/>
    <s v="Yes"/>
    <s v="No"/>
    <n v="29"/>
    <s v="No"/>
    <s v="No phone service"/>
    <s v="Fiber optic"/>
    <x v="1"/>
    <s v="Yes"/>
    <s v="Bank Transfer"/>
    <n v="77.98"/>
    <n v="2240.42"/>
    <s v="Karachi"/>
    <s v="No"/>
    <n v="0"/>
    <s v="0-12 months"/>
    <x v="1"/>
  </r>
  <r>
    <s v="CUST-00003"/>
    <n v="66"/>
    <s v="Yes"/>
    <s v="No"/>
    <s v="Yes"/>
    <n v="12"/>
    <s v="No"/>
    <s v="No phone service"/>
    <s v="Fiber optic"/>
    <x v="1"/>
    <s v="No"/>
    <s v="Bank Transfer"/>
    <n v="106.49"/>
    <n v="1283.44"/>
    <s v="Rawalpindi"/>
    <s v="No"/>
    <n v="0"/>
    <s v="25-48 months"/>
    <x v="2"/>
  </r>
  <r>
    <s v="CUST-00004"/>
    <n v="23"/>
    <s v="No"/>
    <s v="No"/>
    <s v="No"/>
    <n v="25"/>
    <s v="Yes"/>
    <s v="No"/>
    <s v="DSL"/>
    <x v="0"/>
    <s v="Yes"/>
    <s v="Mailed check"/>
    <n v="74.66"/>
    <n v="1839.65"/>
    <s v="Peshawar"/>
    <s v="No"/>
    <n v="0"/>
    <s v="49+ months"/>
    <x v="0"/>
  </r>
  <r>
    <s v="CUST-00005"/>
    <n v="41"/>
    <s v="No"/>
    <s v="Yes"/>
    <s v="No"/>
    <n v="46"/>
    <s v="No"/>
    <s v="No phone service"/>
    <s v="Fiber optic"/>
    <x v="0"/>
    <s v="Yes"/>
    <s v="Bank Transfer"/>
    <n v="78.56"/>
    <n v="3713.12"/>
    <s v="Rawalpindi"/>
    <s v="Yes"/>
    <n v="1"/>
    <s v="0-12 months"/>
    <x v="1"/>
  </r>
  <r>
    <s v="CUST-00006"/>
    <n v="35"/>
    <s v="No"/>
    <s v="Yes"/>
    <s v="No"/>
    <n v="8"/>
    <s v="Yes"/>
    <s v="No"/>
    <s v="Fiber optic"/>
    <x v="2"/>
    <s v="Yes"/>
    <s v="Electronic check"/>
    <n v="117.15"/>
    <n v="979.53"/>
    <s v="Multan"/>
    <s v="Yes"/>
    <n v="1"/>
    <s v="0-12 months"/>
    <x v="2"/>
  </r>
  <r>
    <s v="CUST-00007"/>
    <n v="49"/>
    <s v="No"/>
    <s v="No"/>
    <s v="No"/>
    <n v="19"/>
    <s v="Yes"/>
    <s v="No"/>
    <s v="Fiber optic"/>
    <x v="2"/>
    <s v="No"/>
    <s v="Mailed check"/>
    <n v="89.97"/>
    <n v="1651.85"/>
    <s v="Faisalabad"/>
    <s v="No"/>
    <n v="0"/>
    <s v="49+ months"/>
    <x v="1"/>
  </r>
  <r>
    <s v="CUST-00008"/>
    <n v="49"/>
    <s v="No"/>
    <s v="Yes"/>
    <s v="Yes"/>
    <n v="15"/>
    <s v="Yes"/>
    <s v="No"/>
    <s v="Fiber optic"/>
    <x v="2"/>
    <s v="Yes"/>
    <s v="Credit card"/>
    <n v="99.79"/>
    <n v="1491.11"/>
    <s v="Faisalabad"/>
    <s v="Yes"/>
    <n v="1"/>
    <s v="49+ months"/>
    <x v="1"/>
  </r>
  <r>
    <s v="CUST-00009"/>
    <n v="73"/>
    <s v="Yes"/>
    <s v="Yes"/>
    <s v="Yes"/>
    <n v="69"/>
    <s v="No"/>
    <s v="No phone service"/>
    <s v="DSL"/>
    <x v="2"/>
    <s v="No"/>
    <s v="Electronic check"/>
    <n v="40.130000000000003"/>
    <n v="2842.77"/>
    <s v="Faisalabad"/>
    <s v="No"/>
    <n v="0"/>
    <s v="49+ months"/>
    <x v="3"/>
  </r>
  <r>
    <s v="CUST-00010"/>
    <n v="66"/>
    <s v="Yes"/>
    <s v="Yes"/>
    <s v="Yes"/>
    <n v="39"/>
    <s v="Yes"/>
    <s v="Yes"/>
    <s v="No internet"/>
    <x v="0"/>
    <s v="Yes"/>
    <s v="Credit card"/>
    <n v="23.86"/>
    <n v="887.2"/>
    <s v="Peshawar"/>
    <s v="No"/>
    <n v="0"/>
    <s v="49+ months"/>
    <x v="3"/>
  </r>
  <r>
    <s v="CUST-00011"/>
    <n v="69"/>
    <s v="Yes"/>
    <s v="No"/>
    <s v="Yes"/>
    <n v="8"/>
    <s v="Yes"/>
    <s v="Yes"/>
    <s v="Fiber optic"/>
    <x v="2"/>
    <s v="Yes"/>
    <s v="Mailed check"/>
    <n v="96.64"/>
    <n v="738.4"/>
    <s v="Faisalabad"/>
    <s v="No"/>
    <n v="0"/>
    <s v="49+ months"/>
    <x v="1"/>
  </r>
  <r>
    <s v="CUST-00012"/>
    <n v="28"/>
    <s v="No"/>
    <s v="No"/>
    <s v="No"/>
    <n v="28"/>
    <s v="Yes"/>
    <s v="No"/>
    <s v="No internet"/>
    <x v="2"/>
    <s v="No"/>
    <s v="Credit card"/>
    <n v="24.21"/>
    <n v="647.04999999999995"/>
    <s v="Islamabad"/>
    <s v="Yes"/>
    <n v="1"/>
    <s v="49+ months"/>
    <x v="3"/>
  </r>
  <r>
    <s v="CUST-00013"/>
    <n v="19"/>
    <s v="No"/>
    <s v="Yes"/>
    <s v="Yes"/>
    <n v="1"/>
    <s v="Yes"/>
    <s v="Yes"/>
    <s v="Fiber optic"/>
    <x v="1"/>
    <s v="No"/>
    <s v="Electronic check"/>
    <n v="81.900000000000006"/>
    <n v="83.56"/>
    <s v="Karachi"/>
    <s v="Yes"/>
    <n v="1"/>
    <s v="25-48 months"/>
    <x v="1"/>
  </r>
  <r>
    <s v="CUST-00014"/>
    <n v="64"/>
    <s v="Yes"/>
    <s v="No"/>
    <s v="Yes"/>
    <n v="61"/>
    <s v="Yes"/>
    <s v="Yes"/>
    <s v="No internet"/>
    <x v="0"/>
    <s v="No"/>
    <s v="Credit card"/>
    <n v="23.6"/>
    <n v="1479.17"/>
    <s v="Multan"/>
    <s v="No"/>
    <n v="0"/>
    <s v="25-48 months"/>
    <x v="3"/>
  </r>
  <r>
    <s v="CUST-00015"/>
    <n v="24"/>
    <s v="No"/>
    <s v="Yes"/>
    <s v="No"/>
    <n v="44"/>
    <s v="Yes"/>
    <s v="Yes"/>
    <s v="No internet"/>
    <x v="2"/>
    <s v="No"/>
    <s v="Electronic check"/>
    <n v="20.2"/>
    <n v="884.81"/>
    <s v="Lahore"/>
    <s v="No"/>
    <n v="0"/>
    <s v="0-12 months"/>
    <x v="3"/>
  </r>
  <r>
    <s v="CUST-00016"/>
    <n v="46"/>
    <s v="No"/>
    <s v="Yes"/>
    <s v="Yes"/>
    <n v="70"/>
    <s v="Yes"/>
    <s v="No"/>
    <s v="No internet"/>
    <x v="1"/>
    <s v="Yes"/>
    <s v="Credit card"/>
    <n v="23.78"/>
    <n v="1737.44"/>
    <s v="Karachi"/>
    <s v="No"/>
    <n v="0"/>
    <s v="25-48 months"/>
    <x v="3"/>
  </r>
  <r>
    <s v="CUST-00017"/>
    <n v="42"/>
    <s v="No"/>
    <s v="Yes"/>
    <s v="No"/>
    <n v="34"/>
    <s v="No"/>
    <s v="No phone service"/>
    <s v="No internet"/>
    <x v="2"/>
    <s v="No"/>
    <s v="Electronic check"/>
    <n v="21.56"/>
    <n v="774.27"/>
    <s v="Faisalabad"/>
    <s v="No"/>
    <n v="0"/>
    <s v="49+ months"/>
    <x v="3"/>
  </r>
  <r>
    <s v="CUST-00018"/>
    <n v="21"/>
    <s v="No"/>
    <s v="No"/>
    <s v="Yes"/>
    <n v="7"/>
    <s v="Yes"/>
    <s v="Yes"/>
    <s v="DSL"/>
    <x v="2"/>
    <s v="Yes"/>
    <s v="Electronic check"/>
    <n v="42.72"/>
    <n v="312.02"/>
    <s v="Faisalabad"/>
    <s v="Yes"/>
    <n v="1"/>
    <s v="49+ months"/>
    <x v="3"/>
  </r>
  <r>
    <s v="CUST-00019"/>
    <n v="33"/>
    <s v="No"/>
    <s v="Yes"/>
    <s v="Yes"/>
    <n v="54"/>
    <s v="No"/>
    <s v="No phone service"/>
    <s v="DSL"/>
    <x v="1"/>
    <s v="Yes"/>
    <s v="Bank Transfer"/>
    <n v="52.57"/>
    <n v="2758.94"/>
    <s v="Multan"/>
    <s v="No"/>
    <n v="0"/>
    <s v="0-12 months"/>
    <x v="0"/>
  </r>
  <r>
    <s v="CUST-00020"/>
    <n v="37"/>
    <s v="No"/>
    <s v="No"/>
    <s v="No"/>
    <n v="10"/>
    <s v="Yes"/>
    <s v="Yes"/>
    <s v="Fiber optic"/>
    <x v="2"/>
    <s v="No"/>
    <s v="Electronic check"/>
    <n v="87.45"/>
    <n v="829.25"/>
    <s v="Islamabad"/>
    <s v="Yes"/>
    <n v="1"/>
    <s v="0-12 months"/>
    <x v="1"/>
  </r>
  <r>
    <s v="CUST-00021"/>
    <n v="28"/>
    <s v="No"/>
    <s v="No"/>
    <s v="No"/>
    <n v="68"/>
    <s v="No"/>
    <s v="No phone service"/>
    <s v="Fiber optic"/>
    <x v="1"/>
    <s v="Yes"/>
    <s v="Mailed check"/>
    <n v="76.709999999999994"/>
    <n v="4975.5600000000004"/>
    <s v="Faisalabad"/>
    <s v="Yes"/>
    <n v="1"/>
    <s v="0-12 months"/>
    <x v="1"/>
  </r>
  <r>
    <s v="CUST-00022"/>
    <n v="27"/>
    <s v="No"/>
    <s v="No"/>
    <s v="No"/>
    <n v="27"/>
    <s v="Yes"/>
    <s v="No"/>
    <s v="DSL"/>
    <x v="1"/>
    <s v="No"/>
    <s v="Electronic check"/>
    <n v="76.33"/>
    <n v="1949.82"/>
    <s v="Peshawar"/>
    <s v="No"/>
    <n v="0"/>
    <s v="0-12 months"/>
    <x v="1"/>
  </r>
  <r>
    <s v="CUST-00023"/>
    <n v="35"/>
    <s v="No"/>
    <s v="Yes"/>
    <s v="Yes"/>
    <n v="43"/>
    <s v="No"/>
    <s v="No phone service"/>
    <s v="DSL"/>
    <x v="2"/>
    <s v="No"/>
    <s v="Credit card"/>
    <n v="57.11"/>
    <n v="2311.2399999999998"/>
    <s v="Multan"/>
    <s v="Yes"/>
    <n v="1"/>
    <s v="0-12 months"/>
    <x v="0"/>
  </r>
  <r>
    <s v="CUST-00024"/>
    <n v="75"/>
    <s v="Yes"/>
    <s v="Yes"/>
    <s v="Yes"/>
    <n v="48"/>
    <s v="Yes"/>
    <s v="No"/>
    <s v="DSL"/>
    <x v="2"/>
    <s v="No"/>
    <s v="Mailed check"/>
    <n v="71.84"/>
    <n v="3597.58"/>
    <s v="Karachi"/>
    <s v="No"/>
    <n v="0"/>
    <s v="0-12 months"/>
    <x v="0"/>
  </r>
  <r>
    <s v="CUST-00025"/>
    <n v="61"/>
    <s v="Yes"/>
    <s v="Yes"/>
    <s v="Yes"/>
    <n v="46"/>
    <s v="No"/>
    <s v="No phone service"/>
    <s v="DSL"/>
    <x v="1"/>
    <s v="Yes"/>
    <s v="Mailed check"/>
    <n v="49.47"/>
    <n v="2183.46"/>
    <s v="Karachi"/>
    <s v="No"/>
    <n v="0"/>
    <s v="0-12 months"/>
    <x v="3"/>
  </r>
  <r>
    <s v="CUST-00026"/>
    <n v="74"/>
    <s v="Yes"/>
    <s v="No"/>
    <s v="Yes"/>
    <n v="23"/>
    <s v="No"/>
    <s v="No phone service"/>
    <s v="DSL"/>
    <x v="0"/>
    <s v="No"/>
    <s v="Bank Transfer"/>
    <n v="74.56"/>
    <n v="1778.83"/>
    <s v="Peshawar"/>
    <s v="No"/>
    <n v="0"/>
    <s v="0-12 months"/>
    <x v="0"/>
  </r>
  <r>
    <s v="CUST-00027"/>
    <n v="62"/>
    <s v="Yes"/>
    <s v="Yes"/>
    <s v="No"/>
    <n v="5"/>
    <s v="Yes"/>
    <s v="Yes"/>
    <s v="No internet"/>
    <x v="1"/>
    <s v="No"/>
    <s v="Electronic check"/>
    <n v="27.54"/>
    <n v="133.19999999999999"/>
    <s v="Karachi"/>
    <s v="Yes"/>
    <n v="1"/>
    <s v="0-12 months"/>
    <x v="3"/>
  </r>
  <r>
    <s v="CUST-00028"/>
    <n v="43"/>
    <s v="No"/>
    <s v="No"/>
    <s v="No"/>
    <n v="9"/>
    <s v="No"/>
    <s v="No phone service"/>
    <s v="No internet"/>
    <x v="2"/>
    <s v="No"/>
    <s v="Bank Transfer"/>
    <n v="28.12"/>
    <n v="247.95"/>
    <s v="Islamabad"/>
    <s v="Yes"/>
    <n v="1"/>
    <s v="0-12 months"/>
    <x v="3"/>
  </r>
  <r>
    <s v="CUST-00029"/>
    <n v="29"/>
    <s v="No"/>
    <s v="No"/>
    <s v="Yes"/>
    <n v="14"/>
    <s v="No"/>
    <s v="No phone service"/>
    <s v="DSL"/>
    <x v="0"/>
    <s v="No"/>
    <s v="Credit card"/>
    <n v="79.37"/>
    <n v="1059.93"/>
    <s v="Karachi"/>
    <s v="No"/>
    <n v="0"/>
    <s v="0-12 months"/>
    <x v="1"/>
  </r>
  <r>
    <s v="CUST-00030"/>
    <n v="34"/>
    <s v="No"/>
    <s v="Yes"/>
    <s v="No"/>
    <n v="1"/>
    <s v="Yes"/>
    <s v="No"/>
    <s v="DSL"/>
    <x v="2"/>
    <s v="No"/>
    <s v="Bank Transfer"/>
    <n v="66.540000000000006"/>
    <n v="63.54"/>
    <s v="Faisalabad"/>
    <s v="No"/>
    <n v="0"/>
    <s v="0-12 months"/>
    <x v="0"/>
  </r>
  <r>
    <s v="CUST-00031"/>
    <n v="37"/>
    <s v="No"/>
    <s v="No"/>
    <s v="No"/>
    <n v="52"/>
    <s v="Yes"/>
    <s v="Yes"/>
    <s v="DSL"/>
    <x v="0"/>
    <s v="No"/>
    <s v="Bank Transfer"/>
    <n v="76.11"/>
    <n v="4012.58"/>
    <s v="Faisalabad"/>
    <s v="No"/>
    <n v="0"/>
    <s v="0-12 months"/>
    <x v="1"/>
  </r>
  <r>
    <s v="CUST-00032"/>
    <n v="71"/>
    <s v="Yes"/>
    <s v="Yes"/>
    <s v="No"/>
    <n v="37"/>
    <s v="No"/>
    <s v="No phone service"/>
    <s v="Fiber optic"/>
    <x v="2"/>
    <s v="No"/>
    <s v="Bank Transfer"/>
    <n v="95.56"/>
    <n v="3660.35"/>
    <s v="Multan"/>
    <s v="No"/>
    <n v="0"/>
    <s v="0-12 months"/>
    <x v="1"/>
  </r>
  <r>
    <s v="CUST-00033"/>
    <n v="28"/>
    <s v="No"/>
    <s v="Yes"/>
    <s v="No"/>
    <n v="66"/>
    <s v="No"/>
    <s v="No phone service"/>
    <s v="DSL"/>
    <x v="2"/>
    <s v="Yes"/>
    <s v="Bank Transfer"/>
    <n v="48.99"/>
    <n v="3116.6"/>
    <s v="Karachi"/>
    <s v="Yes"/>
    <n v="1"/>
    <s v="0-12 months"/>
    <x v="3"/>
  </r>
  <r>
    <s v="CUST-00034"/>
    <n v="48"/>
    <s v="No"/>
    <s v="Yes"/>
    <s v="No"/>
    <n v="54"/>
    <s v="Yes"/>
    <s v="No"/>
    <s v="No internet"/>
    <x v="2"/>
    <s v="No"/>
    <s v="Electronic check"/>
    <n v="25.87"/>
    <n v="1314.09"/>
    <s v="Peshawar"/>
    <s v="No"/>
    <n v="0"/>
    <s v="0-12 months"/>
    <x v="3"/>
  </r>
  <r>
    <s v="CUST-00035"/>
    <n v="74"/>
    <s v="Yes"/>
    <s v="Yes"/>
    <s v="No"/>
    <n v="29"/>
    <s v="No"/>
    <s v="No phone service"/>
    <s v="Fiber optic"/>
    <x v="2"/>
    <s v="Yes"/>
    <s v="Mailed check"/>
    <n v="76.069999999999993"/>
    <n v="2108.9699999999998"/>
    <s v="Faisalabad"/>
    <s v="No"/>
    <n v="0"/>
    <s v="0-12 months"/>
    <x v="1"/>
  </r>
  <r>
    <s v="CUST-00036"/>
    <n v="53"/>
    <s v="No"/>
    <s v="No"/>
    <s v="No"/>
    <n v="65"/>
    <s v="No"/>
    <s v="No phone service"/>
    <s v="Fiber optic"/>
    <x v="1"/>
    <s v="No"/>
    <s v="Credit card"/>
    <n v="107.59"/>
    <n v="7278.56"/>
    <s v="Peshawar"/>
    <s v="No"/>
    <n v="0"/>
    <s v="0-12 months"/>
    <x v="2"/>
  </r>
  <r>
    <s v="CUST-00037"/>
    <n v="51"/>
    <s v="No"/>
    <s v="No"/>
    <s v="Yes"/>
    <n v="36"/>
    <s v="No"/>
    <s v="No phone service"/>
    <s v="Fiber optic"/>
    <x v="2"/>
    <s v="No"/>
    <s v="Electronic check"/>
    <n v="97.01"/>
    <n v="3340.81"/>
    <s v="Multan"/>
    <s v="Yes"/>
    <n v="1"/>
    <s v="0-12 months"/>
    <x v="1"/>
  </r>
  <r>
    <s v="CUST-00038"/>
    <n v="27"/>
    <s v="No"/>
    <s v="Yes"/>
    <s v="Yes"/>
    <n v="54"/>
    <s v="No"/>
    <s v="No phone service"/>
    <s v="Fiber optic"/>
    <x v="2"/>
    <s v="Yes"/>
    <s v="Bank Transfer"/>
    <n v="89.47"/>
    <n v="4987.8"/>
    <s v="Lahore"/>
    <s v="No"/>
    <n v="0"/>
    <s v="0-12 months"/>
    <x v="1"/>
  </r>
  <r>
    <s v="CUST-00039"/>
    <n v="72"/>
    <s v="Yes"/>
    <s v="No"/>
    <s v="No"/>
    <n v="1"/>
    <s v="No"/>
    <s v="No phone service"/>
    <s v="No internet"/>
    <x v="0"/>
    <s v="No"/>
    <s v="Credit card"/>
    <n v="26.82"/>
    <n v="27.79"/>
    <s v="Rawalpindi"/>
    <s v="No"/>
    <n v="0"/>
    <s v="0-12 months"/>
    <x v="3"/>
  </r>
  <r>
    <s v="CUST-00040"/>
    <n v="32"/>
    <s v="No"/>
    <s v="No"/>
    <s v="No"/>
    <n v="63"/>
    <s v="No"/>
    <s v="No phone service"/>
    <s v="Fiber optic"/>
    <x v="0"/>
    <s v="No"/>
    <s v="Bank Transfer"/>
    <n v="112.03"/>
    <n v="7413.22"/>
    <s v="Faisalabad"/>
    <s v="No"/>
    <n v="0"/>
    <s v="0-12 months"/>
    <x v="2"/>
  </r>
  <r>
    <s v="CUST-00041"/>
    <n v="19"/>
    <s v="No"/>
    <s v="No"/>
    <s v="Yes"/>
    <n v="11"/>
    <s v="Yes"/>
    <s v="No"/>
    <s v="DSL"/>
    <x v="2"/>
    <s v="No"/>
    <s v="Credit card"/>
    <n v="48.47"/>
    <n v="522.09"/>
    <s v="Rawalpindi"/>
    <s v="No"/>
    <n v="0"/>
    <s v="0-12 months"/>
    <x v="3"/>
  </r>
  <r>
    <s v="CUST-00042"/>
    <n v="35"/>
    <s v="No"/>
    <s v="No"/>
    <s v="No"/>
    <n v="11"/>
    <s v="Yes"/>
    <s v="No"/>
    <s v="DSL"/>
    <x v="2"/>
    <s v="Yes"/>
    <s v="Bank Transfer"/>
    <n v="66.069999999999993"/>
    <n v="748.94"/>
    <s v="Karachi"/>
    <s v="No"/>
    <n v="0"/>
    <s v="0-12 months"/>
    <x v="0"/>
  </r>
  <r>
    <s v="CUST-00043"/>
    <n v="71"/>
    <s v="Yes"/>
    <s v="Yes"/>
    <s v="Yes"/>
    <n v="31"/>
    <s v="Yes"/>
    <s v="No"/>
    <s v="Fiber optic"/>
    <x v="2"/>
    <s v="No"/>
    <s v="Bank Transfer"/>
    <n v="78.39"/>
    <n v="2461.36"/>
    <s v="Lahore"/>
    <s v="No"/>
    <n v="0"/>
    <s v="0-12 months"/>
    <x v="1"/>
  </r>
  <r>
    <s v="CUST-00044"/>
    <n v="67"/>
    <s v="Yes"/>
    <s v="Yes"/>
    <s v="No"/>
    <n v="14"/>
    <s v="No"/>
    <s v="No phone service"/>
    <s v="DSL"/>
    <x v="0"/>
    <s v="No"/>
    <s v="Credit card"/>
    <n v="68.599999999999994"/>
    <n v="911.53"/>
    <s v="Multan"/>
    <s v="No"/>
    <n v="0"/>
    <s v="0-12 months"/>
    <x v="0"/>
  </r>
  <r>
    <s v="CUST-00045"/>
    <n v="33"/>
    <s v="No"/>
    <s v="Yes"/>
    <s v="No"/>
    <n v="16"/>
    <s v="Yes"/>
    <s v="Yes"/>
    <s v="DSL"/>
    <x v="2"/>
    <s v="No"/>
    <s v="Electronic check"/>
    <n v="65.900000000000006"/>
    <n v="992.74"/>
    <s v="Rawalpindi"/>
    <s v="No"/>
    <n v="0"/>
    <s v="0-12 months"/>
    <x v="0"/>
  </r>
  <r>
    <s v="CUST-00046"/>
    <n v="24"/>
    <s v="No"/>
    <s v="No"/>
    <s v="No"/>
    <n v="59"/>
    <s v="No"/>
    <s v="No phone service"/>
    <s v="DSL"/>
    <x v="2"/>
    <s v="No"/>
    <s v="Bank Transfer"/>
    <n v="76.78"/>
    <n v="4679.32"/>
    <s v="Peshawar"/>
    <s v="No"/>
    <n v="0"/>
    <s v="0-12 months"/>
    <x v="1"/>
  </r>
  <r>
    <s v="CUST-00047"/>
    <n v="64"/>
    <s v="Yes"/>
    <s v="No"/>
    <s v="No"/>
    <n v="32"/>
    <s v="Yes"/>
    <s v="Yes"/>
    <s v="No internet"/>
    <x v="2"/>
    <s v="No"/>
    <s v="Credit card"/>
    <n v="26.02"/>
    <n v="816.29"/>
    <s v="Islamabad"/>
    <s v="No"/>
    <n v="0"/>
    <s v="0-12 months"/>
    <x v="3"/>
  </r>
  <r>
    <s v="CUST-00048"/>
    <n v="29"/>
    <s v="No"/>
    <s v="No"/>
    <s v="Yes"/>
    <n v="46"/>
    <s v="No"/>
    <s v="No phone service"/>
    <s v="DSL"/>
    <x v="2"/>
    <s v="No"/>
    <s v="Credit card"/>
    <n v="60.67"/>
    <n v="2687.36"/>
    <s v="Rawalpindi"/>
    <s v="Yes"/>
    <n v="1"/>
    <s v="0-12 months"/>
    <x v="0"/>
  </r>
  <r>
    <s v="CUST-00049"/>
    <n v="49"/>
    <s v="No"/>
    <s v="Yes"/>
    <s v="No"/>
    <n v="63"/>
    <s v="Yes"/>
    <s v="Yes"/>
    <s v="Fiber optic"/>
    <x v="2"/>
    <s v="Yes"/>
    <s v="Electronic check"/>
    <n v="99.08"/>
    <n v="6222.01"/>
    <s v="Rawalpindi"/>
    <s v="No"/>
    <n v="0"/>
    <s v="0-12 months"/>
    <x v="1"/>
  </r>
  <r>
    <s v="CUST-00050"/>
    <n v="65"/>
    <s v="Yes"/>
    <s v="No"/>
    <s v="No"/>
    <n v="59"/>
    <s v="No"/>
    <s v="No phone service"/>
    <s v="Fiber optic"/>
    <x v="2"/>
    <s v="Yes"/>
    <s v="Electronic check"/>
    <n v="107.14"/>
    <n v="6663.27"/>
    <s v="Karachi"/>
    <s v="No"/>
    <n v="0"/>
    <s v="0-12 months"/>
    <x v="2"/>
  </r>
  <r>
    <s v="CUST-00051"/>
    <n v="31"/>
    <s v="No"/>
    <s v="No"/>
    <s v="No"/>
    <n v="68"/>
    <s v="Yes"/>
    <s v="No"/>
    <s v="DSL"/>
    <x v="2"/>
    <s v="No"/>
    <s v="Electronic check"/>
    <n v="40.57"/>
    <n v="2770.06"/>
    <s v="Lahore"/>
    <s v="Yes"/>
    <n v="1"/>
    <s v="0-12 months"/>
    <x v="3"/>
  </r>
  <r>
    <s v="CUST-00052"/>
    <n v="53"/>
    <s v="No"/>
    <s v="No"/>
    <s v="Yes"/>
    <n v="63"/>
    <s v="Yes"/>
    <s v="No"/>
    <s v="Fiber optic"/>
    <x v="2"/>
    <s v="No"/>
    <s v="Electronic check"/>
    <n v="118.27"/>
    <n v="7229.7"/>
    <s v="Lahore"/>
    <s v="No"/>
    <n v="0"/>
    <s v="0-12 months"/>
    <x v="2"/>
  </r>
  <r>
    <s v="CUST-00053"/>
    <n v="70"/>
    <s v="Yes"/>
    <s v="Yes"/>
    <s v="No"/>
    <n v="63"/>
    <s v="Yes"/>
    <s v="Yes"/>
    <s v="Fiber optic"/>
    <x v="1"/>
    <s v="No"/>
    <s v="Electronic check"/>
    <n v="82.41"/>
    <n v="5228.01"/>
    <s v="Faisalabad"/>
    <s v="No"/>
    <n v="0"/>
    <s v="0-12 months"/>
    <x v="1"/>
  </r>
  <r>
    <s v="CUST-00054"/>
    <n v="68"/>
    <s v="Yes"/>
    <s v="Yes"/>
    <s v="No"/>
    <n v="58"/>
    <s v="No"/>
    <s v="No phone service"/>
    <s v="No internet"/>
    <x v="1"/>
    <s v="No"/>
    <s v="Electronic check"/>
    <n v="25.45"/>
    <n v="1495.52"/>
    <s v="Peshawar"/>
    <s v="No"/>
    <n v="0"/>
    <s v="0-12 months"/>
    <x v="3"/>
  </r>
  <r>
    <s v="CUST-00055"/>
    <n v="31"/>
    <s v="No"/>
    <s v="Yes"/>
    <s v="No"/>
    <n v="11"/>
    <s v="Yes"/>
    <s v="No"/>
    <s v="Fiber optic"/>
    <x v="2"/>
    <s v="No"/>
    <s v="Credit card"/>
    <n v="99.69"/>
    <n v="1069.1199999999999"/>
    <s v="Multan"/>
    <s v="Yes"/>
    <n v="1"/>
    <s v="0-12 months"/>
    <x v="1"/>
  </r>
  <r>
    <s v="CUST-00056"/>
    <n v="36"/>
    <s v="No"/>
    <s v="No"/>
    <s v="Yes"/>
    <n v="30"/>
    <s v="Yes"/>
    <s v="No"/>
    <s v="No internet"/>
    <x v="2"/>
    <s v="Yes"/>
    <s v="Mailed check"/>
    <n v="27.92"/>
    <n v="794.52"/>
    <s v="Islamabad"/>
    <s v="Yes"/>
    <n v="1"/>
    <s v="0-12 months"/>
    <x v="3"/>
  </r>
  <r>
    <s v="CUST-00057"/>
    <n v="56"/>
    <s v="No"/>
    <s v="No"/>
    <s v="No"/>
    <n v="16"/>
    <s v="No"/>
    <s v="No phone service"/>
    <s v="DSL"/>
    <x v="0"/>
    <s v="No"/>
    <s v="Credit card"/>
    <n v="59.75"/>
    <n v="907.87"/>
    <s v="Rawalpindi"/>
    <s v="Yes"/>
    <n v="1"/>
    <s v="0-12 months"/>
    <x v="0"/>
  </r>
  <r>
    <s v="CUST-00058"/>
    <n v="65"/>
    <s v="Yes"/>
    <s v="No"/>
    <s v="No"/>
    <n v="4"/>
    <s v="Yes"/>
    <s v="No"/>
    <s v="Fiber optic"/>
    <x v="0"/>
    <s v="No"/>
    <s v="Credit card"/>
    <n v="108.16"/>
    <n v="415.78"/>
    <s v="Rawalpindi"/>
    <s v="No"/>
    <n v="0"/>
    <s v="0-12 months"/>
    <x v="2"/>
  </r>
  <r>
    <s v="CUST-00059"/>
    <n v="35"/>
    <s v="No"/>
    <s v="Yes"/>
    <s v="No"/>
    <n v="63"/>
    <s v="No"/>
    <s v="No phone service"/>
    <s v="No internet"/>
    <x v="2"/>
    <s v="No"/>
    <s v="Electronic check"/>
    <n v="19.260000000000002"/>
    <n v="1163.99"/>
    <s v="Rawalpindi"/>
    <s v="No"/>
    <n v="0"/>
    <s v="0-12 months"/>
    <x v="3"/>
  </r>
  <r>
    <s v="CUST-00060"/>
    <n v="36"/>
    <s v="No"/>
    <s v="No"/>
    <s v="Yes"/>
    <n v="59"/>
    <s v="No"/>
    <s v="No phone service"/>
    <s v="Fiber optic"/>
    <x v="2"/>
    <s v="No"/>
    <s v="Mailed check"/>
    <n v="111.25"/>
    <n v="6170.83"/>
    <s v="Rawalpindi"/>
    <s v="No"/>
    <n v="0"/>
    <s v="0-12 months"/>
    <x v="2"/>
  </r>
  <r>
    <s v="CUST-00061"/>
    <n v="44"/>
    <s v="No"/>
    <s v="Yes"/>
    <s v="Yes"/>
    <n v="67"/>
    <s v="No"/>
    <s v="No phone service"/>
    <s v="Fiber optic"/>
    <x v="0"/>
    <s v="Yes"/>
    <s v="Electronic check"/>
    <n v="97.46"/>
    <n v="6864.94"/>
    <s v="Multan"/>
    <s v="No"/>
    <n v="0"/>
    <s v="0-12 months"/>
    <x v="1"/>
  </r>
  <r>
    <s v="CUST-00062"/>
    <n v="49"/>
    <s v="No"/>
    <s v="Yes"/>
    <s v="Yes"/>
    <n v="31"/>
    <s v="No"/>
    <s v="No phone service"/>
    <s v="DSL"/>
    <x v="0"/>
    <s v="No"/>
    <s v="Electronic check"/>
    <n v="79.69"/>
    <n v="2592.8000000000002"/>
    <s v="Lahore"/>
    <s v="No"/>
    <n v="0"/>
    <s v="0-12 months"/>
    <x v="1"/>
  </r>
  <r>
    <s v="CUST-00063"/>
    <n v="59"/>
    <s v="No"/>
    <s v="Yes"/>
    <s v="No"/>
    <n v="38"/>
    <s v="No"/>
    <s v="No phone service"/>
    <s v="DSL"/>
    <x v="2"/>
    <s v="No"/>
    <s v="Mailed check"/>
    <n v="49.75"/>
    <n v="1902.13"/>
    <s v="Faisalabad"/>
    <s v="No"/>
    <n v="0"/>
    <s v="0-12 months"/>
    <x v="3"/>
  </r>
  <r>
    <s v="CUST-00064"/>
    <n v="50"/>
    <s v="No"/>
    <s v="Yes"/>
    <s v="Yes"/>
    <n v="36"/>
    <s v="No"/>
    <s v="No phone service"/>
    <s v="DSL"/>
    <x v="2"/>
    <s v="No"/>
    <s v="Bank Transfer"/>
    <n v="51.31"/>
    <n v="1802.51"/>
    <s v="Multan"/>
    <s v="No"/>
    <n v="0"/>
    <s v="0-12 months"/>
    <x v="0"/>
  </r>
  <r>
    <s v="CUST-00065"/>
    <n v="49"/>
    <s v="No"/>
    <s v="Yes"/>
    <s v="No"/>
    <n v="69"/>
    <s v="No"/>
    <s v="No phone service"/>
    <s v="DSL"/>
    <x v="0"/>
    <s v="No"/>
    <s v="Credit card"/>
    <n v="52.87"/>
    <n v="3511.73"/>
    <s v="Faisalabad"/>
    <s v="No"/>
    <n v="0"/>
    <s v="0-12 months"/>
    <x v="0"/>
  </r>
  <r>
    <s v="CUST-00066"/>
    <n v="42"/>
    <s v="No"/>
    <s v="Yes"/>
    <s v="No"/>
    <n v="6"/>
    <s v="No"/>
    <s v="No phone service"/>
    <s v="Fiber optic"/>
    <x v="0"/>
    <s v="No"/>
    <s v="Credit card"/>
    <n v="103.18"/>
    <n v="642.91"/>
    <s v="Rawalpindi"/>
    <s v="No"/>
    <n v="0"/>
    <s v="0-12 months"/>
    <x v="2"/>
  </r>
  <r>
    <s v="CUST-00067"/>
    <n v="20"/>
    <s v="No"/>
    <s v="Yes"/>
    <s v="No"/>
    <n v="13"/>
    <s v="No"/>
    <s v="No phone service"/>
    <s v="No internet"/>
    <x v="2"/>
    <s v="No"/>
    <s v="Electronic check"/>
    <n v="19.73"/>
    <n v="267.91000000000003"/>
    <s v="Lahore"/>
    <s v="No"/>
    <n v="0"/>
    <s v="0-12 months"/>
    <x v="3"/>
  </r>
  <r>
    <s v="CUST-00068"/>
    <n v="48"/>
    <s v="No"/>
    <s v="No"/>
    <s v="No"/>
    <n v="51"/>
    <s v="No"/>
    <s v="No phone service"/>
    <s v="DSL"/>
    <x v="1"/>
    <s v="No"/>
    <s v="Mailed check"/>
    <n v="65.069999999999993"/>
    <n v="3472.86"/>
    <s v="Faisalabad"/>
    <s v="No"/>
    <n v="0"/>
    <s v="0-12 months"/>
    <x v="0"/>
  </r>
  <r>
    <s v="CUST-00069"/>
    <n v="20"/>
    <s v="No"/>
    <s v="Yes"/>
    <s v="Yes"/>
    <n v="37"/>
    <s v="Yes"/>
    <s v="No"/>
    <s v="No internet"/>
    <x v="2"/>
    <s v="Yes"/>
    <s v="Credit card"/>
    <n v="26.33"/>
    <n v="1021.37"/>
    <s v="Peshawar"/>
    <s v="Yes"/>
    <n v="1"/>
    <s v="0-12 months"/>
    <x v="3"/>
  </r>
  <r>
    <s v="CUST-00070"/>
    <n v="21"/>
    <s v="No"/>
    <s v="No"/>
    <s v="No"/>
    <n v="48"/>
    <s v="Yes"/>
    <s v="No"/>
    <s v="Fiber optic"/>
    <x v="0"/>
    <s v="Yes"/>
    <s v="Electronic check"/>
    <n v="73.95"/>
    <n v="3707.56"/>
    <s v="Karachi"/>
    <s v="No"/>
    <n v="0"/>
    <s v="0-12 months"/>
    <x v="0"/>
  </r>
  <r>
    <s v="CUST-00071"/>
    <n v="49"/>
    <s v="No"/>
    <s v="Yes"/>
    <s v="Yes"/>
    <n v="60"/>
    <s v="No"/>
    <s v="No phone service"/>
    <s v="DSL"/>
    <x v="2"/>
    <s v="Yes"/>
    <s v="Mailed check"/>
    <n v="58.61"/>
    <n v="3426.98"/>
    <s v="Lahore"/>
    <s v="No"/>
    <n v="0"/>
    <s v="0-12 months"/>
    <x v="0"/>
  </r>
  <r>
    <s v="CUST-00072"/>
    <n v="46"/>
    <s v="No"/>
    <s v="No"/>
    <s v="No"/>
    <n v="55"/>
    <s v="No"/>
    <s v="No phone service"/>
    <s v="DSL"/>
    <x v="1"/>
    <s v="Yes"/>
    <s v="Mailed check"/>
    <n v="74.13"/>
    <n v="3884.7"/>
    <s v="Islamabad"/>
    <s v="No"/>
    <n v="0"/>
    <s v="0-12 months"/>
    <x v="0"/>
  </r>
  <r>
    <s v="CUST-00073"/>
    <n v="54"/>
    <s v="No"/>
    <s v="No"/>
    <s v="No"/>
    <n v="3"/>
    <s v="No"/>
    <s v="No phone service"/>
    <s v="No internet"/>
    <x v="2"/>
    <s v="Yes"/>
    <s v="Mailed check"/>
    <n v="26.94"/>
    <n v="84.05"/>
    <s v="Peshawar"/>
    <s v="No"/>
    <n v="0"/>
    <s v="0-12 months"/>
    <x v="3"/>
  </r>
  <r>
    <s v="CUST-00074"/>
    <n v="69"/>
    <s v="Yes"/>
    <s v="Yes"/>
    <s v="No"/>
    <n v="29"/>
    <s v="No"/>
    <s v="No phone service"/>
    <s v="DSL"/>
    <x v="0"/>
    <s v="Yes"/>
    <s v="Bank Transfer"/>
    <n v="76.14"/>
    <n v="2246.84"/>
    <s v="Rawalpindi"/>
    <s v="No"/>
    <n v="0"/>
    <s v="0-12 months"/>
    <x v="1"/>
  </r>
  <r>
    <s v="CUST-00075"/>
    <n v="20"/>
    <s v="No"/>
    <s v="No"/>
    <s v="Yes"/>
    <n v="12"/>
    <s v="No"/>
    <s v="No phone service"/>
    <s v="No internet"/>
    <x v="0"/>
    <s v="Yes"/>
    <s v="Electronic check"/>
    <n v="27.44"/>
    <n v="344.16"/>
    <s v="Faisalabad"/>
    <s v="No"/>
    <n v="0"/>
    <s v="0-12 months"/>
    <x v="3"/>
  </r>
  <r>
    <s v="CUST-00076"/>
    <n v="35"/>
    <s v="No"/>
    <s v="Yes"/>
    <s v="No"/>
    <n v="62"/>
    <s v="No"/>
    <s v="No phone service"/>
    <s v="No internet"/>
    <x v="0"/>
    <s v="No"/>
    <s v="Bank Transfer"/>
    <n v="23.62"/>
    <n v="1389.81"/>
    <s v="Karachi"/>
    <s v="No"/>
    <n v="0"/>
    <s v="0-12 months"/>
    <x v="3"/>
  </r>
  <r>
    <s v="CUST-00077"/>
    <n v="73"/>
    <s v="Yes"/>
    <s v="No"/>
    <s v="No"/>
    <n v="12"/>
    <s v="Yes"/>
    <s v="Yes"/>
    <s v="DSL"/>
    <x v="2"/>
    <s v="No"/>
    <s v="Bank Transfer"/>
    <n v="66.89"/>
    <n v="810.82"/>
    <s v="Islamabad"/>
    <s v="No"/>
    <n v="0"/>
    <s v="0-12 months"/>
    <x v="0"/>
  </r>
  <r>
    <s v="CUST-00078"/>
    <n v="24"/>
    <s v="No"/>
    <s v="Yes"/>
    <s v="No"/>
    <n v="4"/>
    <s v="No"/>
    <s v="No phone service"/>
    <s v="DSL"/>
    <x v="1"/>
    <s v="Yes"/>
    <s v="Bank Transfer"/>
    <n v="65.42"/>
    <n v="260.56"/>
    <s v="Multan"/>
    <s v="No"/>
    <n v="0"/>
    <s v="0-12 months"/>
    <x v="0"/>
  </r>
  <r>
    <s v="CUST-00079"/>
    <n v="44"/>
    <s v="No"/>
    <s v="Yes"/>
    <s v="Yes"/>
    <n v="6"/>
    <s v="No"/>
    <s v="No phone service"/>
    <s v="No internet"/>
    <x v="1"/>
    <s v="Yes"/>
    <s v="Electronic check"/>
    <n v="28.65"/>
    <n v="164.38"/>
    <s v="Multan"/>
    <s v="No"/>
    <n v="0"/>
    <s v="0-12 months"/>
    <x v="3"/>
  </r>
  <r>
    <s v="CUST-00080"/>
    <n v="65"/>
    <s v="Yes"/>
    <s v="No"/>
    <s v="Yes"/>
    <n v="54"/>
    <s v="No"/>
    <s v="No phone service"/>
    <s v="DSL"/>
    <x v="0"/>
    <s v="No"/>
    <s v="Electronic check"/>
    <n v="54.82"/>
    <n v="2940.17"/>
    <s v="Peshawar"/>
    <s v="No"/>
    <n v="0"/>
    <s v="0-12 months"/>
    <x v="0"/>
  </r>
  <r>
    <s v="CUST-00081"/>
    <n v="41"/>
    <s v="No"/>
    <s v="Yes"/>
    <s v="No"/>
    <n v="70"/>
    <s v="No"/>
    <s v="No phone service"/>
    <s v="No internet"/>
    <x v="2"/>
    <s v="No"/>
    <s v="Electronic check"/>
    <n v="19.47"/>
    <n v="1419.82"/>
    <s v="Multan"/>
    <s v="No"/>
    <n v="0"/>
    <s v="0-12 months"/>
    <x v="3"/>
  </r>
  <r>
    <s v="CUST-00082"/>
    <n v="31"/>
    <s v="No"/>
    <s v="Yes"/>
    <s v="Yes"/>
    <n v="43"/>
    <s v="Yes"/>
    <s v="No"/>
    <s v="Fiber optic"/>
    <x v="2"/>
    <s v="Yes"/>
    <s v="Credit card"/>
    <n v="110.65"/>
    <n v="4605.5"/>
    <s v="Peshawar"/>
    <s v="No"/>
    <n v="0"/>
    <s v="0-12 months"/>
    <x v="2"/>
  </r>
  <r>
    <s v="CUST-00083"/>
    <n v="75"/>
    <s v="Yes"/>
    <s v="Yes"/>
    <s v="No"/>
    <n v="19"/>
    <s v="No"/>
    <s v="No phone service"/>
    <s v="No internet"/>
    <x v="0"/>
    <s v="Yes"/>
    <s v="Bank Transfer"/>
    <n v="18.309999999999999"/>
    <n v="327.64"/>
    <s v="Karachi"/>
    <s v="No"/>
    <n v="0"/>
    <s v="0-12 months"/>
    <x v="3"/>
  </r>
  <r>
    <s v="CUST-00084"/>
    <n v="55"/>
    <s v="No"/>
    <s v="No"/>
    <s v="Yes"/>
    <n v="23"/>
    <s v="Yes"/>
    <s v="No"/>
    <s v="Fiber optic"/>
    <x v="2"/>
    <s v="Yes"/>
    <s v="Credit card"/>
    <n v="108.9"/>
    <n v="2508.6799999999998"/>
    <s v="Faisalabad"/>
    <s v="Yes"/>
    <n v="1"/>
    <s v="0-12 months"/>
    <x v="2"/>
  </r>
  <r>
    <s v="CUST-00085"/>
    <n v="32"/>
    <s v="No"/>
    <s v="Yes"/>
    <s v="No"/>
    <n v="59"/>
    <s v="Yes"/>
    <s v="Yes"/>
    <s v="DSL"/>
    <x v="2"/>
    <s v="No"/>
    <s v="Credit card"/>
    <n v="44.32"/>
    <n v="2681.53"/>
    <s v="Lahore"/>
    <s v="No"/>
    <n v="0"/>
    <s v="0-12 months"/>
    <x v="3"/>
  </r>
  <r>
    <s v="CUST-00086"/>
    <n v="38"/>
    <s v="No"/>
    <s v="Yes"/>
    <s v="Yes"/>
    <n v="17"/>
    <s v="No"/>
    <s v="No phone service"/>
    <s v="Fiber optic"/>
    <x v="2"/>
    <s v="No"/>
    <s v="Credit card"/>
    <n v="100.27"/>
    <n v="1622.6"/>
    <s v="Peshawar"/>
    <s v="No"/>
    <n v="0"/>
    <s v="0-12 months"/>
    <x v="2"/>
  </r>
  <r>
    <s v="CUST-00087"/>
    <n v="59"/>
    <s v="No"/>
    <s v="Yes"/>
    <s v="No"/>
    <n v="58"/>
    <s v="No"/>
    <s v="No phone service"/>
    <s v="No internet"/>
    <x v="2"/>
    <s v="No"/>
    <s v="Credit card"/>
    <n v="26.76"/>
    <n v="1517.17"/>
    <s v="Islamabad"/>
    <s v="No"/>
    <n v="0"/>
    <s v="0-12 months"/>
    <x v="3"/>
  </r>
  <r>
    <s v="CUST-00088"/>
    <n v="41"/>
    <s v="No"/>
    <s v="Yes"/>
    <s v="No"/>
    <n v="9"/>
    <s v="Yes"/>
    <s v="Yes"/>
    <s v="Fiber optic"/>
    <x v="2"/>
    <s v="No"/>
    <s v="Bank Transfer"/>
    <n v="97.82"/>
    <n v="889.51"/>
    <s v="Islamabad"/>
    <s v="No"/>
    <n v="0"/>
    <s v="0-12 months"/>
    <x v="1"/>
  </r>
  <r>
    <s v="CUST-00089"/>
    <n v="60"/>
    <s v="Yes"/>
    <s v="Yes"/>
    <s v="No"/>
    <n v="46"/>
    <s v="No"/>
    <s v="No phone service"/>
    <s v="No internet"/>
    <x v="1"/>
    <s v="Yes"/>
    <s v="Mailed check"/>
    <n v="25.2"/>
    <n v="1138.56"/>
    <s v="Karachi"/>
    <s v="No"/>
    <n v="0"/>
    <s v="0-12 months"/>
    <x v="3"/>
  </r>
  <r>
    <s v="CUST-00090"/>
    <n v="27"/>
    <s v="No"/>
    <s v="No"/>
    <s v="Yes"/>
    <n v="14"/>
    <s v="No"/>
    <s v="No phone service"/>
    <s v="Fiber optic"/>
    <x v="2"/>
    <s v="No"/>
    <s v="Credit card"/>
    <n v="110.36"/>
    <n v="1609.03"/>
    <s v="Peshawar"/>
    <s v="No"/>
    <n v="0"/>
    <s v="0-12 months"/>
    <x v="2"/>
  </r>
  <r>
    <s v="CUST-00091"/>
    <n v="57"/>
    <s v="No"/>
    <s v="Yes"/>
    <s v="No"/>
    <n v="4"/>
    <s v="No"/>
    <s v="No phone service"/>
    <s v="Fiber optic"/>
    <x v="1"/>
    <s v="No"/>
    <s v="Electronic check"/>
    <n v="113.49"/>
    <n v="457.57"/>
    <s v="Karachi"/>
    <s v="Yes"/>
    <n v="1"/>
    <s v="0-12 months"/>
    <x v="2"/>
  </r>
  <r>
    <s v="CUST-00092"/>
    <n v="65"/>
    <s v="Yes"/>
    <s v="Yes"/>
    <s v="Yes"/>
    <n v="68"/>
    <s v="No"/>
    <s v="No phone service"/>
    <s v="Fiber optic"/>
    <x v="2"/>
    <s v="Yes"/>
    <s v="Credit card"/>
    <n v="106.08"/>
    <n v="7453.07"/>
    <s v="Lahore"/>
    <s v="No"/>
    <n v="0"/>
    <s v="0-12 months"/>
    <x v="2"/>
  </r>
  <r>
    <s v="CUST-00093"/>
    <n v="74"/>
    <s v="Yes"/>
    <s v="Yes"/>
    <s v="Yes"/>
    <n v="21"/>
    <s v="Yes"/>
    <s v="No"/>
    <s v="DSL"/>
    <x v="2"/>
    <s v="No"/>
    <s v="Credit card"/>
    <n v="57.68"/>
    <n v="1178.31"/>
    <s v="Lahore"/>
    <s v="No"/>
    <n v="0"/>
    <s v="0-12 months"/>
    <x v="0"/>
  </r>
  <r>
    <s v="CUST-00094"/>
    <n v="40"/>
    <s v="No"/>
    <s v="No"/>
    <s v="Yes"/>
    <n v="37"/>
    <s v="No"/>
    <s v="No phone service"/>
    <s v="DSL"/>
    <x v="2"/>
    <s v="No"/>
    <s v="Electronic check"/>
    <n v="55.81"/>
    <n v="2089.58"/>
    <s v="Islamabad"/>
    <s v="Yes"/>
    <n v="1"/>
    <s v="0-12 months"/>
    <x v="0"/>
  </r>
  <r>
    <s v="CUST-00095"/>
    <n v="31"/>
    <s v="No"/>
    <s v="Yes"/>
    <s v="No"/>
    <n v="38"/>
    <s v="Yes"/>
    <s v="No"/>
    <s v="Fiber optic"/>
    <x v="2"/>
    <s v="Yes"/>
    <s v="Credit card"/>
    <n v="105.18"/>
    <n v="3996.97"/>
    <s v="Peshawar"/>
    <s v="No"/>
    <n v="0"/>
    <s v="0-12 months"/>
    <x v="2"/>
  </r>
  <r>
    <s v="CUST-00096"/>
    <n v="40"/>
    <s v="No"/>
    <s v="Yes"/>
    <s v="No"/>
    <n v="6"/>
    <s v="No"/>
    <s v="No phone service"/>
    <s v="Fiber optic"/>
    <x v="1"/>
    <s v="No"/>
    <s v="Credit card"/>
    <n v="98.67"/>
    <n v="606.9"/>
    <s v="Lahore"/>
    <s v="Yes"/>
    <n v="1"/>
    <s v="0-12 months"/>
    <x v="1"/>
  </r>
  <r>
    <s v="CUST-00097"/>
    <n v="43"/>
    <s v="No"/>
    <s v="Yes"/>
    <s v="No"/>
    <n v="22"/>
    <s v="No"/>
    <s v="No phone service"/>
    <s v="No internet"/>
    <x v="1"/>
    <s v="No"/>
    <s v="Electronic check"/>
    <n v="28.13"/>
    <n v="599.79999999999995"/>
    <s v="Faisalabad"/>
    <s v="No"/>
    <n v="0"/>
    <s v="0-12 months"/>
    <x v="3"/>
  </r>
  <r>
    <s v="CUST-00098"/>
    <n v="23"/>
    <s v="No"/>
    <s v="No"/>
    <s v="No"/>
    <n v="44"/>
    <s v="Yes"/>
    <s v="Yes"/>
    <s v="Fiber optic"/>
    <x v="0"/>
    <s v="Yes"/>
    <s v="Mailed check"/>
    <n v="87.47"/>
    <n v="3953.69"/>
    <s v="Peshawar"/>
    <s v="No"/>
    <n v="0"/>
    <s v="0-12 months"/>
    <x v="1"/>
  </r>
  <r>
    <s v="CUST-00099"/>
    <n v="27"/>
    <s v="No"/>
    <s v="Yes"/>
    <s v="Yes"/>
    <n v="19"/>
    <s v="Yes"/>
    <s v="No"/>
    <s v="Fiber optic"/>
    <x v="0"/>
    <s v="Yes"/>
    <s v="Electronic check"/>
    <n v="108.64"/>
    <n v="2062.6999999999998"/>
    <s v="Peshawar"/>
    <s v="No"/>
    <n v="0"/>
    <s v="0-12 months"/>
    <x v="2"/>
  </r>
  <r>
    <s v="CUST-00100"/>
    <n v="55"/>
    <s v="No"/>
    <s v="No"/>
    <s v="No"/>
    <n v="41"/>
    <s v="Yes"/>
    <s v="No"/>
    <s v="Fiber optic"/>
    <x v="0"/>
    <s v="No"/>
    <s v="Credit card"/>
    <n v="87.6"/>
    <n v="3408.08"/>
    <s v="Lahore"/>
    <s v="No"/>
    <n v="0"/>
    <s v="0-12 months"/>
    <x v="1"/>
  </r>
  <r>
    <s v="CUST-00101"/>
    <n v="21"/>
    <s v="No"/>
    <s v="No"/>
    <s v="No"/>
    <n v="10"/>
    <s v="Yes"/>
    <s v="No"/>
    <s v="DSL"/>
    <x v="2"/>
    <s v="No"/>
    <s v="Credit card"/>
    <n v="78.17"/>
    <n v="804.11"/>
    <s v="Peshawar"/>
    <s v="Yes"/>
    <n v="1"/>
    <s v="0-12 months"/>
    <x v="1"/>
  </r>
  <r>
    <s v="CUST-00102"/>
    <n v="54"/>
    <s v="No"/>
    <s v="Yes"/>
    <s v="No"/>
    <n v="61"/>
    <s v="Yes"/>
    <s v="No"/>
    <s v="DSL"/>
    <x v="1"/>
    <s v="No"/>
    <s v="Mailed check"/>
    <n v="43.37"/>
    <n v="2691.96"/>
    <s v="Multan"/>
    <s v="Yes"/>
    <n v="1"/>
    <s v="0-12 months"/>
    <x v="3"/>
  </r>
  <r>
    <s v="CUST-00103"/>
    <n v="46"/>
    <s v="No"/>
    <s v="No"/>
    <s v="Yes"/>
    <n v="47"/>
    <s v="No"/>
    <s v="No phone service"/>
    <s v="Fiber optic"/>
    <x v="2"/>
    <s v="No"/>
    <s v="Bank Transfer"/>
    <n v="72.62"/>
    <n v="3466.75"/>
    <s v="Islamabad"/>
    <s v="Yes"/>
    <n v="1"/>
    <s v="0-12 months"/>
    <x v="0"/>
  </r>
  <r>
    <s v="CUST-00104"/>
    <n v="24"/>
    <s v="No"/>
    <s v="No"/>
    <s v="No"/>
    <n v="33"/>
    <s v="Yes"/>
    <s v="Yes"/>
    <s v="DSL"/>
    <x v="0"/>
    <s v="Yes"/>
    <s v="Mailed check"/>
    <n v="52.41"/>
    <n v="1761.92"/>
    <s v="Karachi"/>
    <s v="No"/>
    <n v="0"/>
    <s v="0-12 months"/>
    <x v="0"/>
  </r>
  <r>
    <s v="CUST-00105"/>
    <n v="56"/>
    <s v="No"/>
    <s v="Yes"/>
    <s v="No"/>
    <n v="72"/>
    <s v="No"/>
    <s v="No phone service"/>
    <s v="Fiber optic"/>
    <x v="1"/>
    <s v="Yes"/>
    <s v="Bank Transfer"/>
    <n v="91.17"/>
    <n v="6455.4"/>
    <s v="Karachi"/>
    <s v="No"/>
    <n v="0"/>
    <s v="0-12 months"/>
    <x v="1"/>
  </r>
  <r>
    <s v="CUST-00106"/>
    <n v="31"/>
    <s v="No"/>
    <s v="No"/>
    <s v="No"/>
    <n v="25"/>
    <s v="Yes"/>
    <s v="Yes"/>
    <s v="Fiber optic"/>
    <x v="2"/>
    <s v="Yes"/>
    <s v="Credit card"/>
    <n v="96.99"/>
    <n v="2494.19"/>
    <s v="Multan"/>
    <s v="No"/>
    <n v="0"/>
    <s v="0-12 months"/>
    <x v="1"/>
  </r>
  <r>
    <s v="CUST-00107"/>
    <n v="39"/>
    <s v="No"/>
    <s v="Yes"/>
    <s v="No"/>
    <n v="20"/>
    <s v="Yes"/>
    <s v="No"/>
    <s v="Fiber optic"/>
    <x v="2"/>
    <s v="No"/>
    <s v="Bank Transfer"/>
    <n v="81.88"/>
    <n v="1626.63"/>
    <s v="Multan"/>
    <s v="Yes"/>
    <n v="1"/>
    <s v="0-12 months"/>
    <x v="1"/>
  </r>
  <r>
    <s v="CUST-00108"/>
    <n v="68"/>
    <s v="Yes"/>
    <s v="No"/>
    <s v="Yes"/>
    <n v="69"/>
    <s v="No"/>
    <s v="No phone service"/>
    <s v="Fiber optic"/>
    <x v="1"/>
    <s v="Yes"/>
    <s v="Credit card"/>
    <n v="117.36"/>
    <n v="8568.59"/>
    <s v="Islamabad"/>
    <s v="No"/>
    <n v="0"/>
    <s v="0-12 months"/>
    <x v="2"/>
  </r>
  <r>
    <s v="CUST-00109"/>
    <n v="67"/>
    <s v="Yes"/>
    <s v="No"/>
    <s v="No"/>
    <n v="21"/>
    <s v="Yes"/>
    <s v="No"/>
    <s v="No internet"/>
    <x v="2"/>
    <s v="No"/>
    <s v="Mailed check"/>
    <n v="24.65"/>
    <n v="492.96"/>
    <s v="Peshawar"/>
    <s v="No"/>
    <n v="0"/>
    <s v="0-12 months"/>
    <x v="3"/>
  </r>
  <r>
    <s v="CUST-00110"/>
    <n v="25"/>
    <s v="No"/>
    <s v="No"/>
    <s v="Yes"/>
    <n v="21"/>
    <s v="Yes"/>
    <s v="No"/>
    <s v="Fiber optic"/>
    <x v="2"/>
    <s v="Yes"/>
    <s v="Bank Transfer"/>
    <n v="114.23"/>
    <n v="2522.75"/>
    <s v="Rawalpindi"/>
    <s v="No"/>
    <n v="0"/>
    <s v="0-12 months"/>
    <x v="2"/>
  </r>
  <r>
    <s v="CUST-00111"/>
    <n v="50"/>
    <s v="No"/>
    <s v="No"/>
    <s v="Yes"/>
    <n v="50"/>
    <s v="No"/>
    <s v="No phone service"/>
    <s v="No internet"/>
    <x v="2"/>
    <s v="No"/>
    <s v="Mailed check"/>
    <n v="28.07"/>
    <n v="1428.76"/>
    <s v="Karachi"/>
    <s v="No"/>
    <n v="0"/>
    <s v="0-12 months"/>
    <x v="3"/>
  </r>
  <r>
    <s v="CUST-00112"/>
    <n v="20"/>
    <s v="No"/>
    <s v="No"/>
    <s v="No"/>
    <n v="18"/>
    <s v="No"/>
    <s v="No phone service"/>
    <s v="DSL"/>
    <x v="2"/>
    <s v="Yes"/>
    <s v="Mailed check"/>
    <n v="40.76"/>
    <n v="708.65"/>
    <s v="Multan"/>
    <s v="Yes"/>
    <n v="1"/>
    <s v="0-12 months"/>
    <x v="3"/>
  </r>
  <r>
    <s v="CUST-00113"/>
    <n v="56"/>
    <s v="No"/>
    <s v="No"/>
    <s v="Yes"/>
    <n v="37"/>
    <s v="Yes"/>
    <s v="Yes"/>
    <s v="Fiber optic"/>
    <x v="2"/>
    <s v="No"/>
    <s v="Electronic check"/>
    <n v="111.83"/>
    <n v="4137.63"/>
    <s v="Multan"/>
    <s v="No"/>
    <n v="0"/>
    <s v="0-12 months"/>
    <x v="2"/>
  </r>
  <r>
    <s v="CUST-00114"/>
    <n v="50"/>
    <s v="No"/>
    <s v="Yes"/>
    <s v="Yes"/>
    <n v="38"/>
    <s v="No"/>
    <s v="No phone service"/>
    <s v="Fiber optic"/>
    <x v="2"/>
    <s v="No"/>
    <s v="Electronic check"/>
    <n v="103.41"/>
    <n v="3940.65"/>
    <s v="Faisalabad"/>
    <s v="Yes"/>
    <n v="1"/>
    <s v="0-12 months"/>
    <x v="2"/>
  </r>
  <r>
    <s v="CUST-00115"/>
    <n v="52"/>
    <s v="No"/>
    <s v="Yes"/>
    <s v="No"/>
    <n v="61"/>
    <s v="No"/>
    <s v="No phone service"/>
    <s v="Fiber optic"/>
    <x v="1"/>
    <s v="No"/>
    <s v="Bank Transfer"/>
    <n v="87.85"/>
    <n v="5080.76"/>
    <s v="Multan"/>
    <s v="No"/>
    <n v="0"/>
    <s v="0-12 months"/>
    <x v="1"/>
  </r>
  <r>
    <s v="CUST-00116"/>
    <n v="58"/>
    <s v="No"/>
    <s v="Yes"/>
    <s v="No"/>
    <n v="18"/>
    <s v="No"/>
    <s v="No phone service"/>
    <s v="Fiber optic"/>
    <x v="1"/>
    <s v="Yes"/>
    <s v="Bank Transfer"/>
    <n v="104.23"/>
    <n v="1984.39"/>
    <s v="Karachi"/>
    <s v="No"/>
    <n v="0"/>
    <s v="0-12 months"/>
    <x v="2"/>
  </r>
  <r>
    <s v="CUST-00117"/>
    <n v="69"/>
    <s v="Yes"/>
    <s v="Yes"/>
    <s v="Yes"/>
    <n v="59"/>
    <s v="Yes"/>
    <s v="Yes"/>
    <s v="Fiber optic"/>
    <x v="2"/>
    <s v="Yes"/>
    <s v="Electronic check"/>
    <n v="85.5"/>
    <n v="4982.8900000000003"/>
    <s v="Rawalpindi"/>
    <s v="No"/>
    <n v="0"/>
    <s v="0-12 months"/>
    <x v="1"/>
  </r>
  <r>
    <s v="CUST-00118"/>
    <n v="34"/>
    <s v="No"/>
    <s v="Yes"/>
    <s v="Yes"/>
    <n v="37"/>
    <s v="Yes"/>
    <s v="No"/>
    <s v="Fiber optic"/>
    <x v="2"/>
    <s v="Yes"/>
    <s v="Bank Transfer"/>
    <n v="91.85"/>
    <n v="3357.68"/>
    <s v="Rawalpindi"/>
    <s v="No"/>
    <n v="0"/>
    <s v="0-12 months"/>
    <x v="1"/>
  </r>
  <r>
    <s v="CUST-00119"/>
    <n v="39"/>
    <s v="No"/>
    <s v="Yes"/>
    <s v="No"/>
    <n v="64"/>
    <s v="No"/>
    <s v="No phone service"/>
    <s v="Fiber optic"/>
    <x v="1"/>
    <s v="No"/>
    <s v="Electronic check"/>
    <n v="100.12"/>
    <n v="6655.54"/>
    <s v="Islamabad"/>
    <s v="No"/>
    <n v="0"/>
    <s v="0-12 months"/>
    <x v="2"/>
  </r>
  <r>
    <s v="CUST-00120"/>
    <n v="24"/>
    <s v="No"/>
    <s v="Yes"/>
    <s v="No"/>
    <n v="38"/>
    <s v="No"/>
    <s v="No phone service"/>
    <s v="Fiber optic"/>
    <x v="2"/>
    <s v="No"/>
    <s v="Credit card"/>
    <n v="72.12"/>
    <n v="2862.25"/>
    <s v="Rawalpindi"/>
    <s v="Yes"/>
    <n v="1"/>
    <s v="0-12 months"/>
    <x v="0"/>
  </r>
  <r>
    <s v="CUST-00121"/>
    <n v="35"/>
    <s v="No"/>
    <s v="Yes"/>
    <s v="Yes"/>
    <n v="52"/>
    <s v="Yes"/>
    <s v="No"/>
    <s v="Fiber optic"/>
    <x v="2"/>
    <s v="No"/>
    <s v="Electronic check"/>
    <n v="73.36"/>
    <n v="3942.21"/>
    <s v="Rawalpindi"/>
    <s v="Yes"/>
    <n v="1"/>
    <s v="0-12 months"/>
    <x v="0"/>
  </r>
  <r>
    <s v="CUST-00122"/>
    <n v="54"/>
    <s v="No"/>
    <s v="Yes"/>
    <s v="Yes"/>
    <n v="58"/>
    <s v="No"/>
    <s v="No phone service"/>
    <s v="No internet"/>
    <x v="2"/>
    <s v="Yes"/>
    <s v="Credit card"/>
    <n v="24.35"/>
    <n v="1395.02"/>
    <s v="Karachi"/>
    <s v="No"/>
    <n v="0"/>
    <s v="0-12 months"/>
    <x v="3"/>
  </r>
  <r>
    <s v="CUST-00123"/>
    <n v="25"/>
    <s v="No"/>
    <s v="Yes"/>
    <s v="Yes"/>
    <n v="64"/>
    <s v="Yes"/>
    <s v="Yes"/>
    <s v="DSL"/>
    <x v="2"/>
    <s v="No"/>
    <s v="Electronic check"/>
    <n v="64.48"/>
    <n v="4222.78"/>
    <s v="Karachi"/>
    <s v="No"/>
    <n v="0"/>
    <s v="0-12 months"/>
    <x v="0"/>
  </r>
  <r>
    <s v="CUST-00124"/>
    <n v="25"/>
    <s v="No"/>
    <s v="Yes"/>
    <s v="Yes"/>
    <n v="58"/>
    <s v="No"/>
    <s v="No phone service"/>
    <s v="Fiber optic"/>
    <x v="1"/>
    <s v="No"/>
    <s v="Bank Transfer"/>
    <n v="105.48"/>
    <n v="6154.54"/>
    <s v="Islamabad"/>
    <s v="No"/>
    <n v="0"/>
    <s v="0-12 months"/>
    <x v="2"/>
  </r>
  <r>
    <s v="CUST-00125"/>
    <n v="72"/>
    <s v="Yes"/>
    <s v="Yes"/>
    <s v="Yes"/>
    <n v="47"/>
    <s v="Yes"/>
    <s v="No"/>
    <s v="DSL"/>
    <x v="0"/>
    <s v="Yes"/>
    <s v="Bank Transfer"/>
    <n v="41.05"/>
    <n v="1941.86"/>
    <s v="Peshawar"/>
    <s v="No"/>
    <n v="0"/>
    <s v="0-12 months"/>
    <x v="3"/>
  </r>
  <r>
    <s v="CUST-00126"/>
    <n v="53"/>
    <s v="No"/>
    <s v="Yes"/>
    <s v="Yes"/>
    <n v="9"/>
    <s v="No"/>
    <s v="No phone service"/>
    <s v="Fiber optic"/>
    <x v="2"/>
    <s v="No"/>
    <s v="Bank Transfer"/>
    <n v="73.69"/>
    <n v="700.8"/>
    <s v="Rawalpindi"/>
    <s v="No"/>
    <n v="0"/>
    <s v="0-12 months"/>
    <x v="0"/>
  </r>
  <r>
    <s v="CUST-00127"/>
    <n v="47"/>
    <s v="No"/>
    <s v="No"/>
    <s v="Yes"/>
    <n v="71"/>
    <s v="Yes"/>
    <s v="No"/>
    <s v="DSL"/>
    <x v="2"/>
    <s v="Yes"/>
    <s v="Bank Transfer"/>
    <n v="60.72"/>
    <n v="4209.79"/>
    <s v="Multan"/>
    <s v="Yes"/>
    <n v="1"/>
    <s v="0-12 months"/>
    <x v="0"/>
  </r>
  <r>
    <s v="CUST-00128"/>
    <n v="32"/>
    <s v="No"/>
    <s v="No"/>
    <s v="No"/>
    <n v="11"/>
    <s v="No"/>
    <s v="No phone service"/>
    <s v="Fiber optic"/>
    <x v="2"/>
    <s v="No"/>
    <s v="Bank Transfer"/>
    <n v="74.67"/>
    <n v="835.27"/>
    <s v="Faisalabad"/>
    <s v="No"/>
    <n v="0"/>
    <s v="0-12 months"/>
    <x v="0"/>
  </r>
  <r>
    <s v="CUST-00129"/>
    <n v="27"/>
    <s v="No"/>
    <s v="Yes"/>
    <s v="No"/>
    <n v="6"/>
    <s v="Yes"/>
    <s v="Yes"/>
    <s v="No internet"/>
    <x v="1"/>
    <s v="No"/>
    <s v="Bank Transfer"/>
    <n v="27.2"/>
    <n v="161.57"/>
    <s v="Rawalpindi"/>
    <s v="No"/>
    <n v="0"/>
    <s v="0-12 months"/>
    <x v="3"/>
  </r>
  <r>
    <s v="CUST-00130"/>
    <n v="74"/>
    <s v="Yes"/>
    <s v="No"/>
    <s v="No"/>
    <n v="62"/>
    <s v="No"/>
    <s v="No phone service"/>
    <s v="Fiber optic"/>
    <x v="2"/>
    <s v="Yes"/>
    <s v="Bank Transfer"/>
    <n v="77.900000000000006"/>
    <n v="4780.8999999999996"/>
    <s v="Islamabad"/>
    <s v="No"/>
    <n v="0"/>
    <s v="0-12 months"/>
    <x v="1"/>
  </r>
  <r>
    <s v="CUST-00131"/>
    <n v="56"/>
    <s v="No"/>
    <s v="Yes"/>
    <s v="No"/>
    <n v="41"/>
    <s v="No"/>
    <s v="No phone service"/>
    <s v="DSL"/>
    <x v="1"/>
    <s v="Yes"/>
    <s v="Bank Transfer"/>
    <n v="60.6"/>
    <n v="2367.1799999999998"/>
    <s v="Lahore"/>
    <s v="No"/>
    <n v="0"/>
    <s v="0-12 months"/>
    <x v="0"/>
  </r>
  <r>
    <s v="CUST-00132"/>
    <n v="35"/>
    <s v="No"/>
    <s v="No"/>
    <s v="Yes"/>
    <n v="19"/>
    <s v="No"/>
    <s v="No phone service"/>
    <s v="Fiber optic"/>
    <x v="1"/>
    <s v="No"/>
    <s v="Electronic check"/>
    <n v="113.27"/>
    <n v="2064.25"/>
    <s v="Faisalabad"/>
    <s v="No"/>
    <n v="0"/>
    <s v="0-12 months"/>
    <x v="2"/>
  </r>
  <r>
    <s v="CUST-00133"/>
    <n v="64"/>
    <s v="Yes"/>
    <s v="No"/>
    <s v="Yes"/>
    <n v="21"/>
    <s v="No"/>
    <s v="No phone service"/>
    <s v="DSL"/>
    <x v="2"/>
    <s v="No"/>
    <s v="Credit card"/>
    <n v="43.6"/>
    <n v="903.87"/>
    <s v="Karachi"/>
    <s v="No"/>
    <n v="0"/>
    <s v="0-12 months"/>
    <x v="3"/>
  </r>
  <r>
    <s v="CUST-00134"/>
    <n v="31"/>
    <s v="No"/>
    <s v="No"/>
    <s v="Yes"/>
    <n v="7"/>
    <s v="No"/>
    <s v="No phone service"/>
    <s v="Fiber optic"/>
    <x v="2"/>
    <s v="Yes"/>
    <s v="Bank Transfer"/>
    <n v="91.55"/>
    <n v="670.26"/>
    <s v="Peshawar"/>
    <s v="No"/>
    <n v="0"/>
    <s v="0-12 months"/>
    <x v="1"/>
  </r>
  <r>
    <s v="CUST-00135"/>
    <n v="43"/>
    <s v="No"/>
    <s v="No"/>
    <s v="Yes"/>
    <n v="52"/>
    <s v="Yes"/>
    <s v="No"/>
    <s v="Fiber optic"/>
    <x v="2"/>
    <s v="No"/>
    <s v="Credit card"/>
    <n v="108.22"/>
    <n v="5478.69"/>
    <s v="Multan"/>
    <s v="No"/>
    <n v="0"/>
    <s v="0-12 months"/>
    <x v="2"/>
  </r>
  <r>
    <s v="CUST-00136"/>
    <n v="57"/>
    <s v="No"/>
    <s v="Yes"/>
    <s v="Yes"/>
    <n v="13"/>
    <s v="No"/>
    <s v="No phone service"/>
    <s v="Fiber optic"/>
    <x v="0"/>
    <s v="No"/>
    <s v="Bank Transfer"/>
    <n v="79.95"/>
    <n v="1040.49"/>
    <s v="Lahore"/>
    <s v="No"/>
    <n v="0"/>
    <s v="0-12 months"/>
    <x v="1"/>
  </r>
  <r>
    <s v="CUST-00137"/>
    <n v="20"/>
    <s v="No"/>
    <s v="Yes"/>
    <s v="No"/>
    <n v="61"/>
    <s v="Yes"/>
    <s v="No"/>
    <s v="DSL"/>
    <x v="2"/>
    <s v="No"/>
    <s v="Mailed check"/>
    <n v="52.74"/>
    <n v="3175.81"/>
    <s v="Peshawar"/>
    <s v="No"/>
    <n v="0"/>
    <s v="0-12 months"/>
    <x v="0"/>
  </r>
  <r>
    <s v="CUST-00138"/>
    <n v="37"/>
    <s v="No"/>
    <s v="No"/>
    <s v="No"/>
    <n v="39"/>
    <s v="Yes"/>
    <s v="No"/>
    <s v="DSL"/>
    <x v="0"/>
    <s v="No"/>
    <s v="Credit card"/>
    <n v="71.87"/>
    <n v="2878.72"/>
    <s v="Lahore"/>
    <s v="No"/>
    <n v="0"/>
    <s v="0-12 months"/>
    <x v="0"/>
  </r>
  <r>
    <s v="CUST-00139"/>
    <n v="56"/>
    <s v="No"/>
    <s v="No"/>
    <s v="No"/>
    <n v="30"/>
    <s v="No"/>
    <s v="No phone service"/>
    <s v="DSL"/>
    <x v="2"/>
    <s v="No"/>
    <s v="Electronic check"/>
    <n v="67.23"/>
    <n v="1903.53"/>
    <s v="Lahore"/>
    <s v="No"/>
    <n v="0"/>
    <s v="0-12 months"/>
    <x v="0"/>
  </r>
  <r>
    <s v="CUST-00140"/>
    <n v="30"/>
    <s v="No"/>
    <s v="Yes"/>
    <s v="No"/>
    <n v="41"/>
    <s v="No"/>
    <s v="No phone service"/>
    <s v="Fiber optic"/>
    <x v="0"/>
    <s v="No"/>
    <s v="Credit card"/>
    <n v="100.57"/>
    <n v="4109.32"/>
    <s v="Multan"/>
    <s v="No"/>
    <n v="0"/>
    <s v="0-12 months"/>
    <x v="2"/>
  </r>
  <r>
    <s v="CUST-00141"/>
    <n v="21"/>
    <s v="No"/>
    <s v="Yes"/>
    <s v="Yes"/>
    <n v="72"/>
    <s v="No"/>
    <s v="No phone service"/>
    <s v="Fiber optic"/>
    <x v="2"/>
    <s v="No"/>
    <s v="Mailed check"/>
    <n v="92.98"/>
    <n v="6721.17"/>
    <s v="Multan"/>
    <s v="No"/>
    <n v="0"/>
    <s v="0-12 months"/>
    <x v="1"/>
  </r>
  <r>
    <s v="CUST-00142"/>
    <n v="67"/>
    <s v="Yes"/>
    <s v="No"/>
    <s v="No"/>
    <n v="25"/>
    <s v="No"/>
    <s v="No phone service"/>
    <s v="No internet"/>
    <x v="0"/>
    <s v="Yes"/>
    <s v="Mailed check"/>
    <n v="29.79"/>
    <n v="768.98"/>
    <s v="Multan"/>
    <s v="No"/>
    <n v="0"/>
    <s v="0-12 months"/>
    <x v="3"/>
  </r>
  <r>
    <s v="CUST-00143"/>
    <n v="63"/>
    <s v="Yes"/>
    <s v="No"/>
    <s v="No"/>
    <n v="62"/>
    <s v="No"/>
    <s v="No phone service"/>
    <s v="Fiber optic"/>
    <x v="2"/>
    <s v="No"/>
    <s v="Mailed check"/>
    <n v="89.73"/>
    <n v="5459.87"/>
    <s v="Karachi"/>
    <s v="No"/>
    <n v="0"/>
    <s v="0-12 months"/>
    <x v="1"/>
  </r>
  <r>
    <s v="CUST-00144"/>
    <n v="36"/>
    <s v="No"/>
    <s v="Yes"/>
    <s v="No"/>
    <n v="11"/>
    <s v="No"/>
    <s v="No phone service"/>
    <s v="Fiber optic"/>
    <x v="0"/>
    <s v="No"/>
    <s v="Electronic check"/>
    <n v="111.4"/>
    <n v="1191.75"/>
    <s v="Islamabad"/>
    <s v="No"/>
    <n v="0"/>
    <s v="0-12 months"/>
    <x v="2"/>
  </r>
  <r>
    <s v="CUST-00145"/>
    <n v="26"/>
    <s v="No"/>
    <s v="Yes"/>
    <s v="Yes"/>
    <n v="32"/>
    <s v="Yes"/>
    <s v="No"/>
    <s v="Fiber optic"/>
    <x v="2"/>
    <s v="No"/>
    <s v="Electronic check"/>
    <n v="93.62"/>
    <n v="3060.98"/>
    <s v="Faisalabad"/>
    <s v="Yes"/>
    <n v="1"/>
    <s v="0-12 months"/>
    <x v="1"/>
  </r>
  <r>
    <s v="CUST-00146"/>
    <n v="28"/>
    <s v="No"/>
    <s v="No"/>
    <s v="No"/>
    <n v="62"/>
    <s v="No"/>
    <s v="No phone service"/>
    <s v="DSL"/>
    <x v="2"/>
    <s v="Yes"/>
    <s v="Mailed check"/>
    <n v="43.58"/>
    <n v="2726"/>
    <s v="Multan"/>
    <s v="No"/>
    <n v="0"/>
    <s v="0-12 months"/>
    <x v="3"/>
  </r>
  <r>
    <s v="CUST-00147"/>
    <n v="72"/>
    <s v="Yes"/>
    <s v="Yes"/>
    <s v="Yes"/>
    <n v="54"/>
    <s v="Yes"/>
    <s v="No"/>
    <s v="No internet"/>
    <x v="2"/>
    <s v="No"/>
    <s v="Bank Transfer"/>
    <n v="20.239999999999998"/>
    <n v="1125.6199999999999"/>
    <s v="Islamabad"/>
    <s v="No"/>
    <n v="0"/>
    <s v="0-12 months"/>
    <x v="3"/>
  </r>
  <r>
    <s v="CUST-00148"/>
    <n v="74"/>
    <s v="Yes"/>
    <s v="Yes"/>
    <s v="Yes"/>
    <n v="39"/>
    <s v="Yes"/>
    <s v="No"/>
    <s v="DSL"/>
    <x v="2"/>
    <s v="No"/>
    <s v="Mailed check"/>
    <n v="61.73"/>
    <n v="2405.71"/>
    <s v="Peshawar"/>
    <s v="No"/>
    <n v="0"/>
    <s v="0-12 months"/>
    <x v="0"/>
  </r>
  <r>
    <s v="CUST-00149"/>
    <n v="50"/>
    <s v="No"/>
    <s v="No"/>
    <s v="No"/>
    <n v="25"/>
    <s v="No"/>
    <s v="No phone service"/>
    <s v="No internet"/>
    <x v="2"/>
    <s v="No"/>
    <s v="Bank Transfer"/>
    <n v="26.62"/>
    <n v="626.69000000000005"/>
    <s v="Islamabad"/>
    <s v="No"/>
    <n v="0"/>
    <s v="0-12 months"/>
    <x v="3"/>
  </r>
  <r>
    <s v="CUST-00150"/>
    <n v="54"/>
    <s v="No"/>
    <s v="Yes"/>
    <s v="Yes"/>
    <n v="52"/>
    <s v="No"/>
    <s v="No phone service"/>
    <s v="No internet"/>
    <x v="2"/>
    <s v="Yes"/>
    <s v="Electronic check"/>
    <n v="19.690000000000001"/>
    <n v="1002.21"/>
    <s v="Islamabad"/>
    <s v="Yes"/>
    <n v="1"/>
    <s v="0-12 months"/>
    <x v="3"/>
  </r>
  <r>
    <s v="CUST-00151"/>
    <n v="42"/>
    <s v="No"/>
    <s v="Yes"/>
    <s v="No"/>
    <n v="35"/>
    <s v="No"/>
    <s v="No phone service"/>
    <s v="No internet"/>
    <x v="0"/>
    <s v="Yes"/>
    <s v="Electronic check"/>
    <n v="22.31"/>
    <n v="756.14"/>
    <s v="Rawalpindi"/>
    <s v="No"/>
    <n v="0"/>
    <s v="0-12 months"/>
    <x v="3"/>
  </r>
  <r>
    <s v="CUST-00152"/>
    <n v="37"/>
    <s v="No"/>
    <s v="Yes"/>
    <s v="No"/>
    <n v="65"/>
    <s v="No"/>
    <s v="No phone service"/>
    <s v="No internet"/>
    <x v="0"/>
    <s v="No"/>
    <s v="Credit card"/>
    <n v="20.65"/>
    <n v="1415.92"/>
    <s v="Rawalpindi"/>
    <s v="No"/>
    <n v="0"/>
    <s v="0-12 months"/>
    <x v="3"/>
  </r>
  <r>
    <s v="CUST-00153"/>
    <n v="65"/>
    <s v="Yes"/>
    <s v="No"/>
    <s v="No"/>
    <n v="71"/>
    <s v="Yes"/>
    <s v="No"/>
    <s v="No internet"/>
    <x v="0"/>
    <s v="Yes"/>
    <s v="Credit card"/>
    <n v="24.34"/>
    <n v="1699.48"/>
    <s v="Lahore"/>
    <s v="No"/>
    <n v="0"/>
    <s v="0-12 months"/>
    <x v="3"/>
  </r>
  <r>
    <s v="CUST-00154"/>
    <n v="21"/>
    <s v="No"/>
    <s v="Yes"/>
    <s v="Yes"/>
    <n v="22"/>
    <s v="No"/>
    <s v="No phone service"/>
    <s v="Fiber optic"/>
    <x v="2"/>
    <s v="Yes"/>
    <s v="Bank Transfer"/>
    <n v="94.44"/>
    <n v="2177.13"/>
    <s v="Lahore"/>
    <s v="No"/>
    <n v="0"/>
    <s v="0-12 months"/>
    <x v="1"/>
  </r>
  <r>
    <s v="CUST-00155"/>
    <n v="47"/>
    <s v="No"/>
    <s v="Yes"/>
    <s v="No"/>
    <n v="59"/>
    <s v="No"/>
    <s v="No phone service"/>
    <s v="DSL"/>
    <x v="0"/>
    <s v="No"/>
    <s v="Bank Transfer"/>
    <n v="55.84"/>
    <n v="3419.67"/>
    <s v="Faisalabad"/>
    <s v="No"/>
    <n v="0"/>
    <s v="0-12 months"/>
    <x v="0"/>
  </r>
  <r>
    <s v="CUST-00156"/>
    <n v="22"/>
    <s v="No"/>
    <s v="Yes"/>
    <s v="No"/>
    <n v="45"/>
    <s v="Yes"/>
    <s v="No"/>
    <s v="DSL"/>
    <x v="2"/>
    <s v="No"/>
    <s v="Electronic check"/>
    <n v="56.35"/>
    <n v="2617.6"/>
    <s v="Multan"/>
    <s v="No"/>
    <n v="0"/>
    <s v="0-12 months"/>
    <x v="0"/>
  </r>
  <r>
    <s v="CUST-00157"/>
    <n v="59"/>
    <s v="No"/>
    <s v="No"/>
    <s v="No"/>
    <n v="49"/>
    <s v="No"/>
    <s v="No phone service"/>
    <s v="Fiber optic"/>
    <x v="2"/>
    <s v="Yes"/>
    <s v="Bank Transfer"/>
    <n v="87.39"/>
    <n v="4116.8900000000003"/>
    <s v="Faisalabad"/>
    <s v="No"/>
    <n v="0"/>
    <s v="0-12 months"/>
    <x v="1"/>
  </r>
  <r>
    <s v="CUST-00158"/>
    <n v="26"/>
    <s v="No"/>
    <s v="Yes"/>
    <s v="Yes"/>
    <n v="3"/>
    <s v="No"/>
    <s v="No phone service"/>
    <s v="No internet"/>
    <x v="0"/>
    <s v="No"/>
    <s v="Credit card"/>
    <n v="27.88"/>
    <n v="81.11"/>
    <s v="Islamabad"/>
    <s v="No"/>
    <n v="0"/>
    <s v="0-12 months"/>
    <x v="3"/>
  </r>
  <r>
    <s v="CUST-00159"/>
    <n v="30"/>
    <s v="No"/>
    <s v="Yes"/>
    <s v="Yes"/>
    <n v="54"/>
    <s v="Yes"/>
    <s v="Yes"/>
    <s v="DSL"/>
    <x v="2"/>
    <s v="Yes"/>
    <s v="Credit card"/>
    <n v="66.88"/>
    <n v="3772.83"/>
    <s v="Lahore"/>
    <s v="Yes"/>
    <n v="1"/>
    <s v="0-12 months"/>
    <x v="0"/>
  </r>
  <r>
    <s v="CUST-00160"/>
    <n v="43"/>
    <s v="No"/>
    <s v="No"/>
    <s v="Yes"/>
    <n v="70"/>
    <s v="Yes"/>
    <s v="Yes"/>
    <s v="Fiber optic"/>
    <x v="1"/>
    <s v="Yes"/>
    <s v="Bank Transfer"/>
    <n v="106.58"/>
    <n v="7298.47"/>
    <s v="Multan"/>
    <s v="No"/>
    <n v="0"/>
    <s v="0-12 months"/>
    <x v="2"/>
  </r>
  <r>
    <s v="CUST-00161"/>
    <n v="70"/>
    <s v="Yes"/>
    <s v="No"/>
    <s v="Yes"/>
    <n v="39"/>
    <s v="Yes"/>
    <s v="No"/>
    <s v="No internet"/>
    <x v="2"/>
    <s v="Yes"/>
    <s v="Bank Transfer"/>
    <n v="23.13"/>
    <n v="901.6"/>
    <s v="Multan"/>
    <s v="No"/>
    <n v="0"/>
    <s v="0-12 months"/>
    <x v="3"/>
  </r>
  <r>
    <s v="CUST-00162"/>
    <n v="60"/>
    <s v="Yes"/>
    <s v="No"/>
    <s v="No"/>
    <n v="54"/>
    <s v="No"/>
    <s v="No phone service"/>
    <s v="Fiber optic"/>
    <x v="2"/>
    <s v="No"/>
    <s v="Electronic check"/>
    <n v="81.27"/>
    <n v="4576.87"/>
    <s v="Rawalpindi"/>
    <s v="Yes"/>
    <n v="1"/>
    <s v="0-12 months"/>
    <x v="1"/>
  </r>
  <r>
    <s v="CUST-00163"/>
    <n v="21"/>
    <s v="No"/>
    <s v="No"/>
    <s v="No"/>
    <n v="72"/>
    <s v="No"/>
    <s v="No phone service"/>
    <s v="DSL"/>
    <x v="2"/>
    <s v="Yes"/>
    <s v="Electronic check"/>
    <n v="43.16"/>
    <n v="3088.8"/>
    <s v="Faisalabad"/>
    <s v="Yes"/>
    <n v="1"/>
    <s v="0-12 months"/>
    <x v="3"/>
  </r>
  <r>
    <s v="CUST-00164"/>
    <n v="64"/>
    <s v="Yes"/>
    <s v="Yes"/>
    <s v="Yes"/>
    <n v="35"/>
    <s v="Yes"/>
    <s v="No"/>
    <s v="Fiber optic"/>
    <x v="2"/>
    <s v="Yes"/>
    <s v="Credit card"/>
    <n v="113.47"/>
    <n v="3891.85"/>
    <s v="Lahore"/>
    <s v="No"/>
    <n v="0"/>
    <s v="0-12 months"/>
    <x v="2"/>
  </r>
  <r>
    <s v="CUST-00165"/>
    <n v="31"/>
    <s v="No"/>
    <s v="Yes"/>
    <s v="Yes"/>
    <n v="62"/>
    <s v="Yes"/>
    <s v="No"/>
    <s v="No internet"/>
    <x v="2"/>
    <s v="No"/>
    <s v="Bank Transfer"/>
    <n v="22.57"/>
    <n v="1404.99"/>
    <s v="Islamabad"/>
    <s v="No"/>
    <n v="0"/>
    <s v="0-12 months"/>
    <x v="3"/>
  </r>
  <r>
    <s v="CUST-00166"/>
    <n v="41"/>
    <s v="No"/>
    <s v="No"/>
    <s v="No"/>
    <n v="13"/>
    <s v="No"/>
    <s v="No phone service"/>
    <s v="No internet"/>
    <x v="0"/>
    <s v="No"/>
    <s v="Mailed check"/>
    <n v="22.45"/>
    <n v="288.83999999999997"/>
    <s v="Karachi"/>
    <s v="No"/>
    <n v="0"/>
    <s v="0-12 months"/>
    <x v="3"/>
  </r>
  <r>
    <s v="CUST-00167"/>
    <n v="65"/>
    <s v="Yes"/>
    <s v="Yes"/>
    <s v="Yes"/>
    <n v="34"/>
    <s v="No"/>
    <s v="No phone service"/>
    <s v="DSL"/>
    <x v="2"/>
    <s v="Yes"/>
    <s v="Electronic check"/>
    <n v="55.19"/>
    <n v="1951.53"/>
    <s v="Multan"/>
    <s v="No"/>
    <n v="0"/>
    <s v="0-12 months"/>
    <x v="0"/>
  </r>
  <r>
    <s v="CUST-00168"/>
    <n v="61"/>
    <s v="Yes"/>
    <s v="No"/>
    <s v="No"/>
    <n v="63"/>
    <s v="No"/>
    <s v="No phone service"/>
    <s v="No internet"/>
    <x v="2"/>
    <s v="No"/>
    <s v="Electronic check"/>
    <n v="26.64"/>
    <n v="1675.97"/>
    <s v="Faisalabad"/>
    <s v="No"/>
    <n v="0"/>
    <s v="0-12 months"/>
    <x v="3"/>
  </r>
  <r>
    <s v="CUST-00169"/>
    <n v="59"/>
    <s v="No"/>
    <s v="Yes"/>
    <s v="Yes"/>
    <n v="10"/>
    <s v="Yes"/>
    <s v="No"/>
    <s v="No internet"/>
    <x v="2"/>
    <s v="Yes"/>
    <s v="Electronic check"/>
    <n v="19.809999999999999"/>
    <n v="191.41"/>
    <s v="Lahore"/>
    <s v="No"/>
    <n v="0"/>
    <s v="0-12 months"/>
    <x v="3"/>
  </r>
  <r>
    <s v="CUST-00170"/>
    <n v="57"/>
    <s v="No"/>
    <s v="No"/>
    <s v="No"/>
    <n v="3"/>
    <s v="No"/>
    <s v="No phone service"/>
    <s v="Fiber optic"/>
    <x v="2"/>
    <s v="No"/>
    <s v="Credit card"/>
    <n v="84.33"/>
    <n v="253.06"/>
    <s v="Rawalpindi"/>
    <s v="No"/>
    <n v="0"/>
    <s v="0-12 months"/>
    <x v="1"/>
  </r>
  <r>
    <s v="CUST-00171"/>
    <n v="69"/>
    <s v="Yes"/>
    <s v="Yes"/>
    <s v="Yes"/>
    <n v="13"/>
    <s v="Yes"/>
    <s v="Yes"/>
    <s v="DSL"/>
    <x v="2"/>
    <s v="No"/>
    <s v="Electronic check"/>
    <n v="55.88"/>
    <n v="715.37"/>
    <s v="Faisalabad"/>
    <s v="No"/>
    <n v="0"/>
    <s v="0-12 months"/>
    <x v="0"/>
  </r>
  <r>
    <s v="CUST-00172"/>
    <n v="33"/>
    <s v="No"/>
    <s v="Yes"/>
    <s v="No"/>
    <n v="11"/>
    <s v="Yes"/>
    <s v="Yes"/>
    <s v="DSL"/>
    <x v="2"/>
    <s v="No"/>
    <s v="Electronic check"/>
    <n v="40.380000000000003"/>
    <n v="426.66"/>
    <s v="Rawalpindi"/>
    <s v="No"/>
    <n v="0"/>
    <s v="0-12 months"/>
    <x v="3"/>
  </r>
  <r>
    <s v="CUST-00173"/>
    <n v="59"/>
    <s v="No"/>
    <s v="No"/>
    <s v="Yes"/>
    <n v="68"/>
    <s v="Yes"/>
    <s v="Yes"/>
    <s v="No internet"/>
    <x v="1"/>
    <s v="No"/>
    <s v="Electronic check"/>
    <n v="29.09"/>
    <n v="2021.9"/>
    <s v="Faisalabad"/>
    <s v="No"/>
    <n v="0"/>
    <s v="0-12 months"/>
    <x v="3"/>
  </r>
  <r>
    <s v="CUST-00174"/>
    <n v="54"/>
    <s v="No"/>
    <s v="Yes"/>
    <s v="Yes"/>
    <n v="41"/>
    <s v="Yes"/>
    <s v="No"/>
    <s v="Fiber optic"/>
    <x v="0"/>
    <s v="No"/>
    <s v="Mailed check"/>
    <n v="84.96"/>
    <n v="3510.09"/>
    <s v="Peshawar"/>
    <s v="No"/>
    <n v="0"/>
    <s v="0-12 months"/>
    <x v="1"/>
  </r>
  <r>
    <s v="CUST-00175"/>
    <n v="42"/>
    <s v="No"/>
    <s v="No"/>
    <s v="No"/>
    <n v="18"/>
    <s v="Yes"/>
    <s v="No"/>
    <s v="DSL"/>
    <x v="1"/>
    <s v="Yes"/>
    <s v="Electronic check"/>
    <n v="49.29"/>
    <n v="842.08"/>
    <s v="Faisalabad"/>
    <s v="No"/>
    <n v="0"/>
    <s v="0-12 months"/>
    <x v="3"/>
  </r>
  <r>
    <s v="CUST-00176"/>
    <n v="56"/>
    <s v="No"/>
    <s v="No"/>
    <s v="No"/>
    <n v="4"/>
    <s v="No"/>
    <s v="No phone service"/>
    <s v="DSL"/>
    <x v="2"/>
    <s v="No"/>
    <s v="Credit card"/>
    <n v="55.02"/>
    <n v="211.78"/>
    <s v="Rawalpindi"/>
    <s v="No"/>
    <n v="0"/>
    <s v="0-12 months"/>
    <x v="0"/>
  </r>
  <r>
    <s v="CUST-00177"/>
    <n v="23"/>
    <s v="No"/>
    <s v="No"/>
    <s v="Yes"/>
    <n v="10"/>
    <s v="Yes"/>
    <s v="No"/>
    <s v="Fiber optic"/>
    <x v="0"/>
    <s v="Yes"/>
    <s v="Bank Transfer"/>
    <n v="85.83"/>
    <n v="817.78"/>
    <s v="Islamabad"/>
    <s v="Yes"/>
    <n v="1"/>
    <s v="0-12 months"/>
    <x v="1"/>
  </r>
  <r>
    <s v="CUST-00178"/>
    <n v="46"/>
    <s v="No"/>
    <s v="No"/>
    <s v="No"/>
    <n v="14"/>
    <s v="Yes"/>
    <s v="No"/>
    <s v="Fiber optic"/>
    <x v="0"/>
    <s v="No"/>
    <s v="Electronic check"/>
    <n v="74.48"/>
    <n v="1049.5"/>
    <s v="Peshawar"/>
    <s v="No"/>
    <n v="0"/>
    <s v="0-12 months"/>
    <x v="0"/>
  </r>
  <r>
    <s v="CUST-00179"/>
    <n v="38"/>
    <s v="No"/>
    <s v="No"/>
    <s v="Yes"/>
    <n v="38"/>
    <s v="Yes"/>
    <s v="No"/>
    <s v="Fiber optic"/>
    <x v="0"/>
    <s v="Yes"/>
    <s v="Credit card"/>
    <n v="78.48"/>
    <n v="2939.56"/>
    <s v="Islamabad"/>
    <s v="Yes"/>
    <n v="1"/>
    <s v="0-12 months"/>
    <x v="1"/>
  </r>
  <r>
    <s v="CUST-00180"/>
    <n v="35"/>
    <s v="No"/>
    <s v="No"/>
    <s v="Yes"/>
    <n v="9"/>
    <s v="No"/>
    <s v="No phone service"/>
    <s v="Fiber optic"/>
    <x v="2"/>
    <s v="No"/>
    <s v="Bank Transfer"/>
    <n v="88.06"/>
    <n v="834.79"/>
    <s v="Rawalpindi"/>
    <s v="No"/>
    <n v="0"/>
    <s v="0-12 months"/>
    <x v="1"/>
  </r>
  <r>
    <s v="CUST-00181"/>
    <n v="56"/>
    <s v="No"/>
    <s v="Yes"/>
    <s v="No"/>
    <n v="14"/>
    <s v="Yes"/>
    <s v="No"/>
    <s v="Fiber optic"/>
    <x v="2"/>
    <s v="No"/>
    <s v="Bank Transfer"/>
    <n v="86.48"/>
    <n v="1186.71"/>
    <s v="Peshawar"/>
    <s v="No"/>
    <n v="0"/>
    <s v="0-12 months"/>
    <x v="1"/>
  </r>
  <r>
    <s v="CUST-00182"/>
    <n v="59"/>
    <s v="No"/>
    <s v="Yes"/>
    <s v="No"/>
    <n v="42"/>
    <s v="Yes"/>
    <s v="No"/>
    <s v="DSL"/>
    <x v="2"/>
    <s v="No"/>
    <s v="Mailed check"/>
    <n v="51.66"/>
    <n v="2220.48"/>
    <s v="Faisalabad"/>
    <s v="No"/>
    <n v="0"/>
    <s v="0-12 months"/>
    <x v="0"/>
  </r>
  <r>
    <s v="CUST-00183"/>
    <n v="68"/>
    <s v="Yes"/>
    <s v="Yes"/>
    <s v="No"/>
    <n v="49"/>
    <s v="No"/>
    <s v="No phone service"/>
    <s v="Fiber optic"/>
    <x v="2"/>
    <s v="Yes"/>
    <s v="Credit card"/>
    <n v="97.28"/>
    <n v="4870.66"/>
    <s v="Multan"/>
    <s v="No"/>
    <n v="0"/>
    <s v="0-12 months"/>
    <x v="1"/>
  </r>
  <r>
    <s v="CUST-00184"/>
    <n v="47"/>
    <s v="No"/>
    <s v="Yes"/>
    <s v="No"/>
    <n v="38"/>
    <s v="Yes"/>
    <s v="No"/>
    <s v="No internet"/>
    <x v="0"/>
    <s v="No"/>
    <s v="Bank Transfer"/>
    <n v="19.670000000000002"/>
    <n v="729.78"/>
    <s v="Karachi"/>
    <s v="No"/>
    <n v="0"/>
    <s v="0-12 months"/>
    <x v="3"/>
  </r>
  <r>
    <s v="CUST-00185"/>
    <n v="63"/>
    <s v="Yes"/>
    <s v="No"/>
    <s v="No"/>
    <n v="10"/>
    <s v="No"/>
    <s v="No phone service"/>
    <s v="Fiber optic"/>
    <x v="0"/>
    <s v="No"/>
    <s v="Credit card"/>
    <n v="109.54"/>
    <n v="1076.94"/>
    <s v="Faisalabad"/>
    <s v="No"/>
    <n v="0"/>
    <s v="0-12 months"/>
    <x v="2"/>
  </r>
  <r>
    <s v="CUST-00186"/>
    <n v="56"/>
    <s v="No"/>
    <s v="Yes"/>
    <s v="Yes"/>
    <n v="32"/>
    <s v="No"/>
    <s v="No phone service"/>
    <s v="DSL"/>
    <x v="2"/>
    <s v="Yes"/>
    <s v="Credit card"/>
    <n v="65.8"/>
    <n v="2142.6799999999998"/>
    <s v="Islamabad"/>
    <s v="No"/>
    <n v="0"/>
    <s v="0-12 months"/>
    <x v="0"/>
  </r>
  <r>
    <s v="CUST-00187"/>
    <n v="68"/>
    <s v="Yes"/>
    <s v="No"/>
    <s v="Yes"/>
    <n v="2"/>
    <s v="Yes"/>
    <s v="No"/>
    <s v="Fiber optic"/>
    <x v="2"/>
    <s v="Yes"/>
    <s v="Credit card"/>
    <n v="89.56"/>
    <n v="184.97"/>
    <s v="Faisalabad"/>
    <s v="No"/>
    <n v="0"/>
    <s v="0-12 months"/>
    <x v="1"/>
  </r>
  <r>
    <s v="CUST-00188"/>
    <n v="27"/>
    <s v="No"/>
    <s v="No"/>
    <s v="Yes"/>
    <n v="62"/>
    <s v="No"/>
    <s v="No phone service"/>
    <s v="Fiber optic"/>
    <x v="1"/>
    <s v="Yes"/>
    <s v="Electronic check"/>
    <n v="117.03"/>
    <n v="6943.87"/>
    <s v="Rawalpindi"/>
    <s v="No"/>
    <n v="0"/>
    <s v="0-12 months"/>
    <x v="2"/>
  </r>
  <r>
    <s v="CUST-00189"/>
    <n v="68"/>
    <s v="Yes"/>
    <s v="Yes"/>
    <s v="No"/>
    <n v="45"/>
    <s v="No"/>
    <s v="No phone service"/>
    <s v="DSL"/>
    <x v="0"/>
    <s v="No"/>
    <s v="Electronic check"/>
    <n v="52.01"/>
    <n v="2427.5700000000002"/>
    <s v="Peshawar"/>
    <s v="Yes"/>
    <n v="1"/>
    <s v="0-12 months"/>
    <x v="0"/>
  </r>
  <r>
    <s v="CUST-00190"/>
    <n v="39"/>
    <s v="No"/>
    <s v="Yes"/>
    <s v="Yes"/>
    <n v="32"/>
    <s v="Yes"/>
    <s v="Yes"/>
    <s v="DSL"/>
    <x v="2"/>
    <s v="No"/>
    <s v="Electronic check"/>
    <n v="56.2"/>
    <n v="1730.3"/>
    <s v="Rawalpindi"/>
    <s v="No"/>
    <n v="0"/>
    <s v="0-12 months"/>
    <x v="0"/>
  </r>
  <r>
    <s v="CUST-00191"/>
    <n v="43"/>
    <s v="No"/>
    <s v="Yes"/>
    <s v="Yes"/>
    <n v="58"/>
    <s v="No"/>
    <s v="No phone service"/>
    <s v="DSL"/>
    <x v="2"/>
    <s v="Yes"/>
    <s v="Electronic check"/>
    <n v="70.09"/>
    <n v="4215.83"/>
    <s v="Lahore"/>
    <s v="Yes"/>
    <n v="1"/>
    <s v="0-12 months"/>
    <x v="0"/>
  </r>
  <r>
    <s v="CUST-00192"/>
    <n v="69"/>
    <s v="Yes"/>
    <s v="Yes"/>
    <s v="No"/>
    <n v="42"/>
    <s v="Yes"/>
    <s v="Yes"/>
    <s v="Fiber optic"/>
    <x v="1"/>
    <s v="No"/>
    <s v="Credit card"/>
    <n v="100.57"/>
    <n v="4268.04"/>
    <s v="Peshawar"/>
    <s v="No"/>
    <n v="0"/>
    <s v="0-12 months"/>
    <x v="2"/>
  </r>
  <r>
    <s v="CUST-00193"/>
    <n v="47"/>
    <s v="No"/>
    <s v="Yes"/>
    <s v="No"/>
    <n v="11"/>
    <s v="No"/>
    <s v="No phone service"/>
    <s v="DSL"/>
    <x v="2"/>
    <s v="No"/>
    <s v="Electronic check"/>
    <n v="54.93"/>
    <n v="578.23"/>
    <s v="Faisalabad"/>
    <s v="Yes"/>
    <n v="1"/>
    <s v="0-12 months"/>
    <x v="0"/>
  </r>
  <r>
    <s v="CUST-00194"/>
    <n v="26"/>
    <s v="No"/>
    <s v="No"/>
    <s v="No"/>
    <n v="24"/>
    <s v="Yes"/>
    <s v="No"/>
    <s v="DSL"/>
    <x v="2"/>
    <s v="Yes"/>
    <s v="Electronic check"/>
    <n v="73.680000000000007"/>
    <n v="1793.66"/>
    <s v="Lahore"/>
    <s v="No"/>
    <n v="0"/>
    <s v="0-12 months"/>
    <x v="0"/>
  </r>
  <r>
    <s v="CUST-00195"/>
    <n v="49"/>
    <s v="No"/>
    <s v="Yes"/>
    <s v="Yes"/>
    <n v="50"/>
    <s v="No"/>
    <s v="No phone service"/>
    <s v="No internet"/>
    <x v="2"/>
    <s v="No"/>
    <s v="Credit card"/>
    <n v="28.08"/>
    <n v="1402.1"/>
    <s v="Lahore"/>
    <s v="Yes"/>
    <n v="1"/>
    <s v="0-12 months"/>
    <x v="3"/>
  </r>
  <r>
    <s v="CUST-00196"/>
    <n v="68"/>
    <s v="Yes"/>
    <s v="Yes"/>
    <s v="No"/>
    <n v="5"/>
    <s v="No"/>
    <s v="No phone service"/>
    <s v="Fiber optic"/>
    <x v="2"/>
    <s v="No"/>
    <s v="Credit card"/>
    <n v="108.63"/>
    <n v="542.84"/>
    <s v="Faisalabad"/>
    <s v="Yes"/>
    <n v="1"/>
    <s v="0-12 months"/>
    <x v="2"/>
  </r>
  <r>
    <s v="CUST-00197"/>
    <n v="25"/>
    <s v="No"/>
    <s v="No"/>
    <s v="No"/>
    <n v="70"/>
    <s v="Yes"/>
    <s v="No"/>
    <s v="No internet"/>
    <x v="2"/>
    <s v="Yes"/>
    <s v="Mailed check"/>
    <n v="19.23"/>
    <n v="1399.42"/>
    <s v="Islamabad"/>
    <s v="No"/>
    <n v="0"/>
    <s v="0-12 months"/>
    <x v="3"/>
  </r>
  <r>
    <s v="CUST-00198"/>
    <n v="73"/>
    <s v="Yes"/>
    <s v="Yes"/>
    <s v="No"/>
    <n v="34"/>
    <s v="Yes"/>
    <s v="No"/>
    <s v="Fiber optic"/>
    <x v="1"/>
    <s v="Yes"/>
    <s v="Electronic check"/>
    <n v="106.88"/>
    <n v="3716.4"/>
    <s v="Faisalabad"/>
    <s v="No"/>
    <n v="0"/>
    <s v="0-12 months"/>
    <x v="2"/>
  </r>
  <r>
    <s v="CUST-00199"/>
    <n v="58"/>
    <s v="No"/>
    <s v="No"/>
    <s v="Yes"/>
    <n v="18"/>
    <s v="Yes"/>
    <s v="No"/>
    <s v="DSL"/>
    <x v="0"/>
    <s v="No"/>
    <s v="Credit card"/>
    <n v="46.74"/>
    <n v="889.68"/>
    <s v="Faisalabad"/>
    <s v="No"/>
    <n v="0"/>
    <s v="0-12 months"/>
    <x v="3"/>
  </r>
  <r>
    <s v="CUST-00200"/>
    <n v="35"/>
    <s v="No"/>
    <s v="Yes"/>
    <s v="Yes"/>
    <n v="53"/>
    <s v="No"/>
    <s v="No phone service"/>
    <s v="No internet"/>
    <x v="1"/>
    <s v="Yes"/>
    <s v="Bank Transfer"/>
    <n v="19.59"/>
    <n v="994.19"/>
    <s v="Karachi"/>
    <s v="No"/>
    <n v="0"/>
    <s v="0-12 months"/>
    <x v="3"/>
  </r>
  <r>
    <s v="CUST-00201"/>
    <n v="66"/>
    <s v="Yes"/>
    <s v="No"/>
    <s v="No"/>
    <n v="19"/>
    <s v="No"/>
    <s v="No phone service"/>
    <s v="DSL"/>
    <x v="0"/>
    <s v="No"/>
    <s v="Credit card"/>
    <n v="65.349999999999994"/>
    <n v="1298.29"/>
    <s v="Faisalabad"/>
    <s v="Yes"/>
    <n v="1"/>
    <s v="0-12 months"/>
    <x v="0"/>
  </r>
  <r>
    <s v="CUST-00202"/>
    <n v="65"/>
    <s v="Yes"/>
    <s v="No"/>
    <s v="No"/>
    <n v="59"/>
    <s v="No"/>
    <s v="No phone service"/>
    <s v="No internet"/>
    <x v="0"/>
    <s v="Yes"/>
    <s v="Bank Transfer"/>
    <n v="23.5"/>
    <n v="1413.81"/>
    <s v="Lahore"/>
    <s v="No"/>
    <n v="0"/>
    <s v="0-12 months"/>
    <x v="3"/>
  </r>
  <r>
    <s v="CUST-00203"/>
    <n v="68"/>
    <s v="Yes"/>
    <s v="No"/>
    <s v="Yes"/>
    <n v="55"/>
    <s v="No"/>
    <s v="No phone service"/>
    <s v="No internet"/>
    <x v="2"/>
    <s v="No"/>
    <s v="Electronic check"/>
    <n v="24.94"/>
    <n v="1382.59"/>
    <s v="Islamabad"/>
    <s v="No"/>
    <n v="0"/>
    <s v="0-12 months"/>
    <x v="3"/>
  </r>
  <r>
    <s v="CUST-00204"/>
    <n v="75"/>
    <s v="Yes"/>
    <s v="Yes"/>
    <s v="Yes"/>
    <n v="13"/>
    <s v="No"/>
    <s v="No phone service"/>
    <s v="DSL"/>
    <x v="2"/>
    <s v="Yes"/>
    <s v="Credit card"/>
    <n v="40.03"/>
    <n v="548.99"/>
    <s v="Multan"/>
    <s v="Yes"/>
    <n v="1"/>
    <s v="0-12 months"/>
    <x v="3"/>
  </r>
  <r>
    <s v="CUST-00205"/>
    <n v="26"/>
    <s v="No"/>
    <s v="No"/>
    <s v="Yes"/>
    <n v="36"/>
    <s v="No"/>
    <s v="No phone service"/>
    <s v="Fiber optic"/>
    <x v="2"/>
    <s v="No"/>
    <s v="Bank Transfer"/>
    <n v="102.45"/>
    <n v="3489.83"/>
    <s v="Multan"/>
    <s v="No"/>
    <n v="0"/>
    <s v="0-12 months"/>
    <x v="2"/>
  </r>
  <r>
    <s v="CUST-00206"/>
    <n v="62"/>
    <s v="Yes"/>
    <s v="Yes"/>
    <s v="No"/>
    <n v="12"/>
    <s v="Yes"/>
    <s v="Yes"/>
    <s v="DSL"/>
    <x v="2"/>
    <s v="Yes"/>
    <s v="Credit card"/>
    <n v="57.8"/>
    <n v="652.66"/>
    <s v="Lahore"/>
    <s v="Yes"/>
    <n v="1"/>
    <s v="0-12 months"/>
    <x v="0"/>
  </r>
  <r>
    <s v="CUST-00207"/>
    <n v="73"/>
    <s v="Yes"/>
    <s v="No"/>
    <s v="Yes"/>
    <n v="62"/>
    <s v="No"/>
    <s v="No phone service"/>
    <s v="Fiber optic"/>
    <x v="2"/>
    <s v="Yes"/>
    <s v="Electronic check"/>
    <n v="88.38"/>
    <n v="5347.56"/>
    <s v="Peshawar"/>
    <s v="Yes"/>
    <n v="1"/>
    <s v="0-12 months"/>
    <x v="1"/>
  </r>
  <r>
    <s v="CUST-00208"/>
    <n v="66"/>
    <s v="Yes"/>
    <s v="Yes"/>
    <s v="Yes"/>
    <n v="9"/>
    <s v="Yes"/>
    <s v="No"/>
    <s v="DSL"/>
    <x v="2"/>
    <s v="No"/>
    <s v="Bank Transfer"/>
    <n v="65.12"/>
    <n v="561.55999999999995"/>
    <s v="Multan"/>
    <s v="No"/>
    <n v="0"/>
    <s v="0-12 months"/>
    <x v="0"/>
  </r>
  <r>
    <s v="CUST-00209"/>
    <n v="46"/>
    <s v="No"/>
    <s v="Yes"/>
    <s v="Yes"/>
    <n v="13"/>
    <s v="Yes"/>
    <s v="No"/>
    <s v="Fiber optic"/>
    <x v="2"/>
    <s v="No"/>
    <s v="Electronic check"/>
    <n v="76.989999999999995"/>
    <n v="974.08"/>
    <s v="Faisalabad"/>
    <s v="Yes"/>
    <n v="1"/>
    <s v="0-12 months"/>
    <x v="1"/>
  </r>
  <r>
    <s v="CUST-00210"/>
    <n v="56"/>
    <s v="No"/>
    <s v="No"/>
    <s v="Yes"/>
    <n v="39"/>
    <s v="Yes"/>
    <s v="No"/>
    <s v="Fiber optic"/>
    <x v="2"/>
    <s v="Yes"/>
    <s v="Bank Transfer"/>
    <n v="109.69"/>
    <n v="4144.1000000000004"/>
    <s v="Karachi"/>
    <s v="Yes"/>
    <n v="1"/>
    <s v="0-12 months"/>
    <x v="2"/>
  </r>
  <r>
    <s v="CUST-00211"/>
    <n v="49"/>
    <s v="No"/>
    <s v="Yes"/>
    <s v="Yes"/>
    <n v="47"/>
    <s v="Yes"/>
    <s v="No"/>
    <s v="No internet"/>
    <x v="1"/>
    <s v="No"/>
    <s v="Credit card"/>
    <n v="26.2"/>
    <n v="1270.22"/>
    <s v="Peshawar"/>
    <s v="No"/>
    <n v="0"/>
    <s v="0-12 months"/>
    <x v="3"/>
  </r>
  <r>
    <s v="CUST-00212"/>
    <n v="22"/>
    <s v="No"/>
    <s v="Yes"/>
    <s v="Yes"/>
    <n v="2"/>
    <s v="Yes"/>
    <s v="No"/>
    <s v="Fiber optic"/>
    <x v="1"/>
    <s v="No"/>
    <s v="Credit card"/>
    <n v="101.43"/>
    <n v="202.89"/>
    <s v="Multan"/>
    <s v="No"/>
    <n v="0"/>
    <s v="0-12 months"/>
    <x v="2"/>
  </r>
  <r>
    <s v="CUST-00213"/>
    <n v="43"/>
    <s v="No"/>
    <s v="Yes"/>
    <s v="Yes"/>
    <n v="36"/>
    <s v="Yes"/>
    <s v="No"/>
    <s v="Fiber optic"/>
    <x v="2"/>
    <s v="Yes"/>
    <s v="Credit card"/>
    <n v="89.54"/>
    <n v="3275.39"/>
    <s v="Multan"/>
    <s v="No"/>
    <n v="0"/>
    <s v="0-12 months"/>
    <x v="1"/>
  </r>
  <r>
    <s v="CUST-00214"/>
    <n v="59"/>
    <s v="No"/>
    <s v="Yes"/>
    <s v="No"/>
    <n v="56"/>
    <s v="Yes"/>
    <s v="Yes"/>
    <s v="DSL"/>
    <x v="2"/>
    <s v="No"/>
    <s v="Electronic check"/>
    <n v="64.489999999999995"/>
    <n v="3418.6"/>
    <s v="Multan"/>
    <s v="No"/>
    <n v="0"/>
    <s v="0-12 months"/>
    <x v="0"/>
  </r>
  <r>
    <s v="CUST-00215"/>
    <n v="65"/>
    <s v="Yes"/>
    <s v="Yes"/>
    <s v="Yes"/>
    <n v="2"/>
    <s v="Yes"/>
    <s v="Yes"/>
    <s v="DSL"/>
    <x v="1"/>
    <s v="No"/>
    <s v="Electronic check"/>
    <n v="45.08"/>
    <n v="93.2"/>
    <s v="Lahore"/>
    <s v="Yes"/>
    <n v="1"/>
    <s v="0-12 months"/>
    <x v="3"/>
  </r>
  <r>
    <s v="CUST-00216"/>
    <n v="67"/>
    <s v="Yes"/>
    <s v="Yes"/>
    <s v="No"/>
    <n v="55"/>
    <s v="Yes"/>
    <s v="Yes"/>
    <s v="Fiber optic"/>
    <x v="1"/>
    <s v="Yes"/>
    <s v="Credit card"/>
    <n v="95.54"/>
    <n v="4974.38"/>
    <s v="Karachi"/>
    <s v="No"/>
    <n v="0"/>
    <s v="0-12 months"/>
    <x v="1"/>
  </r>
  <r>
    <s v="CUST-00217"/>
    <n v="41"/>
    <s v="No"/>
    <s v="Yes"/>
    <s v="No"/>
    <n v="14"/>
    <s v="Yes"/>
    <s v="Yes"/>
    <s v="No internet"/>
    <x v="2"/>
    <s v="Yes"/>
    <s v="Mailed check"/>
    <n v="18.149999999999999"/>
    <n v="240.26"/>
    <s v="Karachi"/>
    <s v="No"/>
    <n v="0"/>
    <s v="0-12 months"/>
    <x v="3"/>
  </r>
  <r>
    <s v="CUST-00218"/>
    <n v="29"/>
    <s v="No"/>
    <s v="Yes"/>
    <s v="No"/>
    <n v="29"/>
    <s v="No"/>
    <s v="No phone service"/>
    <s v="Fiber optic"/>
    <x v="1"/>
    <s v="No"/>
    <s v="Electronic check"/>
    <n v="73.89"/>
    <n v="2110.1"/>
    <s v="Lahore"/>
    <s v="No"/>
    <n v="0"/>
    <s v="0-12 months"/>
    <x v="0"/>
  </r>
  <r>
    <s v="CUST-00219"/>
    <n v="29"/>
    <s v="No"/>
    <s v="Yes"/>
    <s v="Yes"/>
    <n v="52"/>
    <s v="No"/>
    <s v="No phone service"/>
    <s v="Fiber optic"/>
    <x v="1"/>
    <s v="No"/>
    <s v="Electronic check"/>
    <n v="97.65"/>
    <n v="4777.99"/>
    <s v="Faisalabad"/>
    <s v="Yes"/>
    <n v="1"/>
    <s v="0-12 months"/>
    <x v="1"/>
  </r>
  <r>
    <s v="CUST-00220"/>
    <n v="68"/>
    <s v="Yes"/>
    <s v="No"/>
    <s v="Yes"/>
    <n v="60"/>
    <s v="No"/>
    <s v="No phone service"/>
    <s v="Fiber optic"/>
    <x v="1"/>
    <s v="Yes"/>
    <s v="Bank Transfer"/>
    <n v="97.33"/>
    <n v="6047.21"/>
    <s v="Rawalpindi"/>
    <s v="Yes"/>
    <n v="1"/>
    <s v="0-12 months"/>
    <x v="1"/>
  </r>
  <r>
    <s v="CUST-00221"/>
    <n v="19"/>
    <s v="No"/>
    <s v="Yes"/>
    <s v="No"/>
    <n v="2"/>
    <s v="Yes"/>
    <s v="No"/>
    <s v="No internet"/>
    <x v="2"/>
    <s v="No"/>
    <s v="Electronic check"/>
    <n v="24.36"/>
    <n v="47.19"/>
    <s v="Lahore"/>
    <s v="Yes"/>
    <n v="1"/>
    <s v="0-12 months"/>
    <x v="3"/>
  </r>
  <r>
    <s v="CUST-00222"/>
    <n v="27"/>
    <s v="No"/>
    <s v="No"/>
    <s v="Yes"/>
    <n v="6"/>
    <s v="No"/>
    <s v="No phone service"/>
    <s v="No internet"/>
    <x v="0"/>
    <s v="No"/>
    <s v="Credit card"/>
    <n v="26.97"/>
    <n v="163.38999999999999"/>
    <s v="Multan"/>
    <s v="No"/>
    <n v="0"/>
    <s v="0-12 months"/>
    <x v="3"/>
  </r>
  <r>
    <s v="CUST-00223"/>
    <n v="70"/>
    <s v="Yes"/>
    <s v="No"/>
    <s v="Yes"/>
    <n v="8"/>
    <s v="Yes"/>
    <s v="Yes"/>
    <s v="Fiber optic"/>
    <x v="2"/>
    <s v="No"/>
    <s v="Mailed check"/>
    <n v="89.65"/>
    <n v="745.76"/>
    <s v="Rawalpindi"/>
    <s v="Yes"/>
    <n v="1"/>
    <s v="0-12 months"/>
    <x v="1"/>
  </r>
  <r>
    <s v="CUST-00224"/>
    <n v="35"/>
    <s v="No"/>
    <s v="Yes"/>
    <s v="Yes"/>
    <n v="26"/>
    <s v="Yes"/>
    <s v="Yes"/>
    <s v="Fiber optic"/>
    <x v="2"/>
    <s v="No"/>
    <s v="Electronic check"/>
    <n v="76.040000000000006"/>
    <n v="1943.42"/>
    <s v="Rawalpindi"/>
    <s v="No"/>
    <n v="0"/>
    <s v="0-12 months"/>
    <x v="1"/>
  </r>
  <r>
    <s v="CUST-00225"/>
    <n v="37"/>
    <s v="No"/>
    <s v="No"/>
    <s v="No"/>
    <n v="16"/>
    <s v="No"/>
    <s v="No phone service"/>
    <s v="Fiber optic"/>
    <x v="1"/>
    <s v="Yes"/>
    <s v="Electronic check"/>
    <n v="112.83"/>
    <n v="1729.1"/>
    <s v="Islamabad"/>
    <s v="No"/>
    <n v="0"/>
    <s v="0-12 months"/>
    <x v="2"/>
  </r>
  <r>
    <s v="CUST-00226"/>
    <n v="43"/>
    <s v="No"/>
    <s v="Yes"/>
    <s v="No"/>
    <n v="34"/>
    <s v="Yes"/>
    <s v="Yes"/>
    <s v="No internet"/>
    <x v="2"/>
    <s v="No"/>
    <s v="Credit card"/>
    <n v="24.6"/>
    <n v="795.72"/>
    <s v="Peshawar"/>
    <s v="Yes"/>
    <n v="1"/>
    <s v="0-12 months"/>
    <x v="3"/>
  </r>
  <r>
    <s v="CUST-00227"/>
    <n v="26"/>
    <s v="No"/>
    <s v="Yes"/>
    <s v="Yes"/>
    <n v="8"/>
    <s v="Yes"/>
    <s v="Yes"/>
    <s v="No internet"/>
    <x v="1"/>
    <s v="No"/>
    <s v="Bank Transfer"/>
    <n v="29.25"/>
    <n v="222.32"/>
    <s v="Peshawar"/>
    <s v="No"/>
    <n v="0"/>
    <s v="0-12 months"/>
    <x v="3"/>
  </r>
  <r>
    <s v="CUST-00228"/>
    <n v="22"/>
    <s v="No"/>
    <s v="Yes"/>
    <s v="Yes"/>
    <n v="26"/>
    <s v="No"/>
    <s v="No phone service"/>
    <s v="No internet"/>
    <x v="1"/>
    <s v="Yes"/>
    <s v="Mailed check"/>
    <n v="27.95"/>
    <n v="712.01"/>
    <s v="Rawalpindi"/>
    <s v="Yes"/>
    <n v="1"/>
    <s v="0-12 months"/>
    <x v="3"/>
  </r>
  <r>
    <s v="CUST-00229"/>
    <n v="21"/>
    <s v="No"/>
    <s v="Yes"/>
    <s v="No"/>
    <n v="51"/>
    <s v="No"/>
    <s v="No phone service"/>
    <s v="DSL"/>
    <x v="0"/>
    <s v="Yes"/>
    <s v="Credit card"/>
    <n v="76.33"/>
    <n v="3787.72"/>
    <s v="Karachi"/>
    <s v="No"/>
    <n v="0"/>
    <s v="0-12 months"/>
    <x v="1"/>
  </r>
  <r>
    <s v="CUST-00230"/>
    <n v="20"/>
    <s v="No"/>
    <s v="Yes"/>
    <s v="No"/>
    <n v="64"/>
    <s v="No"/>
    <s v="No phone service"/>
    <s v="Fiber optic"/>
    <x v="2"/>
    <s v="No"/>
    <s v="Credit card"/>
    <n v="90.96"/>
    <n v="5921.09"/>
    <s v="Karachi"/>
    <s v="No"/>
    <n v="0"/>
    <s v="0-12 months"/>
    <x v="1"/>
  </r>
  <r>
    <s v="CUST-00231"/>
    <n v="58"/>
    <s v="No"/>
    <s v="Yes"/>
    <s v="No"/>
    <n v="46"/>
    <s v="No"/>
    <s v="No phone service"/>
    <s v="DSL"/>
    <x v="2"/>
    <s v="No"/>
    <s v="Credit card"/>
    <n v="47.19"/>
    <n v="2123.56"/>
    <s v="Peshawar"/>
    <s v="Yes"/>
    <n v="1"/>
    <s v="0-12 months"/>
    <x v="3"/>
  </r>
  <r>
    <s v="CUST-00232"/>
    <n v="67"/>
    <s v="Yes"/>
    <s v="No"/>
    <s v="Yes"/>
    <n v="61"/>
    <s v="Yes"/>
    <s v="No"/>
    <s v="DSL"/>
    <x v="2"/>
    <s v="Yes"/>
    <s v="Electronic check"/>
    <n v="72.650000000000006"/>
    <n v="4653.55"/>
    <s v="Karachi"/>
    <s v="Yes"/>
    <n v="1"/>
    <s v="0-12 months"/>
    <x v="0"/>
  </r>
  <r>
    <s v="CUST-00233"/>
    <n v="54"/>
    <s v="No"/>
    <s v="No"/>
    <s v="No"/>
    <n v="23"/>
    <s v="No"/>
    <s v="No phone service"/>
    <s v="Fiber optic"/>
    <x v="1"/>
    <s v="No"/>
    <s v="Mailed check"/>
    <n v="71.41"/>
    <n v="1681.96"/>
    <s v="Faisalabad"/>
    <s v="No"/>
    <n v="0"/>
    <s v="0-12 months"/>
    <x v="0"/>
  </r>
  <r>
    <s v="CUST-00234"/>
    <n v="27"/>
    <s v="No"/>
    <s v="Yes"/>
    <s v="No"/>
    <n v="70"/>
    <s v="No"/>
    <s v="No phone service"/>
    <s v="Fiber optic"/>
    <x v="2"/>
    <s v="Yes"/>
    <s v="Electronic check"/>
    <n v="80.94"/>
    <n v="5683.78"/>
    <s v="Faisalabad"/>
    <s v="Yes"/>
    <n v="1"/>
    <s v="0-12 months"/>
    <x v="1"/>
  </r>
  <r>
    <s v="CUST-00235"/>
    <n v="30"/>
    <s v="No"/>
    <s v="Yes"/>
    <s v="No"/>
    <n v="23"/>
    <s v="No"/>
    <s v="No phone service"/>
    <s v="No internet"/>
    <x v="2"/>
    <s v="Yes"/>
    <s v="Credit card"/>
    <n v="29.01"/>
    <n v="689.2"/>
    <s v="Peshawar"/>
    <s v="No"/>
    <n v="0"/>
    <s v="0-12 months"/>
    <x v="3"/>
  </r>
  <r>
    <s v="CUST-00236"/>
    <n v="41"/>
    <s v="No"/>
    <s v="Yes"/>
    <s v="No"/>
    <n v="51"/>
    <s v="No"/>
    <s v="No phone service"/>
    <s v="DSL"/>
    <x v="2"/>
    <s v="Yes"/>
    <s v="Mailed check"/>
    <n v="69.290000000000006"/>
    <n v="3507.02"/>
    <s v="Rawalpindi"/>
    <s v="No"/>
    <n v="0"/>
    <s v="0-12 months"/>
    <x v="0"/>
  </r>
  <r>
    <s v="CUST-00237"/>
    <n v="59"/>
    <s v="No"/>
    <s v="No"/>
    <s v="Yes"/>
    <n v="72"/>
    <s v="No"/>
    <s v="No phone service"/>
    <s v="DSL"/>
    <x v="2"/>
    <s v="Yes"/>
    <s v="Credit card"/>
    <n v="69.36"/>
    <n v="4870.78"/>
    <s v="Lahore"/>
    <s v="Yes"/>
    <n v="1"/>
    <s v="0-12 months"/>
    <x v="0"/>
  </r>
  <r>
    <s v="CUST-00238"/>
    <n v="62"/>
    <s v="Yes"/>
    <s v="No"/>
    <s v="Yes"/>
    <n v="24"/>
    <s v="Yes"/>
    <s v="No"/>
    <s v="DSL"/>
    <x v="2"/>
    <s v="No"/>
    <s v="Electronic check"/>
    <n v="69.81"/>
    <n v="1622.76"/>
    <s v="Karachi"/>
    <s v="No"/>
    <n v="0"/>
    <s v="0-12 months"/>
    <x v="0"/>
  </r>
  <r>
    <s v="CUST-00239"/>
    <n v="58"/>
    <s v="No"/>
    <s v="Yes"/>
    <s v="No"/>
    <n v="58"/>
    <s v="Yes"/>
    <s v="Yes"/>
    <s v="Fiber optic"/>
    <x v="2"/>
    <s v="No"/>
    <s v="Bank Transfer"/>
    <n v="106.02"/>
    <n v="5815.74"/>
    <s v="Rawalpindi"/>
    <s v="Yes"/>
    <n v="1"/>
    <s v="0-12 months"/>
    <x v="2"/>
  </r>
  <r>
    <s v="CUST-00240"/>
    <n v="28"/>
    <s v="No"/>
    <s v="No"/>
    <s v="No"/>
    <n v="49"/>
    <s v="No"/>
    <s v="No phone service"/>
    <s v="Fiber optic"/>
    <x v="2"/>
    <s v="No"/>
    <s v="Bank Transfer"/>
    <n v="98.9"/>
    <n v="4996.28"/>
    <s v="Rawalpindi"/>
    <s v="Yes"/>
    <n v="1"/>
    <s v="0-12 months"/>
    <x v="1"/>
  </r>
  <r>
    <s v="CUST-00241"/>
    <n v="22"/>
    <s v="No"/>
    <s v="Yes"/>
    <s v="No"/>
    <n v="3"/>
    <s v="Yes"/>
    <s v="Yes"/>
    <s v="Fiber optic"/>
    <x v="2"/>
    <s v="No"/>
    <s v="Electronic check"/>
    <n v="73.75"/>
    <n v="232.98"/>
    <s v="Islamabad"/>
    <s v="No"/>
    <n v="0"/>
    <s v="0-12 months"/>
    <x v="0"/>
  </r>
  <r>
    <s v="CUST-00242"/>
    <n v="56"/>
    <s v="No"/>
    <s v="No"/>
    <s v="Yes"/>
    <n v="56"/>
    <s v="Yes"/>
    <s v="No"/>
    <s v="No internet"/>
    <x v="2"/>
    <s v="Yes"/>
    <s v="Electronic check"/>
    <n v="20.47"/>
    <n v="1103.67"/>
    <s v="Multan"/>
    <s v="No"/>
    <n v="0"/>
    <s v="0-12 months"/>
    <x v="3"/>
  </r>
  <r>
    <s v="CUST-00243"/>
    <n v="64"/>
    <s v="Yes"/>
    <s v="No"/>
    <s v="No"/>
    <n v="39"/>
    <s v="Yes"/>
    <s v="No"/>
    <s v="Fiber optic"/>
    <x v="2"/>
    <s v="No"/>
    <s v="Electronic check"/>
    <n v="88.04"/>
    <n v="3403.73"/>
    <s v="Multan"/>
    <s v="Yes"/>
    <n v="1"/>
    <s v="0-12 months"/>
    <x v="1"/>
  </r>
  <r>
    <s v="CUST-00244"/>
    <n v="58"/>
    <s v="No"/>
    <s v="No"/>
    <s v="Yes"/>
    <n v="13"/>
    <s v="Yes"/>
    <s v="No"/>
    <s v="Fiber optic"/>
    <x v="1"/>
    <s v="No"/>
    <s v="Bank Transfer"/>
    <n v="85.42"/>
    <n v="1096.8"/>
    <s v="Multan"/>
    <s v="No"/>
    <n v="0"/>
    <s v="0-12 months"/>
    <x v="1"/>
  </r>
  <r>
    <s v="CUST-00245"/>
    <n v="34"/>
    <s v="No"/>
    <s v="Yes"/>
    <s v="No"/>
    <n v="24"/>
    <s v="No"/>
    <s v="No phone service"/>
    <s v="Fiber optic"/>
    <x v="2"/>
    <s v="No"/>
    <s v="Electronic check"/>
    <n v="91.99"/>
    <n v="2145.08"/>
    <s v="Faisalabad"/>
    <s v="No"/>
    <n v="0"/>
    <s v="0-12 months"/>
    <x v="1"/>
  </r>
  <r>
    <s v="CUST-00246"/>
    <n v="21"/>
    <s v="No"/>
    <s v="Yes"/>
    <s v="Yes"/>
    <n v="11"/>
    <s v="No"/>
    <s v="No phone service"/>
    <s v="DSL"/>
    <x v="1"/>
    <s v="Yes"/>
    <s v="Credit card"/>
    <n v="73.63"/>
    <n v="840.88"/>
    <s v="Faisalabad"/>
    <s v="No"/>
    <n v="0"/>
    <s v="0-12 months"/>
    <x v="0"/>
  </r>
  <r>
    <s v="CUST-00247"/>
    <n v="61"/>
    <s v="Yes"/>
    <s v="No"/>
    <s v="Yes"/>
    <n v="61"/>
    <s v="No"/>
    <s v="No phone service"/>
    <s v="Fiber optic"/>
    <x v="1"/>
    <s v="Yes"/>
    <s v="Credit card"/>
    <n v="115.02"/>
    <n v="7269.18"/>
    <s v="Faisalabad"/>
    <s v="No"/>
    <n v="0"/>
    <s v="0-12 months"/>
    <x v="2"/>
  </r>
  <r>
    <s v="CUST-00248"/>
    <n v="27"/>
    <s v="No"/>
    <s v="Yes"/>
    <s v="No"/>
    <n v="23"/>
    <s v="Yes"/>
    <s v="No"/>
    <s v="No internet"/>
    <x v="1"/>
    <s v="Yes"/>
    <s v="Electronic check"/>
    <n v="18.940000000000001"/>
    <n v="445.19"/>
    <s v="Peshawar"/>
    <s v="No"/>
    <n v="0"/>
    <s v="0-12 months"/>
    <x v="3"/>
  </r>
  <r>
    <s v="CUST-00249"/>
    <n v="58"/>
    <s v="No"/>
    <s v="Yes"/>
    <s v="No"/>
    <n v="41"/>
    <s v="Yes"/>
    <s v="Yes"/>
    <s v="No internet"/>
    <x v="0"/>
    <s v="No"/>
    <s v="Mailed check"/>
    <n v="24.24"/>
    <n v="1043.5899999999999"/>
    <s v="Multan"/>
    <s v="Yes"/>
    <n v="1"/>
    <s v="0-12 months"/>
    <x v="3"/>
  </r>
  <r>
    <s v="CUST-00250"/>
    <n v="57"/>
    <s v="No"/>
    <s v="No"/>
    <s v="Yes"/>
    <n v="54"/>
    <s v="Yes"/>
    <s v="No"/>
    <s v="Fiber optic"/>
    <x v="0"/>
    <s v="Yes"/>
    <s v="Bank Transfer"/>
    <n v="113.37"/>
    <n v="6401.24"/>
    <s v="Islamabad"/>
    <s v="No"/>
    <n v="0"/>
    <s v="0-12 months"/>
    <x v="2"/>
  </r>
  <r>
    <s v="CUST-00251"/>
    <n v="42"/>
    <s v="No"/>
    <s v="No"/>
    <s v="No"/>
    <n v="5"/>
    <s v="No"/>
    <s v="No phone service"/>
    <s v="Fiber optic"/>
    <x v="2"/>
    <s v="No"/>
    <s v="Electronic check"/>
    <n v="114.48"/>
    <n v="560.83000000000004"/>
    <s v="Multan"/>
    <s v="Yes"/>
    <n v="1"/>
    <s v="0-12 months"/>
    <x v="2"/>
  </r>
  <r>
    <s v="CUST-00252"/>
    <n v="48"/>
    <s v="No"/>
    <s v="No"/>
    <s v="No"/>
    <n v="3"/>
    <s v="No"/>
    <s v="No phone service"/>
    <s v="Fiber optic"/>
    <x v="2"/>
    <s v="No"/>
    <s v="Mailed check"/>
    <n v="104.24"/>
    <n v="330.45"/>
    <s v="Islamabad"/>
    <s v="Yes"/>
    <n v="1"/>
    <s v="0-12 months"/>
    <x v="2"/>
  </r>
  <r>
    <s v="CUST-00253"/>
    <n v="65"/>
    <s v="Yes"/>
    <s v="No"/>
    <s v="No"/>
    <n v="35"/>
    <s v="Yes"/>
    <s v="Yes"/>
    <s v="DSL"/>
    <x v="2"/>
    <s v="No"/>
    <s v="Bank Transfer"/>
    <n v="70.38"/>
    <n v="2571.84"/>
    <s v="Faisalabad"/>
    <s v="No"/>
    <n v="0"/>
    <s v="0-12 months"/>
    <x v="0"/>
  </r>
  <r>
    <s v="CUST-00254"/>
    <n v="68"/>
    <s v="Yes"/>
    <s v="Yes"/>
    <s v="Yes"/>
    <n v="40"/>
    <s v="No"/>
    <s v="No phone service"/>
    <s v="DSL"/>
    <x v="2"/>
    <s v="Yes"/>
    <s v="Electronic check"/>
    <n v="75.010000000000005"/>
    <n v="2892.65"/>
    <s v="Lahore"/>
    <s v="Yes"/>
    <n v="1"/>
    <s v="0-12 months"/>
    <x v="1"/>
  </r>
  <r>
    <s v="CUST-00255"/>
    <n v="47"/>
    <s v="No"/>
    <s v="Yes"/>
    <s v="No"/>
    <n v="26"/>
    <s v="No"/>
    <s v="No phone service"/>
    <s v="Fiber optic"/>
    <x v="2"/>
    <s v="Yes"/>
    <s v="Bank Transfer"/>
    <n v="82.1"/>
    <n v="2131.73"/>
    <s v="Peshawar"/>
    <s v="No"/>
    <n v="0"/>
    <s v="0-12 months"/>
    <x v="1"/>
  </r>
  <r>
    <s v="CUST-00256"/>
    <n v="48"/>
    <s v="No"/>
    <s v="No"/>
    <s v="No"/>
    <n v="21"/>
    <s v="No"/>
    <s v="No phone service"/>
    <s v="No internet"/>
    <x v="0"/>
    <s v="Yes"/>
    <s v="Electronic check"/>
    <n v="22.64"/>
    <n v="456.21"/>
    <s v="Karachi"/>
    <s v="No"/>
    <n v="0"/>
    <s v="0-12 months"/>
    <x v="3"/>
  </r>
  <r>
    <s v="CUST-00257"/>
    <n v="72"/>
    <s v="Yes"/>
    <s v="Yes"/>
    <s v="Yes"/>
    <n v="27"/>
    <s v="No"/>
    <s v="No phone service"/>
    <s v="Fiber optic"/>
    <x v="2"/>
    <s v="Yes"/>
    <s v="Credit card"/>
    <n v="76.62"/>
    <n v="1987.61"/>
    <s v="Karachi"/>
    <s v="No"/>
    <n v="0"/>
    <s v="0-12 months"/>
    <x v="1"/>
  </r>
  <r>
    <s v="CUST-00258"/>
    <n v="34"/>
    <s v="No"/>
    <s v="No"/>
    <s v="No"/>
    <n v="55"/>
    <s v="No"/>
    <s v="No phone service"/>
    <s v="No internet"/>
    <x v="2"/>
    <s v="Yes"/>
    <s v="Credit card"/>
    <n v="26.13"/>
    <n v="1493.08"/>
    <s v="Lahore"/>
    <s v="No"/>
    <n v="0"/>
    <s v="0-12 months"/>
    <x v="3"/>
  </r>
  <r>
    <s v="CUST-00259"/>
    <n v="18"/>
    <s v="No"/>
    <s v="No"/>
    <s v="No"/>
    <n v="39"/>
    <s v="No"/>
    <s v="No phone service"/>
    <s v="DSL"/>
    <x v="2"/>
    <s v="No"/>
    <s v="Bank Transfer"/>
    <n v="74.459999999999994"/>
    <n v="2820.71"/>
    <s v="Multan"/>
    <s v="No"/>
    <n v="0"/>
    <s v="0-12 months"/>
    <x v="0"/>
  </r>
  <r>
    <s v="CUST-00260"/>
    <n v="37"/>
    <s v="No"/>
    <s v="Yes"/>
    <s v="Yes"/>
    <n v="67"/>
    <s v="Yes"/>
    <s v="No"/>
    <s v="DSL"/>
    <x v="1"/>
    <s v="No"/>
    <s v="Bank Transfer"/>
    <n v="67.23"/>
    <n v="4624.0200000000004"/>
    <s v="Islamabad"/>
    <s v="No"/>
    <n v="0"/>
    <s v="0-12 months"/>
    <x v="0"/>
  </r>
  <r>
    <s v="CUST-00261"/>
    <n v="34"/>
    <s v="No"/>
    <s v="No"/>
    <s v="No"/>
    <n v="50"/>
    <s v="Yes"/>
    <s v="Yes"/>
    <s v="DSL"/>
    <x v="0"/>
    <s v="No"/>
    <s v="Mailed check"/>
    <n v="66.87"/>
    <n v="3346.43"/>
    <s v="Peshawar"/>
    <s v="No"/>
    <n v="0"/>
    <s v="0-12 months"/>
    <x v="0"/>
  </r>
  <r>
    <s v="CUST-00262"/>
    <n v="60"/>
    <s v="Yes"/>
    <s v="Yes"/>
    <s v="No"/>
    <n v="13"/>
    <s v="No"/>
    <s v="No phone service"/>
    <s v="DSL"/>
    <x v="0"/>
    <s v="Yes"/>
    <s v="Mailed check"/>
    <n v="75.98"/>
    <n v="1006.04"/>
    <s v="Karachi"/>
    <s v="No"/>
    <n v="0"/>
    <s v="0-12 months"/>
    <x v="1"/>
  </r>
  <r>
    <s v="CUST-00263"/>
    <n v="65"/>
    <s v="Yes"/>
    <s v="No"/>
    <s v="No"/>
    <n v="43"/>
    <s v="No"/>
    <s v="No phone service"/>
    <s v="Fiber optic"/>
    <x v="2"/>
    <s v="Yes"/>
    <s v="Credit card"/>
    <n v="113.32"/>
    <n v="4921.63"/>
    <s v="Lahore"/>
    <s v="No"/>
    <n v="0"/>
    <s v="0-12 months"/>
    <x v="2"/>
  </r>
  <r>
    <s v="CUST-00264"/>
    <n v="48"/>
    <s v="No"/>
    <s v="Yes"/>
    <s v="Yes"/>
    <n v="49"/>
    <s v="No"/>
    <s v="No phone service"/>
    <s v="DSL"/>
    <x v="2"/>
    <s v="Yes"/>
    <s v="Electronic check"/>
    <n v="48.01"/>
    <n v="2326.85"/>
    <s v="Rawalpindi"/>
    <s v="No"/>
    <n v="0"/>
    <s v="0-12 months"/>
    <x v="3"/>
  </r>
  <r>
    <s v="CUST-00265"/>
    <n v="27"/>
    <s v="No"/>
    <s v="No"/>
    <s v="Yes"/>
    <n v="11"/>
    <s v="Yes"/>
    <s v="Yes"/>
    <s v="DSL"/>
    <x v="2"/>
    <s v="No"/>
    <s v="Electronic check"/>
    <n v="70.45"/>
    <n v="744.13"/>
    <s v="Rawalpindi"/>
    <s v="No"/>
    <n v="0"/>
    <s v="0-12 months"/>
    <x v="0"/>
  </r>
  <r>
    <s v="CUST-00266"/>
    <n v="68"/>
    <s v="Yes"/>
    <s v="Yes"/>
    <s v="Yes"/>
    <n v="56"/>
    <s v="No"/>
    <s v="No phone service"/>
    <s v="DSL"/>
    <x v="2"/>
    <s v="No"/>
    <s v="Credit card"/>
    <n v="41.51"/>
    <n v="2240.71"/>
    <s v="Lahore"/>
    <s v="No"/>
    <n v="0"/>
    <s v="0-12 months"/>
    <x v="3"/>
  </r>
  <r>
    <s v="CUST-00267"/>
    <n v="75"/>
    <s v="Yes"/>
    <s v="No"/>
    <s v="Yes"/>
    <n v="3"/>
    <s v="Yes"/>
    <s v="Yes"/>
    <s v="DSL"/>
    <x v="1"/>
    <s v="No"/>
    <s v="Electronic check"/>
    <n v="55.34"/>
    <n v="167.79"/>
    <s v="Peshawar"/>
    <s v="Yes"/>
    <n v="1"/>
    <s v="0-12 months"/>
    <x v="0"/>
  </r>
  <r>
    <s v="CUST-00268"/>
    <n v="20"/>
    <s v="No"/>
    <s v="No"/>
    <s v="No"/>
    <n v="59"/>
    <s v="No"/>
    <s v="No phone service"/>
    <s v="DSL"/>
    <x v="2"/>
    <s v="Yes"/>
    <s v="Electronic check"/>
    <n v="76.06"/>
    <n v="4411.75"/>
    <s v="Peshawar"/>
    <s v="Yes"/>
    <n v="1"/>
    <s v="0-12 months"/>
    <x v="1"/>
  </r>
  <r>
    <s v="CUST-00269"/>
    <n v="43"/>
    <s v="No"/>
    <s v="Yes"/>
    <s v="Yes"/>
    <n v="29"/>
    <s v="Yes"/>
    <s v="Yes"/>
    <s v="DSL"/>
    <x v="2"/>
    <s v="Yes"/>
    <s v="Electronic check"/>
    <n v="68.44"/>
    <n v="2054.34"/>
    <s v="Multan"/>
    <s v="No"/>
    <n v="0"/>
    <s v="0-12 months"/>
    <x v="0"/>
  </r>
  <r>
    <s v="CUST-00270"/>
    <n v="34"/>
    <s v="No"/>
    <s v="Yes"/>
    <s v="Yes"/>
    <n v="14"/>
    <s v="Yes"/>
    <s v="Yes"/>
    <s v="DSL"/>
    <x v="2"/>
    <s v="No"/>
    <s v="Credit card"/>
    <n v="61.89"/>
    <n v="863.8"/>
    <s v="Multan"/>
    <s v="Yes"/>
    <n v="1"/>
    <s v="0-12 months"/>
    <x v="0"/>
  </r>
  <r>
    <s v="CUST-00271"/>
    <n v="61"/>
    <s v="Yes"/>
    <s v="Yes"/>
    <s v="No"/>
    <n v="54"/>
    <s v="No"/>
    <s v="No phone service"/>
    <s v="DSL"/>
    <x v="0"/>
    <s v="Yes"/>
    <s v="Credit card"/>
    <n v="75.94"/>
    <n v="4106.46"/>
    <s v="Islamabad"/>
    <s v="No"/>
    <n v="0"/>
    <s v="0-12 months"/>
    <x v="1"/>
  </r>
  <r>
    <s v="CUST-00272"/>
    <n v="25"/>
    <s v="No"/>
    <s v="Yes"/>
    <s v="No"/>
    <n v="26"/>
    <s v="No"/>
    <s v="No phone service"/>
    <s v="DSL"/>
    <x v="1"/>
    <s v="Yes"/>
    <s v="Credit card"/>
    <n v="56.39"/>
    <n v="1406.39"/>
    <s v="Karachi"/>
    <s v="No"/>
    <n v="0"/>
    <s v="0-12 months"/>
    <x v="0"/>
  </r>
  <r>
    <s v="CUST-00273"/>
    <n v="62"/>
    <s v="Yes"/>
    <s v="No"/>
    <s v="No"/>
    <n v="31"/>
    <s v="Yes"/>
    <s v="No"/>
    <s v="Fiber optic"/>
    <x v="1"/>
    <s v="No"/>
    <s v="Electronic check"/>
    <n v="74.5"/>
    <n v="2312.7399999999998"/>
    <s v="Lahore"/>
    <s v="No"/>
    <n v="0"/>
    <s v="0-12 months"/>
    <x v="0"/>
  </r>
  <r>
    <s v="CUST-00274"/>
    <n v="75"/>
    <s v="Yes"/>
    <s v="No"/>
    <s v="Yes"/>
    <n v="59"/>
    <s v="No"/>
    <s v="No phone service"/>
    <s v="No internet"/>
    <x v="2"/>
    <s v="Yes"/>
    <s v="Electronic check"/>
    <n v="20.100000000000001"/>
    <n v="1120.3599999999999"/>
    <s v="Peshawar"/>
    <s v="Yes"/>
    <n v="1"/>
    <s v="0-12 months"/>
    <x v="3"/>
  </r>
  <r>
    <s v="CUST-00275"/>
    <n v="61"/>
    <s v="Yes"/>
    <s v="No"/>
    <s v="No"/>
    <n v="15"/>
    <s v="Yes"/>
    <s v="Yes"/>
    <s v="Fiber optic"/>
    <x v="2"/>
    <s v="Yes"/>
    <s v="Electronic check"/>
    <n v="114.73"/>
    <n v="1814.93"/>
    <s v="Multan"/>
    <s v="Yes"/>
    <n v="1"/>
    <s v="0-12 months"/>
    <x v="2"/>
  </r>
  <r>
    <s v="CUST-00276"/>
    <n v="23"/>
    <s v="No"/>
    <s v="No"/>
    <s v="No"/>
    <n v="24"/>
    <s v="No"/>
    <s v="No phone service"/>
    <s v="Fiber optic"/>
    <x v="1"/>
    <s v="No"/>
    <s v="Bank Transfer"/>
    <n v="104.5"/>
    <n v="2501.4499999999998"/>
    <s v="Peshawar"/>
    <s v="No"/>
    <n v="0"/>
    <s v="0-12 months"/>
    <x v="2"/>
  </r>
  <r>
    <s v="CUST-00277"/>
    <n v="28"/>
    <s v="No"/>
    <s v="Yes"/>
    <s v="Yes"/>
    <n v="8"/>
    <s v="Yes"/>
    <s v="Yes"/>
    <s v="No internet"/>
    <x v="1"/>
    <s v="No"/>
    <s v="Bank Transfer"/>
    <n v="26.14"/>
    <n v="201.12"/>
    <s v="Islamabad"/>
    <s v="No"/>
    <n v="0"/>
    <s v="0-12 months"/>
    <x v="3"/>
  </r>
  <r>
    <s v="CUST-00278"/>
    <n v="57"/>
    <s v="No"/>
    <s v="Yes"/>
    <s v="Yes"/>
    <n v="62"/>
    <s v="Yes"/>
    <s v="No"/>
    <s v="No internet"/>
    <x v="2"/>
    <s v="Yes"/>
    <s v="Electronic check"/>
    <n v="21.77"/>
    <n v="1382.87"/>
    <s v="Peshawar"/>
    <s v="No"/>
    <n v="0"/>
    <s v="0-12 months"/>
    <x v="3"/>
  </r>
  <r>
    <s v="CUST-00279"/>
    <n v="65"/>
    <s v="Yes"/>
    <s v="Yes"/>
    <s v="No"/>
    <n v="67"/>
    <s v="Yes"/>
    <s v="No"/>
    <s v="DSL"/>
    <x v="0"/>
    <s v="No"/>
    <s v="Electronic check"/>
    <n v="67.05"/>
    <n v="4430.29"/>
    <s v="Faisalabad"/>
    <s v="No"/>
    <n v="0"/>
    <s v="0-12 months"/>
    <x v="0"/>
  </r>
  <r>
    <s v="CUST-00280"/>
    <n v="75"/>
    <s v="Yes"/>
    <s v="Yes"/>
    <s v="Yes"/>
    <n v="21"/>
    <s v="No"/>
    <s v="No phone service"/>
    <s v="DSL"/>
    <x v="1"/>
    <s v="Yes"/>
    <s v="Electronic check"/>
    <n v="59.67"/>
    <n v="1214.1099999999999"/>
    <s v="Lahore"/>
    <s v="No"/>
    <n v="0"/>
    <s v="0-12 months"/>
    <x v="0"/>
  </r>
  <r>
    <s v="CUST-00281"/>
    <n v="50"/>
    <s v="No"/>
    <s v="Yes"/>
    <s v="No"/>
    <n v="52"/>
    <s v="Yes"/>
    <s v="No"/>
    <s v="No internet"/>
    <x v="1"/>
    <s v="No"/>
    <s v="Electronic check"/>
    <n v="23.98"/>
    <n v="1219.44"/>
    <s v="Multan"/>
    <s v="No"/>
    <n v="0"/>
    <s v="0-12 months"/>
    <x v="3"/>
  </r>
  <r>
    <s v="CUST-00282"/>
    <n v="59"/>
    <s v="No"/>
    <s v="Yes"/>
    <s v="Yes"/>
    <n v="52"/>
    <s v="Yes"/>
    <s v="No"/>
    <s v="Fiber optic"/>
    <x v="0"/>
    <s v="No"/>
    <s v="Mailed check"/>
    <n v="98.12"/>
    <n v="5196.8900000000003"/>
    <s v="Islamabad"/>
    <s v="No"/>
    <n v="0"/>
    <s v="0-12 months"/>
    <x v="1"/>
  </r>
  <r>
    <s v="CUST-00283"/>
    <n v="41"/>
    <s v="No"/>
    <s v="Yes"/>
    <s v="Yes"/>
    <n v="59"/>
    <s v="No"/>
    <s v="No phone service"/>
    <s v="Fiber optic"/>
    <x v="0"/>
    <s v="No"/>
    <s v="Bank Transfer"/>
    <n v="75.7"/>
    <n v="4605.28"/>
    <s v="Islamabad"/>
    <s v="No"/>
    <n v="0"/>
    <s v="0-12 months"/>
    <x v="1"/>
  </r>
  <r>
    <s v="CUST-00284"/>
    <n v="40"/>
    <s v="No"/>
    <s v="No"/>
    <s v="No"/>
    <n v="14"/>
    <s v="Yes"/>
    <s v="No"/>
    <s v="Fiber optic"/>
    <x v="1"/>
    <s v="No"/>
    <s v="Electronic check"/>
    <n v="100.54"/>
    <n v="1354.78"/>
    <s v="Rawalpindi"/>
    <s v="No"/>
    <n v="0"/>
    <s v="0-12 months"/>
    <x v="2"/>
  </r>
  <r>
    <s v="CUST-00285"/>
    <n v="31"/>
    <s v="No"/>
    <s v="No"/>
    <s v="Yes"/>
    <n v="44"/>
    <s v="No"/>
    <s v="No phone service"/>
    <s v="Fiber optic"/>
    <x v="2"/>
    <s v="Yes"/>
    <s v="Bank Transfer"/>
    <n v="92.53"/>
    <n v="4148.74"/>
    <s v="Karachi"/>
    <s v="No"/>
    <n v="0"/>
    <s v="0-12 months"/>
    <x v="1"/>
  </r>
  <r>
    <s v="CUST-00286"/>
    <n v="49"/>
    <s v="No"/>
    <s v="Yes"/>
    <s v="Yes"/>
    <n v="71"/>
    <s v="No"/>
    <s v="No phone service"/>
    <s v="No internet"/>
    <x v="1"/>
    <s v="Yes"/>
    <s v="Bank Transfer"/>
    <n v="20.079999999999998"/>
    <n v="1479.61"/>
    <s v="Multan"/>
    <s v="No"/>
    <n v="0"/>
    <s v="0-12 months"/>
    <x v="3"/>
  </r>
  <r>
    <s v="CUST-00287"/>
    <n v="56"/>
    <s v="No"/>
    <s v="No"/>
    <s v="No"/>
    <n v="54"/>
    <s v="Yes"/>
    <s v="Yes"/>
    <s v="No internet"/>
    <x v="1"/>
    <s v="No"/>
    <s v="Credit card"/>
    <n v="19.600000000000001"/>
    <n v="1047.32"/>
    <s v="Multan"/>
    <s v="No"/>
    <n v="0"/>
    <s v="0-12 months"/>
    <x v="3"/>
  </r>
  <r>
    <s v="CUST-00288"/>
    <n v="50"/>
    <s v="No"/>
    <s v="No"/>
    <s v="No"/>
    <n v="71"/>
    <s v="Yes"/>
    <s v="Yes"/>
    <s v="DSL"/>
    <x v="0"/>
    <s v="No"/>
    <s v="Mailed check"/>
    <n v="45.31"/>
    <n v="3298.23"/>
    <s v="Karachi"/>
    <s v="No"/>
    <n v="0"/>
    <s v="0-12 months"/>
    <x v="3"/>
  </r>
  <r>
    <s v="CUST-00289"/>
    <n v="50"/>
    <s v="No"/>
    <s v="No"/>
    <s v="Yes"/>
    <n v="46"/>
    <s v="No"/>
    <s v="No phone service"/>
    <s v="DSL"/>
    <x v="0"/>
    <s v="No"/>
    <s v="Mailed check"/>
    <n v="56.9"/>
    <n v="2464.37"/>
    <s v="Rawalpindi"/>
    <s v="Yes"/>
    <n v="1"/>
    <s v="0-12 months"/>
    <x v="0"/>
  </r>
  <r>
    <s v="CUST-00290"/>
    <n v="27"/>
    <s v="No"/>
    <s v="Yes"/>
    <s v="Yes"/>
    <n v="26"/>
    <s v="Yes"/>
    <s v="No"/>
    <s v="Fiber optic"/>
    <x v="0"/>
    <s v="Yes"/>
    <s v="Bank Transfer"/>
    <n v="104.53"/>
    <n v="2650.97"/>
    <s v="Lahore"/>
    <s v="No"/>
    <n v="0"/>
    <s v="0-12 months"/>
    <x v="2"/>
  </r>
  <r>
    <s v="CUST-00291"/>
    <n v="40"/>
    <s v="No"/>
    <s v="No"/>
    <s v="Yes"/>
    <n v="72"/>
    <s v="No"/>
    <s v="No phone service"/>
    <s v="No internet"/>
    <x v="2"/>
    <s v="No"/>
    <s v="Bank Transfer"/>
    <n v="18.559999999999999"/>
    <n v="1317.33"/>
    <s v="Peshawar"/>
    <s v="No"/>
    <n v="0"/>
    <s v="0-12 months"/>
    <x v="3"/>
  </r>
  <r>
    <s v="CUST-00292"/>
    <n v="61"/>
    <s v="Yes"/>
    <s v="No"/>
    <s v="Yes"/>
    <n v="2"/>
    <s v="Yes"/>
    <s v="No"/>
    <s v="DSL"/>
    <x v="0"/>
    <s v="No"/>
    <s v="Bank Transfer"/>
    <n v="76.459999999999994"/>
    <n v="156.68"/>
    <s v="Peshawar"/>
    <s v="No"/>
    <n v="0"/>
    <s v="0-12 months"/>
    <x v="1"/>
  </r>
  <r>
    <s v="CUST-00293"/>
    <n v="55"/>
    <s v="No"/>
    <s v="Yes"/>
    <s v="Yes"/>
    <n v="38"/>
    <s v="Yes"/>
    <s v="Yes"/>
    <s v="Fiber optic"/>
    <x v="2"/>
    <s v="Yes"/>
    <s v="Credit card"/>
    <n v="91.43"/>
    <n v="3497.94"/>
    <s v="Faisalabad"/>
    <s v="Yes"/>
    <n v="1"/>
    <s v="0-12 months"/>
    <x v="1"/>
  </r>
  <r>
    <s v="CUST-00294"/>
    <n v="72"/>
    <s v="Yes"/>
    <s v="No"/>
    <s v="Yes"/>
    <n v="43"/>
    <s v="Yes"/>
    <s v="Yes"/>
    <s v="DSL"/>
    <x v="1"/>
    <s v="Yes"/>
    <s v="Bank Transfer"/>
    <n v="65.010000000000005"/>
    <n v="2910.54"/>
    <s v="Peshawar"/>
    <s v="No"/>
    <n v="0"/>
    <s v="0-12 months"/>
    <x v="0"/>
  </r>
  <r>
    <s v="CUST-00295"/>
    <n v="54"/>
    <s v="No"/>
    <s v="No"/>
    <s v="Yes"/>
    <n v="41"/>
    <s v="Yes"/>
    <s v="No"/>
    <s v="DSL"/>
    <x v="0"/>
    <s v="Yes"/>
    <s v="Credit card"/>
    <n v="61.48"/>
    <n v="2397.25"/>
    <s v="Karachi"/>
    <s v="No"/>
    <n v="0"/>
    <s v="0-12 months"/>
    <x v="0"/>
  </r>
  <r>
    <s v="CUST-00296"/>
    <n v="60"/>
    <s v="Yes"/>
    <s v="No"/>
    <s v="No"/>
    <n v="47"/>
    <s v="No"/>
    <s v="No phone service"/>
    <s v="Fiber optic"/>
    <x v="1"/>
    <s v="Yes"/>
    <s v="Electronic check"/>
    <n v="87.3"/>
    <n v="3975.25"/>
    <s v="Faisalabad"/>
    <s v="No"/>
    <n v="0"/>
    <s v="0-12 months"/>
    <x v="1"/>
  </r>
  <r>
    <s v="CUST-00297"/>
    <n v="33"/>
    <s v="No"/>
    <s v="Yes"/>
    <s v="No"/>
    <n v="49"/>
    <s v="Yes"/>
    <s v="No"/>
    <s v="No internet"/>
    <x v="2"/>
    <s v="No"/>
    <s v="Electronic check"/>
    <n v="24.2"/>
    <n v="1224.29"/>
    <s v="Faisalabad"/>
    <s v="No"/>
    <n v="0"/>
    <s v="0-12 months"/>
    <x v="3"/>
  </r>
  <r>
    <s v="CUST-00298"/>
    <n v="46"/>
    <s v="No"/>
    <s v="No"/>
    <s v="Yes"/>
    <n v="38"/>
    <s v="Yes"/>
    <s v="Yes"/>
    <s v="No internet"/>
    <x v="2"/>
    <s v="Yes"/>
    <s v="Electronic check"/>
    <n v="29.48"/>
    <n v="1125.3399999999999"/>
    <s v="Lahore"/>
    <s v="Yes"/>
    <n v="1"/>
    <s v="0-12 months"/>
    <x v="3"/>
  </r>
  <r>
    <s v="CUST-00299"/>
    <n v="31"/>
    <s v="No"/>
    <s v="Yes"/>
    <s v="No"/>
    <n v="14"/>
    <s v="No"/>
    <s v="No phone service"/>
    <s v="Fiber optic"/>
    <x v="0"/>
    <s v="Yes"/>
    <s v="Bank Transfer"/>
    <n v="77.69"/>
    <n v="1082.3399999999999"/>
    <s v="Lahore"/>
    <s v="No"/>
    <n v="0"/>
    <s v="0-12 months"/>
    <x v="1"/>
  </r>
  <r>
    <s v="CUST-00300"/>
    <n v="22"/>
    <s v="No"/>
    <s v="Yes"/>
    <s v="Yes"/>
    <n v="33"/>
    <s v="Yes"/>
    <s v="No"/>
    <s v="DSL"/>
    <x v="2"/>
    <s v="No"/>
    <s v="Bank Transfer"/>
    <n v="57.32"/>
    <n v="1781.9"/>
    <s v="Faisalabad"/>
    <s v="No"/>
    <n v="0"/>
    <s v="0-12 months"/>
    <x v="0"/>
  </r>
  <r>
    <s v="CUST-00301"/>
    <n v="18"/>
    <s v="No"/>
    <s v="Yes"/>
    <s v="Yes"/>
    <n v="10"/>
    <s v="Yes"/>
    <s v="Yes"/>
    <s v="Fiber optic"/>
    <x v="0"/>
    <s v="Yes"/>
    <s v="Electronic check"/>
    <n v="116.33"/>
    <n v="1146.75"/>
    <s v="Lahore"/>
    <s v="No"/>
    <n v="0"/>
    <s v="0-12 months"/>
    <x v="2"/>
  </r>
  <r>
    <s v="CUST-00302"/>
    <n v="48"/>
    <s v="No"/>
    <s v="Yes"/>
    <s v="Yes"/>
    <n v="18"/>
    <s v="No"/>
    <s v="No phone service"/>
    <s v="DSL"/>
    <x v="1"/>
    <s v="Yes"/>
    <s v="Electronic check"/>
    <n v="75.48"/>
    <n v="1434.51"/>
    <s v="Multan"/>
    <s v="No"/>
    <n v="0"/>
    <s v="0-12 months"/>
    <x v="1"/>
  </r>
  <r>
    <s v="CUST-00303"/>
    <n v="41"/>
    <s v="No"/>
    <s v="Yes"/>
    <s v="Yes"/>
    <n v="16"/>
    <s v="No"/>
    <s v="No phone service"/>
    <s v="Fiber optic"/>
    <x v="2"/>
    <s v="Yes"/>
    <s v="Electronic check"/>
    <n v="107.41"/>
    <n v="1801.78"/>
    <s v="Rawalpindi"/>
    <s v="Yes"/>
    <n v="1"/>
    <s v="0-12 months"/>
    <x v="2"/>
  </r>
  <r>
    <s v="CUST-00304"/>
    <n v="75"/>
    <s v="Yes"/>
    <s v="Yes"/>
    <s v="Yes"/>
    <n v="24"/>
    <s v="No"/>
    <s v="No phone service"/>
    <s v="Fiber optic"/>
    <x v="2"/>
    <s v="Yes"/>
    <s v="Bank Transfer"/>
    <n v="98.36"/>
    <n v="2234.41"/>
    <s v="Faisalabad"/>
    <s v="No"/>
    <n v="0"/>
    <s v="0-12 months"/>
    <x v="1"/>
  </r>
  <r>
    <s v="CUST-00305"/>
    <n v="47"/>
    <s v="No"/>
    <s v="Yes"/>
    <s v="No"/>
    <n v="9"/>
    <s v="Yes"/>
    <s v="No"/>
    <s v="Fiber optic"/>
    <x v="2"/>
    <s v="No"/>
    <s v="Credit card"/>
    <n v="103.56"/>
    <n v="902.35"/>
    <s v="Lahore"/>
    <s v="Yes"/>
    <n v="1"/>
    <s v="0-12 months"/>
    <x v="2"/>
  </r>
  <r>
    <s v="CUST-00306"/>
    <n v="75"/>
    <s v="Yes"/>
    <s v="Yes"/>
    <s v="No"/>
    <n v="63"/>
    <s v="No"/>
    <s v="No phone service"/>
    <s v="DSL"/>
    <x v="0"/>
    <s v="Yes"/>
    <s v="Credit card"/>
    <n v="54.58"/>
    <n v="3362.75"/>
    <s v="Lahore"/>
    <s v="No"/>
    <n v="0"/>
    <s v="0-12 months"/>
    <x v="0"/>
  </r>
  <r>
    <s v="CUST-00307"/>
    <n v="38"/>
    <s v="No"/>
    <s v="Yes"/>
    <s v="Yes"/>
    <n v="56"/>
    <s v="No"/>
    <s v="No phone service"/>
    <s v="Fiber optic"/>
    <x v="2"/>
    <s v="No"/>
    <s v="Mailed check"/>
    <n v="93.14"/>
    <n v="5127.43"/>
    <s v="Faisalabad"/>
    <s v="Yes"/>
    <n v="1"/>
    <s v="0-12 months"/>
    <x v="1"/>
  </r>
  <r>
    <s v="CUST-00308"/>
    <n v="24"/>
    <s v="No"/>
    <s v="Yes"/>
    <s v="Yes"/>
    <n v="36"/>
    <s v="Yes"/>
    <s v="No"/>
    <s v="No internet"/>
    <x v="2"/>
    <s v="Yes"/>
    <s v="Bank Transfer"/>
    <n v="28.71"/>
    <n v="1076.92"/>
    <s v="Peshawar"/>
    <s v="No"/>
    <n v="0"/>
    <s v="0-12 months"/>
    <x v="3"/>
  </r>
  <r>
    <s v="CUST-00309"/>
    <n v="55"/>
    <s v="No"/>
    <s v="No"/>
    <s v="Yes"/>
    <n v="5"/>
    <s v="No"/>
    <s v="No phone service"/>
    <s v="DSL"/>
    <x v="0"/>
    <s v="Yes"/>
    <s v="Credit card"/>
    <n v="48.93"/>
    <n v="252.64"/>
    <s v="Islamabad"/>
    <s v="No"/>
    <n v="0"/>
    <s v="0-12 months"/>
    <x v="3"/>
  </r>
  <r>
    <s v="CUST-00310"/>
    <n v="26"/>
    <s v="No"/>
    <s v="No"/>
    <s v="Yes"/>
    <n v="51"/>
    <s v="Yes"/>
    <s v="No"/>
    <s v="Fiber optic"/>
    <x v="1"/>
    <s v="Yes"/>
    <s v="Bank Transfer"/>
    <n v="77.02"/>
    <n v="3767.39"/>
    <s v="Faisalabad"/>
    <s v="No"/>
    <n v="0"/>
    <s v="0-12 months"/>
    <x v="1"/>
  </r>
  <r>
    <s v="CUST-00311"/>
    <n v="60"/>
    <s v="Yes"/>
    <s v="Yes"/>
    <s v="No"/>
    <n v="46"/>
    <s v="No"/>
    <s v="No phone service"/>
    <s v="Fiber optic"/>
    <x v="2"/>
    <s v="No"/>
    <s v="Credit card"/>
    <n v="72.14"/>
    <n v="3201.67"/>
    <s v="Islamabad"/>
    <s v="No"/>
    <n v="0"/>
    <s v="0-12 months"/>
    <x v="0"/>
  </r>
  <r>
    <s v="CUST-00312"/>
    <n v="42"/>
    <s v="No"/>
    <s v="No"/>
    <s v="No"/>
    <n v="6"/>
    <s v="No"/>
    <s v="No phone service"/>
    <s v="Fiber optic"/>
    <x v="2"/>
    <s v="No"/>
    <s v="Bank Transfer"/>
    <n v="83.17"/>
    <n v="501.68"/>
    <s v="Multan"/>
    <s v="Yes"/>
    <n v="1"/>
    <s v="0-12 months"/>
    <x v="1"/>
  </r>
  <r>
    <s v="CUST-00313"/>
    <n v="42"/>
    <s v="No"/>
    <s v="No"/>
    <s v="Yes"/>
    <n v="67"/>
    <s v="Yes"/>
    <s v="No"/>
    <s v="Fiber optic"/>
    <x v="2"/>
    <s v="No"/>
    <s v="Credit card"/>
    <n v="94.11"/>
    <n v="6384.22"/>
    <s v="Karachi"/>
    <s v="No"/>
    <n v="0"/>
    <s v="0-12 months"/>
    <x v="1"/>
  </r>
  <r>
    <s v="CUST-00314"/>
    <n v="46"/>
    <s v="No"/>
    <s v="Yes"/>
    <s v="Yes"/>
    <n v="10"/>
    <s v="No"/>
    <s v="No phone service"/>
    <s v="DSL"/>
    <x v="2"/>
    <s v="Yes"/>
    <s v="Electronic check"/>
    <n v="64.08"/>
    <n v="665.17"/>
    <s v="Rawalpindi"/>
    <s v="No"/>
    <n v="0"/>
    <s v="0-12 months"/>
    <x v="0"/>
  </r>
  <r>
    <s v="CUST-00315"/>
    <n v="69"/>
    <s v="Yes"/>
    <s v="No"/>
    <s v="Yes"/>
    <n v="62"/>
    <s v="No"/>
    <s v="No phone service"/>
    <s v="DSL"/>
    <x v="2"/>
    <s v="Yes"/>
    <s v="Bank Transfer"/>
    <n v="56.44"/>
    <n v="3391.64"/>
    <s v="Faisalabad"/>
    <s v="Yes"/>
    <n v="1"/>
    <s v="0-12 months"/>
    <x v="0"/>
  </r>
  <r>
    <s v="CUST-00316"/>
    <n v="28"/>
    <s v="No"/>
    <s v="Yes"/>
    <s v="Yes"/>
    <n v="19"/>
    <s v="No"/>
    <s v="No phone service"/>
    <s v="Fiber optic"/>
    <x v="1"/>
    <s v="No"/>
    <s v="Credit card"/>
    <n v="98.18"/>
    <n v="1757.66"/>
    <s v="Multan"/>
    <s v="No"/>
    <n v="0"/>
    <s v="0-12 months"/>
    <x v="1"/>
  </r>
  <r>
    <s v="CUST-00317"/>
    <n v="70"/>
    <s v="Yes"/>
    <s v="No"/>
    <s v="Yes"/>
    <n v="28"/>
    <s v="No"/>
    <s v="No phone service"/>
    <s v="Fiber optic"/>
    <x v="1"/>
    <s v="Yes"/>
    <s v="Electronic check"/>
    <n v="90.54"/>
    <n v="2426.4299999999998"/>
    <s v="Peshawar"/>
    <s v="No"/>
    <n v="0"/>
    <s v="0-12 months"/>
    <x v="1"/>
  </r>
  <r>
    <s v="CUST-00318"/>
    <n v="29"/>
    <s v="No"/>
    <s v="No"/>
    <s v="Yes"/>
    <n v="44"/>
    <s v="Yes"/>
    <s v="Yes"/>
    <s v="No internet"/>
    <x v="2"/>
    <s v="Yes"/>
    <s v="Electronic check"/>
    <n v="24.27"/>
    <n v="1120.3399999999999"/>
    <s v="Peshawar"/>
    <s v="No"/>
    <n v="0"/>
    <s v="0-12 months"/>
    <x v="3"/>
  </r>
  <r>
    <s v="CUST-00319"/>
    <n v="27"/>
    <s v="No"/>
    <s v="Yes"/>
    <s v="Yes"/>
    <n v="61"/>
    <s v="Yes"/>
    <s v="No"/>
    <s v="No internet"/>
    <x v="2"/>
    <s v="Yes"/>
    <s v="Electronic check"/>
    <n v="25.91"/>
    <n v="1656.75"/>
    <s v="Lahore"/>
    <s v="No"/>
    <n v="0"/>
    <s v="0-12 months"/>
    <x v="3"/>
  </r>
  <r>
    <s v="CUST-00320"/>
    <n v="75"/>
    <s v="Yes"/>
    <s v="No"/>
    <s v="No"/>
    <n v="48"/>
    <s v="No"/>
    <s v="No phone service"/>
    <s v="No internet"/>
    <x v="2"/>
    <s v="No"/>
    <s v="Bank Transfer"/>
    <n v="22.57"/>
    <n v="1094.94"/>
    <s v="Peshawar"/>
    <s v="No"/>
    <n v="0"/>
    <s v="0-12 months"/>
    <x v="3"/>
  </r>
  <r>
    <s v="CUST-00321"/>
    <n v="71"/>
    <s v="Yes"/>
    <s v="Yes"/>
    <s v="No"/>
    <n v="18"/>
    <s v="Yes"/>
    <s v="No"/>
    <s v="Fiber optic"/>
    <x v="2"/>
    <s v="No"/>
    <s v="Electronic check"/>
    <n v="70.27"/>
    <n v="1301.8399999999999"/>
    <s v="Faisalabad"/>
    <s v="Yes"/>
    <n v="1"/>
    <s v="0-12 months"/>
    <x v="0"/>
  </r>
  <r>
    <s v="CUST-00322"/>
    <n v="25"/>
    <s v="No"/>
    <s v="Yes"/>
    <s v="No"/>
    <n v="27"/>
    <s v="No"/>
    <s v="No phone service"/>
    <s v="DSL"/>
    <x v="2"/>
    <s v="Yes"/>
    <s v="Electronic check"/>
    <n v="66.06"/>
    <n v="1730.89"/>
    <s v="Rawalpindi"/>
    <s v="No"/>
    <n v="0"/>
    <s v="0-12 months"/>
    <x v="0"/>
  </r>
  <r>
    <s v="CUST-00323"/>
    <n v="54"/>
    <s v="No"/>
    <s v="No"/>
    <s v="No"/>
    <n v="51"/>
    <s v="No"/>
    <s v="No phone service"/>
    <s v="DSL"/>
    <x v="0"/>
    <s v="No"/>
    <s v="Electronic check"/>
    <n v="62.36"/>
    <n v="3174.16"/>
    <s v="Faisalabad"/>
    <s v="No"/>
    <n v="0"/>
    <s v="0-12 months"/>
    <x v="0"/>
  </r>
  <r>
    <s v="CUST-00324"/>
    <n v="40"/>
    <s v="No"/>
    <s v="No"/>
    <s v="Yes"/>
    <n v="16"/>
    <s v="No"/>
    <s v="No phone service"/>
    <s v="DSL"/>
    <x v="0"/>
    <s v="Yes"/>
    <s v="Electronic check"/>
    <n v="60.33"/>
    <n v="998.42"/>
    <s v="Faisalabad"/>
    <s v="No"/>
    <n v="0"/>
    <s v="0-12 months"/>
    <x v="0"/>
  </r>
  <r>
    <s v="CUST-00325"/>
    <n v="62"/>
    <s v="Yes"/>
    <s v="Yes"/>
    <s v="Yes"/>
    <n v="50"/>
    <s v="Yes"/>
    <s v="No"/>
    <s v="No internet"/>
    <x v="1"/>
    <s v="No"/>
    <s v="Mailed check"/>
    <n v="23.22"/>
    <n v="1100.27"/>
    <s v="Lahore"/>
    <s v="No"/>
    <n v="0"/>
    <s v="0-12 months"/>
    <x v="3"/>
  </r>
  <r>
    <s v="CUST-00326"/>
    <n v="56"/>
    <s v="No"/>
    <s v="Yes"/>
    <s v="No"/>
    <n v="52"/>
    <s v="No"/>
    <s v="No phone service"/>
    <s v="DSL"/>
    <x v="0"/>
    <s v="Yes"/>
    <s v="Mailed check"/>
    <n v="72.81"/>
    <n v="3849.86"/>
    <s v="Karachi"/>
    <s v="No"/>
    <n v="0"/>
    <s v="0-12 months"/>
    <x v="0"/>
  </r>
  <r>
    <s v="CUST-00327"/>
    <n v="72"/>
    <s v="Yes"/>
    <s v="No"/>
    <s v="Yes"/>
    <n v="5"/>
    <s v="Yes"/>
    <s v="No"/>
    <s v="DSL"/>
    <x v="0"/>
    <s v="No"/>
    <s v="Electronic check"/>
    <n v="40.01"/>
    <n v="191.83"/>
    <s v="Peshawar"/>
    <s v="No"/>
    <n v="0"/>
    <s v="0-12 months"/>
    <x v="3"/>
  </r>
  <r>
    <s v="CUST-00328"/>
    <n v="43"/>
    <s v="No"/>
    <s v="No"/>
    <s v="No"/>
    <n v="52"/>
    <s v="Yes"/>
    <s v="No"/>
    <s v="DSL"/>
    <x v="2"/>
    <s v="Yes"/>
    <s v="Credit card"/>
    <n v="69.05"/>
    <n v="3616.07"/>
    <s v="Islamabad"/>
    <s v="No"/>
    <n v="0"/>
    <s v="0-12 months"/>
    <x v="0"/>
  </r>
  <r>
    <s v="CUST-00329"/>
    <n v="70"/>
    <s v="Yes"/>
    <s v="No"/>
    <s v="Yes"/>
    <n v="25"/>
    <s v="No"/>
    <s v="No phone service"/>
    <s v="DSL"/>
    <x v="0"/>
    <s v="No"/>
    <s v="Electronic check"/>
    <n v="60.25"/>
    <n v="1516.85"/>
    <s v="Islamabad"/>
    <s v="No"/>
    <n v="0"/>
    <s v="0-12 months"/>
    <x v="0"/>
  </r>
  <r>
    <s v="CUST-00330"/>
    <n v="25"/>
    <s v="No"/>
    <s v="No"/>
    <s v="No"/>
    <n v="57"/>
    <s v="No"/>
    <s v="No phone service"/>
    <s v="No internet"/>
    <x v="0"/>
    <s v="No"/>
    <s v="Mailed check"/>
    <n v="23.51"/>
    <n v="1333.75"/>
    <s v="Lahore"/>
    <s v="No"/>
    <n v="0"/>
    <s v="0-12 months"/>
    <x v="3"/>
  </r>
  <r>
    <s v="CUST-00331"/>
    <n v="48"/>
    <s v="No"/>
    <s v="Yes"/>
    <s v="No"/>
    <n v="9"/>
    <s v="Yes"/>
    <s v="No"/>
    <s v="Fiber optic"/>
    <x v="2"/>
    <s v="No"/>
    <s v="Credit card"/>
    <n v="87.65"/>
    <n v="792.22"/>
    <s v="Islamabad"/>
    <s v="No"/>
    <n v="0"/>
    <s v="0-12 months"/>
    <x v="1"/>
  </r>
  <r>
    <s v="CUST-00332"/>
    <n v="33"/>
    <s v="No"/>
    <s v="No"/>
    <s v="Yes"/>
    <n v="52"/>
    <s v="No"/>
    <s v="No phone service"/>
    <s v="DSL"/>
    <x v="2"/>
    <s v="Yes"/>
    <s v="Credit card"/>
    <n v="54.14"/>
    <n v="2948.49"/>
    <s v="Multan"/>
    <s v="Yes"/>
    <n v="1"/>
    <s v="0-12 months"/>
    <x v="0"/>
  </r>
  <r>
    <s v="CUST-00333"/>
    <n v="61"/>
    <s v="Yes"/>
    <s v="Yes"/>
    <s v="No"/>
    <n v="26"/>
    <s v="Yes"/>
    <s v="No"/>
    <s v="Fiber optic"/>
    <x v="2"/>
    <s v="Yes"/>
    <s v="Bank Transfer"/>
    <n v="111.82"/>
    <n v="2857.09"/>
    <s v="Lahore"/>
    <s v="No"/>
    <n v="0"/>
    <s v="0-12 months"/>
    <x v="2"/>
  </r>
  <r>
    <s v="CUST-00334"/>
    <n v="23"/>
    <s v="No"/>
    <s v="No"/>
    <s v="Yes"/>
    <n v="70"/>
    <s v="No"/>
    <s v="No phone service"/>
    <s v="No internet"/>
    <x v="2"/>
    <s v="No"/>
    <s v="Credit card"/>
    <n v="29.82"/>
    <n v="2186.84"/>
    <s v="Rawalpindi"/>
    <s v="No"/>
    <n v="0"/>
    <s v="0-12 months"/>
    <x v="3"/>
  </r>
  <r>
    <s v="CUST-00335"/>
    <n v="29"/>
    <s v="No"/>
    <s v="No"/>
    <s v="No"/>
    <n v="29"/>
    <s v="Yes"/>
    <s v="Yes"/>
    <s v="DSL"/>
    <x v="0"/>
    <s v="No"/>
    <s v="Mailed check"/>
    <n v="41.3"/>
    <n v="1175.75"/>
    <s v="Peshawar"/>
    <s v="No"/>
    <n v="0"/>
    <s v="0-12 months"/>
    <x v="3"/>
  </r>
  <r>
    <s v="CUST-00336"/>
    <n v="29"/>
    <s v="No"/>
    <s v="No"/>
    <s v="Yes"/>
    <n v="67"/>
    <s v="Yes"/>
    <s v="Yes"/>
    <s v="DSL"/>
    <x v="2"/>
    <s v="Yes"/>
    <s v="Electronic check"/>
    <n v="64.510000000000005"/>
    <n v="4197.54"/>
    <s v="Karachi"/>
    <s v="No"/>
    <n v="0"/>
    <s v="0-12 months"/>
    <x v="0"/>
  </r>
  <r>
    <s v="CUST-00337"/>
    <n v="35"/>
    <s v="No"/>
    <s v="No"/>
    <s v="No"/>
    <n v="47"/>
    <s v="No"/>
    <s v="No phone service"/>
    <s v="Fiber optic"/>
    <x v="2"/>
    <s v="No"/>
    <s v="Credit card"/>
    <n v="90.03"/>
    <n v="4206.3900000000003"/>
    <s v="Faisalabad"/>
    <s v="No"/>
    <n v="0"/>
    <s v="0-12 months"/>
    <x v="1"/>
  </r>
  <r>
    <s v="CUST-00338"/>
    <n v="61"/>
    <s v="Yes"/>
    <s v="Yes"/>
    <s v="Yes"/>
    <n v="35"/>
    <s v="No"/>
    <s v="No phone service"/>
    <s v="No internet"/>
    <x v="1"/>
    <s v="Yes"/>
    <s v="Electronic check"/>
    <n v="29.51"/>
    <n v="989.41"/>
    <s v="Karachi"/>
    <s v="No"/>
    <n v="0"/>
    <s v="0-12 months"/>
    <x v="3"/>
  </r>
  <r>
    <s v="CUST-00339"/>
    <n v="44"/>
    <s v="No"/>
    <s v="No"/>
    <s v="Yes"/>
    <n v="67"/>
    <s v="No"/>
    <s v="No phone service"/>
    <s v="DSL"/>
    <x v="0"/>
    <s v="No"/>
    <s v="Electronic check"/>
    <n v="74.34"/>
    <n v="4710.45"/>
    <s v="Karachi"/>
    <s v="Yes"/>
    <n v="1"/>
    <s v="0-12 months"/>
    <x v="0"/>
  </r>
  <r>
    <s v="CUST-00340"/>
    <n v="21"/>
    <s v="No"/>
    <s v="Yes"/>
    <s v="No"/>
    <n v="61"/>
    <s v="Yes"/>
    <s v="No"/>
    <s v="No internet"/>
    <x v="2"/>
    <s v="No"/>
    <s v="Credit card"/>
    <n v="24.69"/>
    <n v="1562.12"/>
    <s v="Rawalpindi"/>
    <s v="No"/>
    <n v="0"/>
    <s v="0-12 months"/>
    <x v="3"/>
  </r>
  <r>
    <s v="CUST-00341"/>
    <n v="25"/>
    <s v="No"/>
    <s v="No"/>
    <s v="Yes"/>
    <n v="69"/>
    <s v="No"/>
    <s v="No phone service"/>
    <s v="Fiber optic"/>
    <x v="2"/>
    <s v="No"/>
    <s v="Bank Transfer"/>
    <n v="92.35"/>
    <n v="6049.78"/>
    <s v="Rawalpindi"/>
    <s v="No"/>
    <n v="0"/>
    <s v="0-12 months"/>
    <x v="1"/>
  </r>
  <r>
    <s v="CUST-00342"/>
    <n v="58"/>
    <s v="No"/>
    <s v="Yes"/>
    <s v="Yes"/>
    <n v="44"/>
    <s v="No"/>
    <s v="No phone service"/>
    <s v="Fiber optic"/>
    <x v="1"/>
    <s v="Yes"/>
    <s v="Electronic check"/>
    <n v="87.18"/>
    <n v="3750.06"/>
    <s v="Multan"/>
    <s v="No"/>
    <n v="0"/>
    <s v="0-12 months"/>
    <x v="1"/>
  </r>
  <r>
    <s v="CUST-00343"/>
    <n v="35"/>
    <s v="No"/>
    <s v="No"/>
    <s v="No"/>
    <n v="57"/>
    <s v="No"/>
    <s v="No phone service"/>
    <s v="DSL"/>
    <x v="0"/>
    <s v="No"/>
    <s v="Credit card"/>
    <n v="47.36"/>
    <n v="2545.0300000000002"/>
    <s v="Multan"/>
    <s v="No"/>
    <n v="0"/>
    <s v="0-12 months"/>
    <x v="3"/>
  </r>
  <r>
    <s v="CUST-00344"/>
    <n v="34"/>
    <s v="No"/>
    <s v="Yes"/>
    <s v="Yes"/>
    <n v="22"/>
    <s v="Yes"/>
    <s v="Yes"/>
    <s v="Fiber optic"/>
    <x v="1"/>
    <s v="Yes"/>
    <s v="Electronic check"/>
    <n v="89.85"/>
    <n v="2039.56"/>
    <s v="Islamabad"/>
    <s v="Yes"/>
    <n v="1"/>
    <s v="0-12 months"/>
    <x v="1"/>
  </r>
  <r>
    <s v="CUST-00345"/>
    <n v="57"/>
    <s v="No"/>
    <s v="Yes"/>
    <s v="Yes"/>
    <n v="50"/>
    <s v="Yes"/>
    <s v="No"/>
    <s v="Fiber optic"/>
    <x v="2"/>
    <s v="Yes"/>
    <s v="Electronic check"/>
    <n v="111.93"/>
    <n v="5279.9"/>
    <s v="Peshawar"/>
    <s v="No"/>
    <n v="0"/>
    <s v="0-12 months"/>
    <x v="2"/>
  </r>
  <r>
    <s v="CUST-00346"/>
    <n v="38"/>
    <s v="No"/>
    <s v="No"/>
    <s v="No"/>
    <n v="70"/>
    <s v="No"/>
    <s v="No phone service"/>
    <s v="No internet"/>
    <x v="2"/>
    <s v="Yes"/>
    <s v="Credit card"/>
    <n v="23.48"/>
    <n v="1692.69"/>
    <s v="Rawalpindi"/>
    <s v="No"/>
    <n v="0"/>
    <s v="0-12 months"/>
    <x v="3"/>
  </r>
  <r>
    <s v="CUST-00347"/>
    <n v="51"/>
    <s v="No"/>
    <s v="No"/>
    <s v="No"/>
    <n v="62"/>
    <s v="Yes"/>
    <s v="No"/>
    <s v="DSL"/>
    <x v="2"/>
    <s v="No"/>
    <s v="Electronic check"/>
    <n v="40.42"/>
    <n v="2513.0500000000002"/>
    <s v="Karachi"/>
    <s v="No"/>
    <n v="0"/>
    <s v="0-12 months"/>
    <x v="3"/>
  </r>
  <r>
    <s v="CUST-00348"/>
    <n v="40"/>
    <s v="No"/>
    <s v="No"/>
    <s v="No"/>
    <n v="69"/>
    <s v="No"/>
    <s v="No phone service"/>
    <s v="Fiber optic"/>
    <x v="1"/>
    <s v="No"/>
    <s v="Electronic check"/>
    <n v="108.29"/>
    <n v="7739.18"/>
    <s v="Peshawar"/>
    <s v="No"/>
    <n v="0"/>
    <s v="0-12 months"/>
    <x v="2"/>
  </r>
  <r>
    <s v="CUST-00349"/>
    <n v="18"/>
    <s v="No"/>
    <s v="No"/>
    <s v="Yes"/>
    <n v="53"/>
    <s v="No"/>
    <s v="No phone service"/>
    <s v="No internet"/>
    <x v="2"/>
    <s v="Yes"/>
    <s v="Bank Transfer"/>
    <n v="25.75"/>
    <n v="1418.54"/>
    <s v="Lahore"/>
    <s v="Yes"/>
    <n v="1"/>
    <s v="0-12 months"/>
    <x v="3"/>
  </r>
  <r>
    <s v="CUST-00350"/>
    <n v="45"/>
    <s v="No"/>
    <s v="Yes"/>
    <s v="No"/>
    <n v="37"/>
    <s v="No"/>
    <s v="No phone service"/>
    <s v="DSL"/>
    <x v="2"/>
    <s v="Yes"/>
    <s v="Electronic check"/>
    <n v="51.58"/>
    <n v="1939.81"/>
    <s v="Islamabad"/>
    <s v="No"/>
    <n v="0"/>
    <s v="0-12 months"/>
    <x v="0"/>
  </r>
  <r>
    <s v="CUST-00351"/>
    <n v="62"/>
    <s v="Yes"/>
    <s v="No"/>
    <s v="Yes"/>
    <n v="42"/>
    <s v="Yes"/>
    <s v="No"/>
    <s v="Fiber optic"/>
    <x v="2"/>
    <s v="Yes"/>
    <s v="Electronic check"/>
    <n v="76.25"/>
    <n v="3178.83"/>
    <s v="Lahore"/>
    <s v="Yes"/>
    <n v="1"/>
    <s v="0-12 months"/>
    <x v="1"/>
  </r>
  <r>
    <s v="CUST-00352"/>
    <n v="27"/>
    <s v="No"/>
    <s v="Yes"/>
    <s v="No"/>
    <n v="28"/>
    <s v="No"/>
    <s v="No phone service"/>
    <s v="Fiber optic"/>
    <x v="0"/>
    <s v="No"/>
    <s v="Mailed check"/>
    <n v="93.18"/>
    <n v="2700.28"/>
    <s v="Peshawar"/>
    <s v="No"/>
    <n v="0"/>
    <s v="0-12 months"/>
    <x v="1"/>
  </r>
  <r>
    <s v="CUST-00353"/>
    <n v="66"/>
    <s v="Yes"/>
    <s v="Yes"/>
    <s v="Yes"/>
    <n v="35"/>
    <s v="Yes"/>
    <s v="No"/>
    <s v="DSL"/>
    <x v="2"/>
    <s v="No"/>
    <s v="Bank Transfer"/>
    <n v="73.13"/>
    <n v="2443.44"/>
    <s v="Karachi"/>
    <s v="No"/>
    <n v="0"/>
    <s v="0-12 months"/>
    <x v="0"/>
  </r>
  <r>
    <s v="CUST-00354"/>
    <n v="42"/>
    <s v="No"/>
    <s v="No"/>
    <s v="Yes"/>
    <n v="5"/>
    <s v="Yes"/>
    <s v="No"/>
    <s v="Fiber optic"/>
    <x v="1"/>
    <s v="No"/>
    <s v="Credit card"/>
    <n v="118.06"/>
    <n v="621.20000000000005"/>
    <s v="Multan"/>
    <s v="Yes"/>
    <n v="1"/>
    <s v="0-12 months"/>
    <x v="2"/>
  </r>
  <r>
    <s v="CUST-00355"/>
    <n v="20"/>
    <s v="No"/>
    <s v="Yes"/>
    <s v="No"/>
    <n v="62"/>
    <s v="Yes"/>
    <s v="No"/>
    <s v="DSL"/>
    <x v="2"/>
    <s v="Yes"/>
    <s v="Mailed check"/>
    <n v="49.44"/>
    <n v="3041.06"/>
    <s v="Peshawar"/>
    <s v="Yes"/>
    <n v="1"/>
    <s v="0-12 months"/>
    <x v="3"/>
  </r>
  <r>
    <s v="CUST-00356"/>
    <n v="35"/>
    <s v="No"/>
    <s v="Yes"/>
    <s v="No"/>
    <n v="32"/>
    <s v="Yes"/>
    <s v="No"/>
    <s v="Fiber optic"/>
    <x v="0"/>
    <s v="Yes"/>
    <s v="Credit card"/>
    <n v="74.47"/>
    <n v="2285.15"/>
    <s v="Faisalabad"/>
    <s v="Yes"/>
    <n v="1"/>
    <s v="0-12 months"/>
    <x v="0"/>
  </r>
  <r>
    <s v="CUST-00357"/>
    <n v="39"/>
    <s v="No"/>
    <s v="Yes"/>
    <s v="Yes"/>
    <n v="46"/>
    <s v="Yes"/>
    <s v="Yes"/>
    <s v="DSL"/>
    <x v="2"/>
    <s v="No"/>
    <s v="Bank Transfer"/>
    <n v="57.55"/>
    <n v="2549.7600000000002"/>
    <s v="Islamabad"/>
    <s v="No"/>
    <n v="0"/>
    <s v="0-12 months"/>
    <x v="0"/>
  </r>
  <r>
    <s v="CUST-00358"/>
    <n v="64"/>
    <s v="Yes"/>
    <s v="Yes"/>
    <s v="No"/>
    <n v="6"/>
    <s v="No"/>
    <s v="No phone service"/>
    <s v="DSL"/>
    <x v="0"/>
    <s v="No"/>
    <s v="Electronic check"/>
    <n v="47.47"/>
    <n v="279.61"/>
    <s v="Islamabad"/>
    <s v="No"/>
    <n v="0"/>
    <s v="0-12 months"/>
    <x v="3"/>
  </r>
  <r>
    <s v="CUST-00359"/>
    <n v="73"/>
    <s v="Yes"/>
    <s v="Yes"/>
    <s v="Yes"/>
    <n v="68"/>
    <s v="No"/>
    <s v="No phone service"/>
    <s v="Fiber optic"/>
    <x v="1"/>
    <s v="No"/>
    <s v="Credit card"/>
    <n v="108.8"/>
    <n v="7403.69"/>
    <s v="Lahore"/>
    <s v="No"/>
    <n v="0"/>
    <s v="0-12 months"/>
    <x v="2"/>
  </r>
  <r>
    <s v="CUST-00360"/>
    <n v="57"/>
    <s v="No"/>
    <s v="No"/>
    <s v="Yes"/>
    <n v="42"/>
    <s v="No"/>
    <s v="No phone service"/>
    <s v="DSL"/>
    <x v="2"/>
    <s v="No"/>
    <s v="Bank Transfer"/>
    <n v="46.17"/>
    <n v="1888.67"/>
    <s v="Islamabad"/>
    <s v="No"/>
    <n v="0"/>
    <s v="0-12 months"/>
    <x v="3"/>
  </r>
  <r>
    <s v="CUST-00361"/>
    <n v="25"/>
    <s v="No"/>
    <s v="Yes"/>
    <s v="Yes"/>
    <n v="6"/>
    <s v="Yes"/>
    <s v="Yes"/>
    <s v="No internet"/>
    <x v="2"/>
    <s v="Yes"/>
    <s v="Credit card"/>
    <n v="19.190000000000001"/>
    <n v="116.12"/>
    <s v="Multan"/>
    <s v="No"/>
    <n v="0"/>
    <s v="0-12 months"/>
    <x v="3"/>
  </r>
  <r>
    <s v="CUST-00362"/>
    <n v="49"/>
    <s v="No"/>
    <s v="No"/>
    <s v="Yes"/>
    <n v="47"/>
    <s v="Yes"/>
    <s v="Yes"/>
    <s v="Fiber optic"/>
    <x v="1"/>
    <s v="No"/>
    <s v="Mailed check"/>
    <n v="111.6"/>
    <n v="5225.1000000000004"/>
    <s v="Islamabad"/>
    <s v="No"/>
    <n v="0"/>
    <s v="0-12 months"/>
    <x v="2"/>
  </r>
  <r>
    <s v="CUST-00363"/>
    <n v="53"/>
    <s v="No"/>
    <s v="No"/>
    <s v="No"/>
    <n v="8"/>
    <s v="No"/>
    <s v="No phone service"/>
    <s v="No internet"/>
    <x v="2"/>
    <s v="Yes"/>
    <s v="Bank Transfer"/>
    <n v="18.940000000000001"/>
    <n v="146.35"/>
    <s v="Lahore"/>
    <s v="No"/>
    <n v="0"/>
    <s v="0-12 months"/>
    <x v="3"/>
  </r>
  <r>
    <s v="CUST-00364"/>
    <n v="64"/>
    <s v="Yes"/>
    <s v="Yes"/>
    <s v="No"/>
    <n v="25"/>
    <s v="Yes"/>
    <s v="No"/>
    <s v="Fiber optic"/>
    <x v="1"/>
    <s v="No"/>
    <s v="Bank Transfer"/>
    <n v="108.31"/>
    <n v="2732.63"/>
    <s v="Multan"/>
    <s v="No"/>
    <n v="0"/>
    <s v="0-12 months"/>
    <x v="2"/>
  </r>
  <r>
    <s v="CUST-00365"/>
    <n v="60"/>
    <s v="Yes"/>
    <s v="No"/>
    <s v="Yes"/>
    <n v="22"/>
    <s v="No"/>
    <s v="No phone service"/>
    <s v="DSL"/>
    <x v="2"/>
    <s v="Yes"/>
    <s v="Credit card"/>
    <n v="64"/>
    <n v="1481.25"/>
    <s v="Faisalabad"/>
    <s v="No"/>
    <n v="0"/>
    <s v="0-12 months"/>
    <x v="0"/>
  </r>
  <r>
    <s v="CUST-00366"/>
    <n v="38"/>
    <s v="No"/>
    <s v="No"/>
    <s v="No"/>
    <n v="56"/>
    <s v="No"/>
    <s v="No phone service"/>
    <s v="No internet"/>
    <x v="0"/>
    <s v="Yes"/>
    <s v="Credit card"/>
    <n v="24.6"/>
    <n v="1418.03"/>
    <s v="Rawalpindi"/>
    <s v="No"/>
    <n v="0"/>
    <s v="0-12 months"/>
    <x v="3"/>
  </r>
  <r>
    <s v="CUST-00367"/>
    <n v="46"/>
    <s v="No"/>
    <s v="No"/>
    <s v="Yes"/>
    <n v="5"/>
    <s v="Yes"/>
    <s v="No"/>
    <s v="No internet"/>
    <x v="1"/>
    <s v="No"/>
    <s v="Electronic check"/>
    <n v="29.81"/>
    <n v="143.94999999999999"/>
    <s v="Peshawar"/>
    <s v="Yes"/>
    <n v="1"/>
    <s v="0-12 months"/>
    <x v="3"/>
  </r>
  <r>
    <s v="CUST-00368"/>
    <n v="70"/>
    <s v="Yes"/>
    <s v="No"/>
    <s v="Yes"/>
    <n v="13"/>
    <s v="No"/>
    <s v="No phone service"/>
    <s v="Fiber optic"/>
    <x v="2"/>
    <s v="No"/>
    <s v="Credit card"/>
    <n v="99.11"/>
    <n v="1247.1500000000001"/>
    <s v="Lahore"/>
    <s v="No"/>
    <n v="0"/>
    <s v="0-12 months"/>
    <x v="1"/>
  </r>
  <r>
    <s v="CUST-00369"/>
    <n v="54"/>
    <s v="No"/>
    <s v="No"/>
    <s v="Yes"/>
    <n v="10"/>
    <s v="No"/>
    <s v="No phone service"/>
    <s v="DSL"/>
    <x v="2"/>
    <s v="Yes"/>
    <s v="Credit card"/>
    <n v="52.02"/>
    <n v="534.61"/>
    <s v="Lahore"/>
    <s v="No"/>
    <n v="0"/>
    <s v="0-12 months"/>
    <x v="0"/>
  </r>
  <r>
    <s v="CUST-00370"/>
    <n v="67"/>
    <s v="Yes"/>
    <s v="Yes"/>
    <s v="No"/>
    <n v="45"/>
    <s v="No"/>
    <s v="No phone service"/>
    <s v="No internet"/>
    <x v="2"/>
    <s v="Yes"/>
    <s v="Mailed check"/>
    <n v="20.72"/>
    <n v="949.49"/>
    <s v="Lahore"/>
    <s v="No"/>
    <n v="0"/>
    <s v="0-12 months"/>
    <x v="3"/>
  </r>
  <r>
    <s v="CUST-00371"/>
    <n v="58"/>
    <s v="No"/>
    <s v="No"/>
    <s v="Yes"/>
    <n v="40"/>
    <s v="No"/>
    <s v="No phone service"/>
    <s v="DSL"/>
    <x v="2"/>
    <s v="Yes"/>
    <s v="Electronic check"/>
    <n v="67.91"/>
    <n v="2603.35"/>
    <s v="Rawalpindi"/>
    <s v="No"/>
    <n v="0"/>
    <s v="0-12 months"/>
    <x v="0"/>
  </r>
  <r>
    <s v="CUST-00372"/>
    <n v="46"/>
    <s v="No"/>
    <s v="Yes"/>
    <s v="Yes"/>
    <n v="56"/>
    <s v="No"/>
    <s v="No phone service"/>
    <s v="Fiber optic"/>
    <x v="2"/>
    <s v="No"/>
    <s v="Electronic check"/>
    <n v="98.57"/>
    <n v="5221.3900000000003"/>
    <s v="Lahore"/>
    <s v="Yes"/>
    <n v="1"/>
    <s v="0-12 months"/>
    <x v="1"/>
  </r>
  <r>
    <s v="CUST-00373"/>
    <n v="43"/>
    <s v="No"/>
    <s v="No"/>
    <s v="Yes"/>
    <n v="18"/>
    <s v="Yes"/>
    <s v="No"/>
    <s v="DSL"/>
    <x v="0"/>
    <s v="Yes"/>
    <s v="Credit card"/>
    <n v="79.88"/>
    <n v="1442.02"/>
    <s v="Islamabad"/>
    <s v="No"/>
    <n v="0"/>
    <s v="0-12 months"/>
    <x v="1"/>
  </r>
  <r>
    <s v="CUST-00374"/>
    <n v="67"/>
    <s v="Yes"/>
    <s v="No"/>
    <s v="No"/>
    <n v="12"/>
    <s v="No"/>
    <s v="No phone service"/>
    <s v="Fiber optic"/>
    <x v="2"/>
    <s v="No"/>
    <s v="Electronic check"/>
    <n v="87.23"/>
    <n v="1066.28"/>
    <s v="Karachi"/>
    <s v="No"/>
    <n v="0"/>
    <s v="0-12 months"/>
    <x v="1"/>
  </r>
  <r>
    <s v="CUST-00375"/>
    <n v="40"/>
    <s v="No"/>
    <s v="No"/>
    <s v="Yes"/>
    <n v="57"/>
    <s v="Yes"/>
    <s v="Yes"/>
    <s v="Fiber optic"/>
    <x v="2"/>
    <s v="Yes"/>
    <s v="Electronic check"/>
    <n v="72.73"/>
    <n v="4368.95"/>
    <s v="Peshawar"/>
    <s v="No"/>
    <n v="0"/>
    <s v="0-12 months"/>
    <x v="0"/>
  </r>
  <r>
    <s v="CUST-00376"/>
    <n v="71"/>
    <s v="Yes"/>
    <s v="No"/>
    <s v="Yes"/>
    <n v="44"/>
    <s v="Yes"/>
    <s v="Yes"/>
    <s v="DSL"/>
    <x v="2"/>
    <s v="No"/>
    <s v="Electronic check"/>
    <n v="61.52"/>
    <n v="2610.67"/>
    <s v="Islamabad"/>
    <s v="No"/>
    <n v="0"/>
    <s v="0-12 months"/>
    <x v="0"/>
  </r>
  <r>
    <s v="CUST-00377"/>
    <n v="53"/>
    <s v="No"/>
    <s v="No"/>
    <s v="Yes"/>
    <n v="3"/>
    <s v="Yes"/>
    <s v="Yes"/>
    <s v="Fiber optic"/>
    <x v="2"/>
    <s v="Yes"/>
    <s v="Bank Transfer"/>
    <n v="100.9"/>
    <n v="286.47000000000003"/>
    <s v="Lahore"/>
    <s v="No"/>
    <n v="0"/>
    <s v="0-12 months"/>
    <x v="2"/>
  </r>
  <r>
    <s v="CUST-00378"/>
    <n v="22"/>
    <s v="No"/>
    <s v="No"/>
    <s v="No"/>
    <n v="47"/>
    <s v="Yes"/>
    <s v="Yes"/>
    <s v="No internet"/>
    <x v="1"/>
    <s v="No"/>
    <s v="Electronic check"/>
    <n v="22.57"/>
    <n v="1121.46"/>
    <s v="Islamabad"/>
    <s v="Yes"/>
    <n v="1"/>
    <s v="0-12 months"/>
    <x v="3"/>
  </r>
  <r>
    <s v="CUST-00379"/>
    <n v="49"/>
    <s v="No"/>
    <s v="Yes"/>
    <s v="Yes"/>
    <n v="26"/>
    <s v="No"/>
    <s v="No phone service"/>
    <s v="DSL"/>
    <x v="0"/>
    <s v="Yes"/>
    <s v="Electronic check"/>
    <n v="76.89"/>
    <n v="1952.34"/>
    <s v="Multan"/>
    <s v="No"/>
    <n v="0"/>
    <s v="0-12 months"/>
    <x v="1"/>
  </r>
  <r>
    <s v="CUST-00380"/>
    <n v="28"/>
    <s v="No"/>
    <s v="Yes"/>
    <s v="No"/>
    <n v="46"/>
    <s v="No"/>
    <s v="No phone service"/>
    <s v="Fiber optic"/>
    <x v="2"/>
    <s v="No"/>
    <s v="Bank Transfer"/>
    <n v="101.29"/>
    <n v="4871.07"/>
    <s v="Peshawar"/>
    <s v="No"/>
    <n v="0"/>
    <s v="0-12 months"/>
    <x v="2"/>
  </r>
  <r>
    <s v="CUST-00381"/>
    <n v="19"/>
    <s v="No"/>
    <s v="No"/>
    <s v="Yes"/>
    <n v="20"/>
    <s v="No"/>
    <s v="No phone service"/>
    <s v="Fiber optic"/>
    <x v="0"/>
    <s v="Yes"/>
    <s v="Bank Transfer"/>
    <n v="96.04"/>
    <n v="1961.83"/>
    <s v="Multan"/>
    <s v="No"/>
    <n v="0"/>
    <s v="0-12 months"/>
    <x v="1"/>
  </r>
  <r>
    <s v="CUST-00382"/>
    <n v="32"/>
    <s v="No"/>
    <s v="No"/>
    <s v="Yes"/>
    <n v="20"/>
    <s v="No"/>
    <s v="No phone service"/>
    <s v="Fiber optic"/>
    <x v="1"/>
    <s v="No"/>
    <s v="Credit card"/>
    <n v="76.59"/>
    <n v="1559.83"/>
    <s v="Multan"/>
    <s v="No"/>
    <n v="0"/>
    <s v="0-12 months"/>
    <x v="1"/>
  </r>
  <r>
    <s v="CUST-00383"/>
    <n v="69"/>
    <s v="Yes"/>
    <s v="Yes"/>
    <s v="Yes"/>
    <n v="40"/>
    <s v="Yes"/>
    <s v="No"/>
    <s v="DSL"/>
    <x v="1"/>
    <s v="Yes"/>
    <s v="Bank Transfer"/>
    <n v="62.59"/>
    <n v="2400.87"/>
    <s v="Faisalabad"/>
    <s v="Yes"/>
    <n v="1"/>
    <s v="0-12 months"/>
    <x v="0"/>
  </r>
  <r>
    <s v="CUST-00384"/>
    <n v="64"/>
    <s v="Yes"/>
    <s v="Yes"/>
    <s v="Yes"/>
    <n v="41"/>
    <s v="Yes"/>
    <s v="No"/>
    <s v="No internet"/>
    <x v="0"/>
    <s v="No"/>
    <s v="Mailed check"/>
    <n v="21.64"/>
    <n v="913.39"/>
    <s v="Multan"/>
    <s v="No"/>
    <n v="0"/>
    <s v="0-12 months"/>
    <x v="3"/>
  </r>
  <r>
    <s v="CUST-00385"/>
    <n v="65"/>
    <s v="Yes"/>
    <s v="No"/>
    <s v="Yes"/>
    <n v="25"/>
    <s v="Yes"/>
    <s v="Yes"/>
    <s v="Fiber optic"/>
    <x v="1"/>
    <s v="No"/>
    <s v="Bank Transfer"/>
    <n v="100.62"/>
    <n v="2544.59"/>
    <s v="Lahore"/>
    <s v="Yes"/>
    <n v="1"/>
    <s v="0-12 months"/>
    <x v="2"/>
  </r>
  <r>
    <s v="CUST-00386"/>
    <n v="40"/>
    <s v="No"/>
    <s v="Yes"/>
    <s v="No"/>
    <n v="18"/>
    <s v="No"/>
    <s v="No phone service"/>
    <s v="DSL"/>
    <x v="0"/>
    <s v="No"/>
    <s v="Electronic check"/>
    <n v="55.5"/>
    <n v="995.86"/>
    <s v="Karachi"/>
    <s v="Yes"/>
    <n v="1"/>
    <s v="0-12 months"/>
    <x v="0"/>
  </r>
  <r>
    <s v="CUST-00387"/>
    <n v="20"/>
    <s v="No"/>
    <s v="No"/>
    <s v="Yes"/>
    <n v="35"/>
    <s v="Yes"/>
    <s v="No"/>
    <s v="No internet"/>
    <x v="1"/>
    <s v="Yes"/>
    <s v="Electronic check"/>
    <n v="29.13"/>
    <n v="1078.96"/>
    <s v="Rawalpindi"/>
    <s v="No"/>
    <n v="0"/>
    <s v="0-12 months"/>
    <x v="3"/>
  </r>
  <r>
    <s v="CUST-00388"/>
    <n v="62"/>
    <s v="Yes"/>
    <s v="No"/>
    <s v="No"/>
    <n v="32"/>
    <s v="Yes"/>
    <s v="No"/>
    <s v="Fiber optic"/>
    <x v="1"/>
    <s v="No"/>
    <s v="Credit card"/>
    <n v="116.96"/>
    <n v="3775.03"/>
    <s v="Multan"/>
    <s v="No"/>
    <n v="0"/>
    <s v="0-12 months"/>
    <x v="2"/>
  </r>
  <r>
    <s v="CUST-00389"/>
    <n v="74"/>
    <s v="Yes"/>
    <s v="Yes"/>
    <s v="Yes"/>
    <n v="58"/>
    <s v="Yes"/>
    <s v="No"/>
    <s v="DSL"/>
    <x v="2"/>
    <s v="No"/>
    <s v="Mailed check"/>
    <n v="41.57"/>
    <n v="2378.48"/>
    <s v="Lahore"/>
    <s v="No"/>
    <n v="0"/>
    <s v="0-12 months"/>
    <x v="3"/>
  </r>
  <r>
    <s v="CUST-00390"/>
    <n v="30"/>
    <s v="No"/>
    <s v="No"/>
    <s v="No"/>
    <n v="51"/>
    <s v="No"/>
    <s v="No phone service"/>
    <s v="No internet"/>
    <x v="2"/>
    <s v="No"/>
    <s v="Electronic check"/>
    <n v="29.03"/>
    <n v="1514.28"/>
    <s v="Rawalpindi"/>
    <s v="No"/>
    <n v="0"/>
    <s v="0-12 months"/>
    <x v="3"/>
  </r>
  <r>
    <s v="CUST-00391"/>
    <n v="71"/>
    <s v="Yes"/>
    <s v="No"/>
    <s v="Yes"/>
    <n v="65"/>
    <s v="Yes"/>
    <s v="No"/>
    <s v="Fiber optic"/>
    <x v="2"/>
    <s v="Yes"/>
    <s v="Electronic check"/>
    <n v="99.52"/>
    <n v="6633.86"/>
    <s v="Rawalpindi"/>
    <s v="Yes"/>
    <n v="1"/>
    <s v="0-12 months"/>
    <x v="1"/>
  </r>
  <r>
    <s v="CUST-00392"/>
    <n v="23"/>
    <s v="No"/>
    <s v="No"/>
    <s v="No"/>
    <n v="21"/>
    <s v="Yes"/>
    <s v="Yes"/>
    <s v="DSL"/>
    <x v="0"/>
    <s v="No"/>
    <s v="Electronic check"/>
    <n v="68.290000000000006"/>
    <n v="1473.13"/>
    <s v="Faisalabad"/>
    <s v="No"/>
    <n v="0"/>
    <s v="0-12 months"/>
    <x v="0"/>
  </r>
  <r>
    <s v="CUST-00393"/>
    <n v="28"/>
    <s v="No"/>
    <s v="No"/>
    <s v="No"/>
    <n v="6"/>
    <s v="No"/>
    <s v="No phone service"/>
    <s v="DSL"/>
    <x v="0"/>
    <s v="Yes"/>
    <s v="Electronic check"/>
    <n v="45.78"/>
    <n v="283.55"/>
    <s v="Islamabad"/>
    <s v="Yes"/>
    <n v="1"/>
    <s v="0-12 months"/>
    <x v="3"/>
  </r>
  <r>
    <s v="CUST-00394"/>
    <n v="37"/>
    <s v="No"/>
    <s v="No"/>
    <s v="No"/>
    <n v="24"/>
    <s v="Yes"/>
    <s v="No"/>
    <s v="Fiber optic"/>
    <x v="2"/>
    <s v="No"/>
    <s v="Electronic check"/>
    <n v="94.88"/>
    <n v="2276.75"/>
    <s v="Faisalabad"/>
    <s v="No"/>
    <n v="0"/>
    <s v="0-12 months"/>
    <x v="1"/>
  </r>
  <r>
    <s v="CUST-00395"/>
    <n v="74"/>
    <s v="Yes"/>
    <s v="No"/>
    <s v="Yes"/>
    <n v="28"/>
    <s v="No"/>
    <s v="No phone service"/>
    <s v="DSL"/>
    <x v="2"/>
    <s v="No"/>
    <s v="Electronic check"/>
    <n v="64"/>
    <n v="1737.1"/>
    <s v="Faisalabad"/>
    <s v="No"/>
    <n v="0"/>
    <s v="0-12 months"/>
    <x v="0"/>
  </r>
  <r>
    <s v="CUST-00396"/>
    <n v="58"/>
    <s v="No"/>
    <s v="Yes"/>
    <s v="Yes"/>
    <n v="24"/>
    <s v="No"/>
    <s v="No phone service"/>
    <s v="Fiber optic"/>
    <x v="2"/>
    <s v="Yes"/>
    <s v="Bank Transfer"/>
    <n v="111.9"/>
    <n v="2620.64"/>
    <s v="Lahore"/>
    <s v="No"/>
    <n v="0"/>
    <s v="0-12 months"/>
    <x v="2"/>
  </r>
  <r>
    <s v="CUST-00397"/>
    <n v="24"/>
    <s v="No"/>
    <s v="No"/>
    <s v="Yes"/>
    <n v="21"/>
    <s v="Yes"/>
    <s v="No"/>
    <s v="DSL"/>
    <x v="0"/>
    <s v="No"/>
    <s v="Mailed check"/>
    <n v="43.73"/>
    <n v="896.21"/>
    <s v="Rawalpindi"/>
    <s v="No"/>
    <n v="0"/>
    <s v="0-12 months"/>
    <x v="3"/>
  </r>
  <r>
    <s v="CUST-00398"/>
    <n v="70"/>
    <s v="Yes"/>
    <s v="Yes"/>
    <s v="No"/>
    <n v="71"/>
    <s v="No"/>
    <s v="No phone service"/>
    <s v="Fiber optic"/>
    <x v="2"/>
    <s v="No"/>
    <s v="Electronic check"/>
    <n v="90.69"/>
    <n v="6214.79"/>
    <s v="Lahore"/>
    <s v="Yes"/>
    <n v="1"/>
    <s v="0-12 months"/>
    <x v="1"/>
  </r>
  <r>
    <s v="CUST-00399"/>
    <n v="24"/>
    <s v="No"/>
    <s v="Yes"/>
    <s v="No"/>
    <n v="37"/>
    <s v="No"/>
    <s v="No phone service"/>
    <s v="Fiber optic"/>
    <x v="2"/>
    <s v="No"/>
    <s v="Mailed check"/>
    <n v="100.71"/>
    <n v="3724.66"/>
    <s v="Rawalpindi"/>
    <s v="No"/>
    <n v="0"/>
    <s v="0-12 months"/>
    <x v="2"/>
  </r>
  <r>
    <s v="CUST-00400"/>
    <n v="49"/>
    <s v="No"/>
    <s v="Yes"/>
    <s v="Yes"/>
    <n v="38"/>
    <s v="Yes"/>
    <s v="Yes"/>
    <s v="No internet"/>
    <x v="2"/>
    <s v="Yes"/>
    <s v="Bank Transfer"/>
    <n v="20.49"/>
    <n v="789.39"/>
    <s v="Lahore"/>
    <s v="No"/>
    <n v="0"/>
    <s v="0-12 months"/>
    <x v="3"/>
  </r>
  <r>
    <s v="CUST-00401"/>
    <n v="39"/>
    <s v="No"/>
    <s v="No"/>
    <s v="Yes"/>
    <n v="2"/>
    <s v="No"/>
    <s v="No phone service"/>
    <s v="DSL"/>
    <x v="2"/>
    <s v="Yes"/>
    <s v="Electronic check"/>
    <n v="60.27"/>
    <n v="117.99"/>
    <s v="Multan"/>
    <s v="Yes"/>
    <n v="1"/>
    <s v="0-12 months"/>
    <x v="0"/>
  </r>
  <r>
    <s v="CUST-00402"/>
    <n v="39"/>
    <s v="No"/>
    <s v="No"/>
    <s v="No"/>
    <n v="4"/>
    <s v="Yes"/>
    <s v="Yes"/>
    <s v="No internet"/>
    <x v="2"/>
    <s v="No"/>
    <s v="Mailed check"/>
    <n v="27.57"/>
    <n v="112.21"/>
    <s v="Multan"/>
    <s v="Yes"/>
    <n v="1"/>
    <s v="0-12 months"/>
    <x v="3"/>
  </r>
  <r>
    <s v="CUST-00403"/>
    <n v="47"/>
    <s v="No"/>
    <s v="No"/>
    <s v="No"/>
    <n v="53"/>
    <s v="Yes"/>
    <s v="No"/>
    <s v="No internet"/>
    <x v="2"/>
    <s v="No"/>
    <s v="Credit card"/>
    <n v="18.22"/>
    <n v="974.63"/>
    <s v="Peshawar"/>
    <s v="No"/>
    <n v="0"/>
    <s v="0-12 months"/>
    <x v="3"/>
  </r>
  <r>
    <s v="CUST-00404"/>
    <n v="40"/>
    <s v="No"/>
    <s v="Yes"/>
    <s v="Yes"/>
    <n v="36"/>
    <s v="No"/>
    <s v="No phone service"/>
    <s v="No internet"/>
    <x v="1"/>
    <s v="Yes"/>
    <s v="Credit card"/>
    <n v="22.67"/>
    <n v="825.44"/>
    <s v="Peshawar"/>
    <s v="No"/>
    <n v="0"/>
    <s v="0-12 months"/>
    <x v="3"/>
  </r>
  <r>
    <s v="CUST-00405"/>
    <n v="37"/>
    <s v="No"/>
    <s v="No"/>
    <s v="Yes"/>
    <n v="35"/>
    <s v="No"/>
    <s v="No phone service"/>
    <s v="Fiber optic"/>
    <x v="1"/>
    <s v="No"/>
    <s v="Credit card"/>
    <n v="117.54"/>
    <n v="3973.77"/>
    <s v="Lahore"/>
    <s v="No"/>
    <n v="0"/>
    <s v="0-12 months"/>
    <x v="2"/>
  </r>
  <r>
    <s v="CUST-00406"/>
    <n v="41"/>
    <s v="No"/>
    <s v="Yes"/>
    <s v="Yes"/>
    <n v="12"/>
    <s v="Yes"/>
    <s v="No"/>
    <s v="Fiber optic"/>
    <x v="1"/>
    <s v="Yes"/>
    <s v="Electronic check"/>
    <n v="116.18"/>
    <n v="1433.05"/>
    <s v="Peshawar"/>
    <s v="No"/>
    <n v="0"/>
    <s v="0-12 months"/>
    <x v="2"/>
  </r>
  <r>
    <s v="CUST-00407"/>
    <n v="38"/>
    <s v="No"/>
    <s v="Yes"/>
    <s v="Yes"/>
    <n v="67"/>
    <s v="Yes"/>
    <s v="Yes"/>
    <s v="DSL"/>
    <x v="2"/>
    <s v="No"/>
    <s v="Bank Transfer"/>
    <n v="60.89"/>
    <n v="3836.86"/>
    <s v="Multan"/>
    <s v="No"/>
    <n v="0"/>
    <s v="0-12 months"/>
    <x v="0"/>
  </r>
  <r>
    <s v="CUST-00408"/>
    <n v="72"/>
    <s v="Yes"/>
    <s v="Yes"/>
    <s v="No"/>
    <n v="60"/>
    <s v="Yes"/>
    <s v="No"/>
    <s v="No internet"/>
    <x v="0"/>
    <s v="No"/>
    <s v="Electronic check"/>
    <n v="27.1"/>
    <n v="1653.09"/>
    <s v="Karachi"/>
    <s v="Yes"/>
    <n v="1"/>
    <s v="0-12 months"/>
    <x v="3"/>
  </r>
  <r>
    <s v="CUST-00409"/>
    <n v="30"/>
    <s v="No"/>
    <s v="No"/>
    <s v="No"/>
    <n v="69"/>
    <s v="No"/>
    <s v="No phone service"/>
    <s v="Fiber optic"/>
    <x v="0"/>
    <s v="No"/>
    <s v="Electronic check"/>
    <n v="83.68"/>
    <n v="5438.06"/>
    <s v="Faisalabad"/>
    <s v="No"/>
    <n v="0"/>
    <s v="0-12 months"/>
    <x v="1"/>
  </r>
  <r>
    <s v="CUST-00410"/>
    <n v="24"/>
    <s v="No"/>
    <s v="Yes"/>
    <s v="No"/>
    <n v="71"/>
    <s v="Yes"/>
    <s v="No"/>
    <s v="Fiber optic"/>
    <x v="1"/>
    <s v="Yes"/>
    <s v="Electronic check"/>
    <n v="85.57"/>
    <n v="6361.44"/>
    <s v="Lahore"/>
    <s v="No"/>
    <n v="0"/>
    <s v="0-12 months"/>
    <x v="1"/>
  </r>
  <r>
    <s v="CUST-00411"/>
    <n v="26"/>
    <s v="No"/>
    <s v="Yes"/>
    <s v="No"/>
    <n v="7"/>
    <s v="Yes"/>
    <s v="Yes"/>
    <s v="Fiber optic"/>
    <x v="2"/>
    <s v="No"/>
    <s v="Bank Transfer"/>
    <n v="85.62"/>
    <n v="622.16999999999996"/>
    <s v="Multan"/>
    <s v="No"/>
    <n v="0"/>
    <s v="0-12 months"/>
    <x v="1"/>
  </r>
  <r>
    <s v="CUST-00412"/>
    <n v="69"/>
    <s v="Yes"/>
    <s v="Yes"/>
    <s v="No"/>
    <n v="17"/>
    <s v="No"/>
    <s v="No phone service"/>
    <s v="Fiber optic"/>
    <x v="2"/>
    <s v="No"/>
    <s v="Bank Transfer"/>
    <n v="105.51"/>
    <n v="1786.22"/>
    <s v="Karachi"/>
    <s v="Yes"/>
    <n v="1"/>
    <s v="0-12 months"/>
    <x v="2"/>
  </r>
  <r>
    <s v="CUST-00413"/>
    <n v="27"/>
    <s v="No"/>
    <s v="No"/>
    <s v="No"/>
    <n v="51"/>
    <s v="No"/>
    <s v="No phone service"/>
    <s v="Fiber optic"/>
    <x v="0"/>
    <s v="No"/>
    <s v="Credit card"/>
    <n v="71.510000000000005"/>
    <n v="3636.22"/>
    <s v="Rawalpindi"/>
    <s v="No"/>
    <n v="0"/>
    <s v="0-12 months"/>
    <x v="0"/>
  </r>
  <r>
    <s v="CUST-00414"/>
    <n v="72"/>
    <s v="Yes"/>
    <s v="Yes"/>
    <s v="No"/>
    <n v="45"/>
    <s v="Yes"/>
    <s v="No"/>
    <s v="DSL"/>
    <x v="2"/>
    <s v="Yes"/>
    <s v="Electronic check"/>
    <n v="65.98"/>
    <n v="3073.29"/>
    <s v="Rawalpindi"/>
    <s v="No"/>
    <n v="0"/>
    <s v="0-12 months"/>
    <x v="0"/>
  </r>
  <r>
    <s v="CUST-00415"/>
    <n v="55"/>
    <s v="No"/>
    <s v="No"/>
    <s v="Yes"/>
    <n v="32"/>
    <s v="No"/>
    <s v="No phone service"/>
    <s v="DSL"/>
    <x v="2"/>
    <s v="No"/>
    <s v="Electronic check"/>
    <n v="67.760000000000005"/>
    <n v="2150.4"/>
    <s v="Faisalabad"/>
    <s v="No"/>
    <n v="0"/>
    <s v="0-12 months"/>
    <x v="0"/>
  </r>
  <r>
    <s v="CUST-00416"/>
    <n v="68"/>
    <s v="Yes"/>
    <s v="No"/>
    <s v="Yes"/>
    <n v="23"/>
    <s v="Yes"/>
    <s v="No"/>
    <s v="DSL"/>
    <x v="0"/>
    <s v="No"/>
    <s v="Electronic check"/>
    <n v="63.84"/>
    <n v="1437.55"/>
    <s v="Rawalpindi"/>
    <s v="Yes"/>
    <n v="1"/>
    <s v="0-12 months"/>
    <x v="0"/>
  </r>
  <r>
    <s v="CUST-00417"/>
    <n v="29"/>
    <s v="No"/>
    <s v="No"/>
    <s v="No"/>
    <n v="9"/>
    <s v="No"/>
    <s v="No phone service"/>
    <s v="DSL"/>
    <x v="2"/>
    <s v="Yes"/>
    <s v="Electronic check"/>
    <n v="72.680000000000007"/>
    <n v="684.52"/>
    <s v="Multan"/>
    <s v="No"/>
    <n v="0"/>
    <s v="0-12 months"/>
    <x v="0"/>
  </r>
  <r>
    <s v="CUST-00418"/>
    <n v="69"/>
    <s v="Yes"/>
    <s v="Yes"/>
    <s v="Yes"/>
    <n v="20"/>
    <s v="No"/>
    <s v="No phone service"/>
    <s v="DSL"/>
    <x v="2"/>
    <s v="No"/>
    <s v="Electronic check"/>
    <n v="67.260000000000005"/>
    <n v="1315.59"/>
    <s v="Multan"/>
    <s v="No"/>
    <n v="0"/>
    <s v="0-12 months"/>
    <x v="0"/>
  </r>
  <r>
    <s v="CUST-00419"/>
    <n v="37"/>
    <s v="No"/>
    <s v="No"/>
    <s v="No"/>
    <n v="12"/>
    <s v="No"/>
    <s v="No phone service"/>
    <s v="DSL"/>
    <x v="1"/>
    <s v="No"/>
    <s v="Electronic check"/>
    <n v="76.040000000000006"/>
    <n v="963.71"/>
    <s v="Faisalabad"/>
    <s v="Yes"/>
    <n v="1"/>
    <s v="0-12 months"/>
    <x v="1"/>
  </r>
  <r>
    <s v="CUST-00420"/>
    <n v="70"/>
    <s v="Yes"/>
    <s v="No"/>
    <s v="Yes"/>
    <n v="37"/>
    <s v="Yes"/>
    <s v="No"/>
    <s v="No internet"/>
    <x v="0"/>
    <s v="No"/>
    <s v="Bank Transfer"/>
    <n v="22.87"/>
    <n v="839.61"/>
    <s v="Karachi"/>
    <s v="No"/>
    <n v="0"/>
    <s v="0-12 months"/>
    <x v="3"/>
  </r>
  <r>
    <s v="CUST-00421"/>
    <n v="48"/>
    <s v="No"/>
    <s v="Yes"/>
    <s v="Yes"/>
    <n v="72"/>
    <s v="No"/>
    <s v="No phone service"/>
    <s v="Fiber optic"/>
    <x v="1"/>
    <s v="Yes"/>
    <s v="Electronic check"/>
    <n v="113.64"/>
    <n v="7814.43"/>
    <s v="Multan"/>
    <s v="Yes"/>
    <n v="1"/>
    <s v="0-12 months"/>
    <x v="2"/>
  </r>
  <r>
    <s v="CUST-00422"/>
    <n v="19"/>
    <s v="No"/>
    <s v="Yes"/>
    <s v="No"/>
    <n v="56"/>
    <s v="Yes"/>
    <s v="Yes"/>
    <s v="No internet"/>
    <x v="0"/>
    <s v="No"/>
    <s v="Mailed check"/>
    <n v="28.72"/>
    <n v="1646.03"/>
    <s v="Faisalabad"/>
    <s v="No"/>
    <n v="0"/>
    <s v="0-12 months"/>
    <x v="3"/>
  </r>
  <r>
    <s v="CUST-00423"/>
    <n v="29"/>
    <s v="No"/>
    <s v="No"/>
    <s v="No"/>
    <n v="71"/>
    <s v="No"/>
    <s v="No phone service"/>
    <s v="No internet"/>
    <x v="2"/>
    <s v="Yes"/>
    <s v="Credit card"/>
    <n v="18.09"/>
    <n v="1284.1099999999999"/>
    <s v="Multan"/>
    <s v="No"/>
    <n v="0"/>
    <s v="0-12 months"/>
    <x v="3"/>
  </r>
  <r>
    <s v="CUST-00424"/>
    <n v="50"/>
    <s v="No"/>
    <s v="No"/>
    <s v="No"/>
    <n v="70"/>
    <s v="Yes"/>
    <s v="No"/>
    <s v="DSL"/>
    <x v="0"/>
    <s v="No"/>
    <s v="Electronic check"/>
    <n v="59.26"/>
    <n v="4243.03"/>
    <s v="Multan"/>
    <s v="Yes"/>
    <n v="1"/>
    <s v="0-12 months"/>
    <x v="0"/>
  </r>
  <r>
    <s v="CUST-00425"/>
    <n v="51"/>
    <s v="No"/>
    <s v="No"/>
    <s v="No"/>
    <n v="67"/>
    <s v="Yes"/>
    <s v="Yes"/>
    <s v="Fiber optic"/>
    <x v="0"/>
    <s v="Yes"/>
    <s v="Bank Transfer"/>
    <n v="96.96"/>
    <n v="6558.4"/>
    <s v="Islamabad"/>
    <s v="No"/>
    <n v="0"/>
    <s v="0-12 months"/>
    <x v="1"/>
  </r>
  <r>
    <s v="CUST-00426"/>
    <n v="52"/>
    <s v="No"/>
    <s v="Yes"/>
    <s v="No"/>
    <n v="59"/>
    <s v="No"/>
    <s v="No phone service"/>
    <s v="DSL"/>
    <x v="0"/>
    <s v="No"/>
    <s v="Credit card"/>
    <n v="78.42"/>
    <n v="4792.3599999999997"/>
    <s v="Lahore"/>
    <s v="No"/>
    <n v="0"/>
    <s v="0-12 months"/>
    <x v="1"/>
  </r>
  <r>
    <s v="CUST-00427"/>
    <n v="62"/>
    <s v="Yes"/>
    <s v="No"/>
    <s v="No"/>
    <n v="8"/>
    <s v="Yes"/>
    <s v="No"/>
    <s v="DSL"/>
    <x v="0"/>
    <s v="No"/>
    <s v="Bank Transfer"/>
    <n v="64.97"/>
    <n v="506.46"/>
    <s v="Faisalabad"/>
    <s v="Yes"/>
    <n v="1"/>
    <s v="0-12 months"/>
    <x v="0"/>
  </r>
  <r>
    <s v="CUST-00428"/>
    <n v="22"/>
    <s v="No"/>
    <s v="No"/>
    <s v="No"/>
    <n v="17"/>
    <s v="No"/>
    <s v="No phone service"/>
    <s v="DSL"/>
    <x v="1"/>
    <s v="Yes"/>
    <s v="Bank Transfer"/>
    <n v="64.150000000000006"/>
    <n v="1144.22"/>
    <s v="Multan"/>
    <s v="No"/>
    <n v="0"/>
    <s v="0-12 months"/>
    <x v="0"/>
  </r>
  <r>
    <s v="CUST-00429"/>
    <n v="46"/>
    <s v="No"/>
    <s v="No"/>
    <s v="Yes"/>
    <n v="34"/>
    <s v="Yes"/>
    <s v="No"/>
    <s v="DSL"/>
    <x v="0"/>
    <s v="Yes"/>
    <s v="Electronic check"/>
    <n v="43.38"/>
    <n v="1412.1"/>
    <s v="Karachi"/>
    <s v="No"/>
    <n v="0"/>
    <s v="0-12 months"/>
    <x v="3"/>
  </r>
  <r>
    <s v="CUST-00430"/>
    <n v="71"/>
    <s v="Yes"/>
    <s v="No"/>
    <s v="No"/>
    <n v="50"/>
    <s v="No"/>
    <s v="No phone service"/>
    <s v="Fiber optic"/>
    <x v="0"/>
    <s v="Yes"/>
    <s v="Electronic check"/>
    <n v="106.72"/>
    <n v="5236.8"/>
    <s v="Peshawar"/>
    <s v="No"/>
    <n v="0"/>
    <s v="0-12 months"/>
    <x v="2"/>
  </r>
  <r>
    <s v="CUST-00431"/>
    <n v="70"/>
    <s v="Yes"/>
    <s v="Yes"/>
    <s v="Yes"/>
    <n v="22"/>
    <s v="No"/>
    <s v="No phone service"/>
    <s v="DSL"/>
    <x v="2"/>
    <s v="Yes"/>
    <s v="Credit card"/>
    <n v="68.22"/>
    <n v="1496.26"/>
    <s v="Peshawar"/>
    <s v="Yes"/>
    <n v="1"/>
    <s v="0-12 months"/>
    <x v="0"/>
  </r>
  <r>
    <s v="CUST-00432"/>
    <n v="45"/>
    <s v="No"/>
    <s v="Yes"/>
    <s v="No"/>
    <n v="58"/>
    <s v="No"/>
    <s v="No phone service"/>
    <s v="Fiber optic"/>
    <x v="1"/>
    <s v="Yes"/>
    <s v="Electronic check"/>
    <n v="96.56"/>
    <n v="5502.24"/>
    <s v="Faisalabad"/>
    <s v="No"/>
    <n v="0"/>
    <s v="0-12 months"/>
    <x v="1"/>
  </r>
  <r>
    <s v="CUST-00433"/>
    <n v="59"/>
    <s v="No"/>
    <s v="No"/>
    <s v="No"/>
    <n v="35"/>
    <s v="Yes"/>
    <s v="Yes"/>
    <s v="Fiber optic"/>
    <x v="0"/>
    <s v="No"/>
    <s v="Bank Transfer"/>
    <n v="107.45"/>
    <n v="3866.49"/>
    <s v="Karachi"/>
    <s v="No"/>
    <n v="0"/>
    <s v="0-12 months"/>
    <x v="2"/>
  </r>
  <r>
    <s v="CUST-00434"/>
    <n v="51"/>
    <s v="No"/>
    <s v="No"/>
    <s v="Yes"/>
    <n v="41"/>
    <s v="Yes"/>
    <s v="No"/>
    <s v="DSL"/>
    <x v="2"/>
    <s v="Yes"/>
    <s v="Credit card"/>
    <n v="67.42"/>
    <n v="2714.97"/>
    <s v="Islamabad"/>
    <s v="No"/>
    <n v="0"/>
    <s v="0-12 months"/>
    <x v="0"/>
  </r>
  <r>
    <s v="CUST-00435"/>
    <n v="30"/>
    <s v="No"/>
    <s v="Yes"/>
    <s v="Yes"/>
    <n v="12"/>
    <s v="Yes"/>
    <s v="No"/>
    <s v="Fiber optic"/>
    <x v="0"/>
    <s v="Yes"/>
    <s v="Electronic check"/>
    <n v="100.23"/>
    <n v="1184.8599999999999"/>
    <s v="Multan"/>
    <s v="No"/>
    <n v="0"/>
    <s v="0-12 months"/>
    <x v="2"/>
  </r>
  <r>
    <s v="CUST-00436"/>
    <n v="54"/>
    <s v="No"/>
    <s v="Yes"/>
    <s v="Yes"/>
    <n v="24"/>
    <s v="No"/>
    <s v="No phone service"/>
    <s v="Fiber optic"/>
    <x v="0"/>
    <s v="Yes"/>
    <s v="Bank Transfer"/>
    <n v="116.13"/>
    <n v="2712.33"/>
    <s v="Multan"/>
    <s v="No"/>
    <n v="0"/>
    <s v="0-12 months"/>
    <x v="2"/>
  </r>
  <r>
    <s v="CUST-00437"/>
    <n v="67"/>
    <s v="Yes"/>
    <s v="No"/>
    <s v="No"/>
    <n v="21"/>
    <s v="No"/>
    <s v="No phone service"/>
    <s v="DSL"/>
    <x v="0"/>
    <s v="No"/>
    <s v="Credit card"/>
    <n v="79.84"/>
    <n v="1628"/>
    <s v="Karachi"/>
    <s v="No"/>
    <n v="0"/>
    <s v="0-12 months"/>
    <x v="1"/>
  </r>
  <r>
    <s v="CUST-00438"/>
    <n v="46"/>
    <s v="No"/>
    <s v="Yes"/>
    <s v="No"/>
    <n v="26"/>
    <s v="Yes"/>
    <s v="No"/>
    <s v="DSL"/>
    <x v="2"/>
    <s v="No"/>
    <s v="Electronic check"/>
    <n v="65.73"/>
    <n v="1793.6"/>
    <s v="Lahore"/>
    <s v="No"/>
    <n v="0"/>
    <s v="0-12 months"/>
    <x v="0"/>
  </r>
  <r>
    <s v="CUST-00439"/>
    <n v="20"/>
    <s v="No"/>
    <s v="Yes"/>
    <s v="Yes"/>
    <n v="33"/>
    <s v="Yes"/>
    <s v="No"/>
    <s v="DSL"/>
    <x v="2"/>
    <s v="Yes"/>
    <s v="Mailed check"/>
    <n v="66.58"/>
    <n v="2135.56"/>
    <s v="Rawalpindi"/>
    <s v="No"/>
    <n v="0"/>
    <s v="0-12 months"/>
    <x v="0"/>
  </r>
  <r>
    <s v="CUST-00440"/>
    <n v="54"/>
    <s v="No"/>
    <s v="Yes"/>
    <s v="No"/>
    <n v="62"/>
    <s v="Yes"/>
    <s v="No"/>
    <s v="Fiber optic"/>
    <x v="2"/>
    <s v="No"/>
    <s v="Electronic check"/>
    <n v="96.77"/>
    <n v="6353.68"/>
    <s v="Islamabad"/>
    <s v="Yes"/>
    <n v="1"/>
    <s v="0-12 months"/>
    <x v="1"/>
  </r>
  <r>
    <s v="CUST-00441"/>
    <n v="43"/>
    <s v="No"/>
    <s v="Yes"/>
    <s v="Yes"/>
    <n v="47"/>
    <s v="No"/>
    <s v="No phone service"/>
    <s v="DSL"/>
    <x v="2"/>
    <s v="No"/>
    <s v="Bank Transfer"/>
    <n v="51.6"/>
    <n v="2338.8000000000002"/>
    <s v="Rawalpindi"/>
    <s v="No"/>
    <n v="0"/>
    <s v="0-12 months"/>
    <x v="0"/>
  </r>
  <r>
    <s v="CUST-00442"/>
    <n v="60"/>
    <s v="Yes"/>
    <s v="Yes"/>
    <s v="No"/>
    <n v="50"/>
    <s v="No"/>
    <s v="No phone service"/>
    <s v="No internet"/>
    <x v="2"/>
    <s v="No"/>
    <s v="Bank Transfer"/>
    <n v="19.68"/>
    <n v="947.76"/>
    <s v="Faisalabad"/>
    <s v="No"/>
    <n v="0"/>
    <s v="0-12 months"/>
    <x v="3"/>
  </r>
  <r>
    <s v="CUST-00443"/>
    <n v="33"/>
    <s v="No"/>
    <s v="No"/>
    <s v="No"/>
    <n v="9"/>
    <s v="No"/>
    <s v="No phone service"/>
    <s v="DSL"/>
    <x v="2"/>
    <s v="No"/>
    <s v="Mailed check"/>
    <n v="40.659999999999997"/>
    <n v="358.88"/>
    <s v="Multan"/>
    <s v="Yes"/>
    <n v="1"/>
    <s v="0-12 months"/>
    <x v="3"/>
  </r>
  <r>
    <s v="CUST-00444"/>
    <n v="20"/>
    <s v="No"/>
    <s v="No"/>
    <s v="Yes"/>
    <n v="28"/>
    <s v="No"/>
    <s v="No phone service"/>
    <s v="No internet"/>
    <x v="1"/>
    <s v="Yes"/>
    <s v="Bank Transfer"/>
    <n v="20.8"/>
    <n v="552.49"/>
    <s v="Rawalpindi"/>
    <s v="No"/>
    <n v="0"/>
    <s v="0-12 months"/>
    <x v="3"/>
  </r>
  <r>
    <s v="CUST-00445"/>
    <n v="59"/>
    <s v="No"/>
    <s v="Yes"/>
    <s v="No"/>
    <n v="6"/>
    <s v="Yes"/>
    <s v="Yes"/>
    <s v="Fiber optic"/>
    <x v="0"/>
    <s v="No"/>
    <s v="Bank Transfer"/>
    <n v="74.86"/>
    <n v="455.15"/>
    <s v="Lahore"/>
    <s v="No"/>
    <n v="0"/>
    <s v="0-12 months"/>
    <x v="0"/>
  </r>
  <r>
    <s v="CUST-00446"/>
    <n v="70"/>
    <s v="Yes"/>
    <s v="Yes"/>
    <s v="Yes"/>
    <n v="64"/>
    <s v="Yes"/>
    <s v="Yes"/>
    <s v="DSL"/>
    <x v="2"/>
    <s v="No"/>
    <s v="Bank Transfer"/>
    <n v="79.290000000000006"/>
    <n v="5183.1899999999996"/>
    <s v="Multan"/>
    <s v="No"/>
    <n v="0"/>
    <s v="0-12 months"/>
    <x v="1"/>
  </r>
  <r>
    <s v="CUST-00447"/>
    <n v="54"/>
    <s v="No"/>
    <s v="Yes"/>
    <s v="No"/>
    <n v="28"/>
    <s v="Yes"/>
    <s v="Yes"/>
    <s v="DSL"/>
    <x v="2"/>
    <s v="Yes"/>
    <s v="Bank Transfer"/>
    <n v="46.72"/>
    <n v="1287.74"/>
    <s v="Karachi"/>
    <s v="Yes"/>
    <n v="1"/>
    <s v="0-12 months"/>
    <x v="3"/>
  </r>
  <r>
    <s v="CUST-00448"/>
    <n v="55"/>
    <s v="No"/>
    <s v="Yes"/>
    <s v="Yes"/>
    <n v="13"/>
    <s v="No"/>
    <s v="No phone service"/>
    <s v="DSL"/>
    <x v="0"/>
    <s v="Yes"/>
    <s v="Mailed check"/>
    <n v="43.23"/>
    <n v="528.76"/>
    <s v="Multan"/>
    <s v="No"/>
    <n v="0"/>
    <s v="0-12 months"/>
    <x v="3"/>
  </r>
  <r>
    <s v="CUST-00449"/>
    <n v="59"/>
    <s v="No"/>
    <s v="No"/>
    <s v="No"/>
    <n v="61"/>
    <s v="Yes"/>
    <s v="Yes"/>
    <s v="DSL"/>
    <x v="2"/>
    <s v="No"/>
    <s v="Credit card"/>
    <n v="77.52"/>
    <n v="4791.4399999999996"/>
    <s v="Karachi"/>
    <s v="Yes"/>
    <n v="1"/>
    <s v="0-12 months"/>
    <x v="1"/>
  </r>
  <r>
    <s v="CUST-00450"/>
    <n v="63"/>
    <s v="Yes"/>
    <s v="No"/>
    <s v="Yes"/>
    <n v="39"/>
    <s v="Yes"/>
    <s v="No"/>
    <s v="Fiber optic"/>
    <x v="2"/>
    <s v="Yes"/>
    <s v="Bank Transfer"/>
    <n v="113.14"/>
    <n v="4670.21"/>
    <s v="Rawalpindi"/>
    <s v="No"/>
    <n v="0"/>
    <s v="0-12 months"/>
    <x v="2"/>
  </r>
  <r>
    <s v="CUST-00451"/>
    <n v="67"/>
    <s v="Yes"/>
    <s v="Yes"/>
    <s v="No"/>
    <n v="7"/>
    <s v="Yes"/>
    <s v="No"/>
    <s v="Fiber optic"/>
    <x v="1"/>
    <s v="No"/>
    <s v="Credit card"/>
    <n v="77.989999999999995"/>
    <n v="573.62"/>
    <s v="Islamabad"/>
    <s v="Yes"/>
    <n v="1"/>
    <s v="0-12 months"/>
    <x v="1"/>
  </r>
  <r>
    <s v="CUST-00452"/>
    <n v="36"/>
    <s v="No"/>
    <s v="Yes"/>
    <s v="No"/>
    <n v="33"/>
    <s v="No"/>
    <s v="No phone service"/>
    <s v="Fiber optic"/>
    <x v="2"/>
    <s v="Yes"/>
    <s v="Mailed check"/>
    <n v="78.790000000000006"/>
    <n v="2689.15"/>
    <s v="Lahore"/>
    <s v="No"/>
    <n v="0"/>
    <s v="0-12 months"/>
    <x v="1"/>
  </r>
  <r>
    <s v="CUST-00453"/>
    <n v="22"/>
    <s v="No"/>
    <s v="Yes"/>
    <s v="No"/>
    <n v="42"/>
    <s v="No"/>
    <s v="No phone service"/>
    <s v="Fiber optic"/>
    <x v="2"/>
    <s v="Yes"/>
    <s v="Electronic check"/>
    <n v="74.900000000000006"/>
    <n v="3235.55"/>
    <s v="Rawalpindi"/>
    <s v="No"/>
    <n v="0"/>
    <s v="0-12 months"/>
    <x v="0"/>
  </r>
  <r>
    <s v="CUST-00454"/>
    <n v="75"/>
    <s v="Yes"/>
    <s v="Yes"/>
    <s v="Yes"/>
    <n v="61"/>
    <s v="Yes"/>
    <s v="No"/>
    <s v="DSL"/>
    <x v="2"/>
    <s v="No"/>
    <s v="Electronic check"/>
    <n v="54.94"/>
    <n v="3334.34"/>
    <s v="Islamabad"/>
    <s v="Yes"/>
    <n v="1"/>
    <s v="0-12 months"/>
    <x v="0"/>
  </r>
  <r>
    <s v="CUST-00455"/>
    <n v="35"/>
    <s v="No"/>
    <s v="Yes"/>
    <s v="No"/>
    <n v="17"/>
    <s v="Yes"/>
    <s v="Yes"/>
    <s v="Fiber optic"/>
    <x v="2"/>
    <s v="No"/>
    <s v="Credit card"/>
    <n v="78.56"/>
    <n v="1310.45"/>
    <s v="Faisalabad"/>
    <s v="No"/>
    <n v="0"/>
    <s v="0-12 months"/>
    <x v="1"/>
  </r>
  <r>
    <s v="CUST-00456"/>
    <n v="28"/>
    <s v="No"/>
    <s v="Yes"/>
    <s v="Yes"/>
    <n v="12"/>
    <s v="No"/>
    <s v="No phone service"/>
    <s v="Fiber optic"/>
    <x v="1"/>
    <s v="Yes"/>
    <s v="Credit card"/>
    <n v="111.85"/>
    <n v="1306.6300000000001"/>
    <s v="Multan"/>
    <s v="No"/>
    <n v="0"/>
    <s v="0-12 months"/>
    <x v="2"/>
  </r>
  <r>
    <s v="CUST-00457"/>
    <n v="73"/>
    <s v="Yes"/>
    <s v="Yes"/>
    <s v="Yes"/>
    <n v="42"/>
    <s v="Yes"/>
    <s v="No"/>
    <s v="Fiber optic"/>
    <x v="0"/>
    <s v="Yes"/>
    <s v="Mailed check"/>
    <n v="114.91"/>
    <n v="4778.6000000000004"/>
    <s v="Rawalpindi"/>
    <s v="Yes"/>
    <n v="1"/>
    <s v="0-12 months"/>
    <x v="2"/>
  </r>
  <r>
    <s v="CUST-00458"/>
    <n v="64"/>
    <s v="Yes"/>
    <s v="Yes"/>
    <s v="No"/>
    <n v="68"/>
    <s v="Yes"/>
    <s v="No"/>
    <s v="Fiber optic"/>
    <x v="2"/>
    <s v="Yes"/>
    <s v="Bank Transfer"/>
    <n v="90.33"/>
    <n v="5934.58"/>
    <s v="Karachi"/>
    <s v="Yes"/>
    <n v="1"/>
    <s v="0-12 months"/>
    <x v="1"/>
  </r>
  <r>
    <s v="CUST-00459"/>
    <n v="59"/>
    <s v="No"/>
    <s v="Yes"/>
    <s v="Yes"/>
    <n v="62"/>
    <s v="Yes"/>
    <s v="No"/>
    <s v="DSL"/>
    <x v="1"/>
    <s v="Yes"/>
    <s v="Mailed check"/>
    <n v="58.55"/>
    <n v="3472.68"/>
    <s v="Karachi"/>
    <s v="No"/>
    <n v="0"/>
    <s v="0-12 months"/>
    <x v="0"/>
  </r>
  <r>
    <s v="CUST-00460"/>
    <n v="68"/>
    <s v="Yes"/>
    <s v="No"/>
    <s v="No"/>
    <n v="1"/>
    <s v="Yes"/>
    <s v="No"/>
    <s v="No internet"/>
    <x v="0"/>
    <s v="Yes"/>
    <s v="Electronic check"/>
    <n v="27.03"/>
    <n v="27.67"/>
    <s v="Faisalabad"/>
    <s v="No"/>
    <n v="0"/>
    <s v="0-12 months"/>
    <x v="3"/>
  </r>
  <r>
    <s v="CUST-00461"/>
    <n v="68"/>
    <s v="Yes"/>
    <s v="Yes"/>
    <s v="Yes"/>
    <n v="43"/>
    <s v="Yes"/>
    <s v="No"/>
    <s v="DSL"/>
    <x v="1"/>
    <s v="No"/>
    <s v="Mailed check"/>
    <n v="44.44"/>
    <n v="1880.1"/>
    <s v="Islamabad"/>
    <s v="No"/>
    <n v="0"/>
    <s v="0-12 months"/>
    <x v="3"/>
  </r>
  <r>
    <s v="CUST-00462"/>
    <n v="41"/>
    <s v="No"/>
    <s v="Yes"/>
    <s v="Yes"/>
    <n v="72"/>
    <s v="Yes"/>
    <s v="Yes"/>
    <s v="DSL"/>
    <x v="2"/>
    <s v="Yes"/>
    <s v="Bank Transfer"/>
    <n v="69.5"/>
    <n v="5155.49"/>
    <s v="Multan"/>
    <s v="No"/>
    <n v="0"/>
    <s v="0-12 months"/>
    <x v="0"/>
  </r>
  <r>
    <s v="CUST-00463"/>
    <n v="31"/>
    <s v="No"/>
    <s v="Yes"/>
    <s v="No"/>
    <n v="46"/>
    <s v="No"/>
    <s v="No phone service"/>
    <s v="No internet"/>
    <x v="2"/>
    <s v="Yes"/>
    <s v="Credit card"/>
    <n v="23.43"/>
    <n v="1077.97"/>
    <s v="Rawalpindi"/>
    <s v="No"/>
    <n v="0"/>
    <s v="0-12 months"/>
    <x v="3"/>
  </r>
  <r>
    <s v="CUST-00464"/>
    <n v="63"/>
    <s v="Yes"/>
    <s v="No"/>
    <s v="No"/>
    <n v="48"/>
    <s v="Yes"/>
    <s v="Yes"/>
    <s v="DSL"/>
    <x v="1"/>
    <s v="Yes"/>
    <s v="Electronic check"/>
    <n v="75.92"/>
    <n v="3551.62"/>
    <s v="Lahore"/>
    <s v="No"/>
    <n v="0"/>
    <s v="0-12 months"/>
    <x v="1"/>
  </r>
  <r>
    <s v="CUST-00465"/>
    <n v="28"/>
    <s v="No"/>
    <s v="No"/>
    <s v="Yes"/>
    <n v="19"/>
    <s v="Yes"/>
    <s v="No"/>
    <s v="DSL"/>
    <x v="0"/>
    <s v="No"/>
    <s v="Credit card"/>
    <n v="67.3"/>
    <n v="1344.95"/>
    <s v="Rawalpindi"/>
    <s v="No"/>
    <n v="0"/>
    <s v="0-12 months"/>
    <x v="0"/>
  </r>
  <r>
    <s v="CUST-00466"/>
    <n v="46"/>
    <s v="No"/>
    <s v="Yes"/>
    <s v="No"/>
    <n v="25"/>
    <s v="Yes"/>
    <s v="No"/>
    <s v="Fiber optic"/>
    <x v="2"/>
    <s v="No"/>
    <s v="Credit card"/>
    <n v="87.14"/>
    <n v="2216.6799999999998"/>
    <s v="Faisalabad"/>
    <s v="Yes"/>
    <n v="1"/>
    <s v="0-12 months"/>
    <x v="1"/>
  </r>
  <r>
    <s v="CUST-00467"/>
    <n v="60"/>
    <s v="Yes"/>
    <s v="No"/>
    <s v="No"/>
    <n v="39"/>
    <s v="No"/>
    <s v="No phone service"/>
    <s v="DSL"/>
    <x v="2"/>
    <s v="No"/>
    <s v="Electronic check"/>
    <n v="54.88"/>
    <n v="2085.91"/>
    <s v="Karachi"/>
    <s v="No"/>
    <n v="0"/>
    <s v="0-12 months"/>
    <x v="0"/>
  </r>
  <r>
    <s v="CUST-00468"/>
    <n v="40"/>
    <s v="No"/>
    <s v="No"/>
    <s v="No"/>
    <n v="22"/>
    <s v="Yes"/>
    <s v="No"/>
    <s v="DSL"/>
    <x v="2"/>
    <s v="Yes"/>
    <s v="Bank Transfer"/>
    <n v="67.709999999999994"/>
    <n v="1519.36"/>
    <s v="Karachi"/>
    <s v="Yes"/>
    <n v="1"/>
    <s v="0-12 months"/>
    <x v="0"/>
  </r>
  <r>
    <s v="CUST-00469"/>
    <n v="25"/>
    <s v="No"/>
    <s v="Yes"/>
    <s v="No"/>
    <n v="17"/>
    <s v="No"/>
    <s v="No phone service"/>
    <s v="Fiber optic"/>
    <x v="2"/>
    <s v="Yes"/>
    <s v="Bank Transfer"/>
    <n v="118.9"/>
    <n v="1935.91"/>
    <s v="Karachi"/>
    <s v="No"/>
    <n v="0"/>
    <s v="0-12 months"/>
    <x v="2"/>
  </r>
  <r>
    <s v="CUST-00470"/>
    <n v="52"/>
    <s v="No"/>
    <s v="No"/>
    <s v="Yes"/>
    <n v="4"/>
    <s v="No"/>
    <s v="No phone service"/>
    <s v="Fiber optic"/>
    <x v="0"/>
    <s v="No"/>
    <s v="Mailed check"/>
    <n v="77.8"/>
    <n v="328.76"/>
    <s v="Faisalabad"/>
    <s v="No"/>
    <n v="0"/>
    <s v="0-12 months"/>
    <x v="1"/>
  </r>
  <r>
    <s v="CUST-00471"/>
    <n v="39"/>
    <s v="No"/>
    <s v="No"/>
    <s v="No"/>
    <n v="38"/>
    <s v="Yes"/>
    <s v="No"/>
    <s v="No internet"/>
    <x v="0"/>
    <s v="No"/>
    <s v="Electronic check"/>
    <n v="19.350000000000001"/>
    <n v="733.45"/>
    <s v="Multan"/>
    <s v="Yes"/>
    <n v="1"/>
    <s v="0-12 months"/>
    <x v="3"/>
  </r>
  <r>
    <s v="CUST-00472"/>
    <n v="53"/>
    <s v="No"/>
    <s v="Yes"/>
    <s v="No"/>
    <n v="4"/>
    <s v="Yes"/>
    <s v="No"/>
    <s v="Fiber optic"/>
    <x v="2"/>
    <s v="Yes"/>
    <s v="Bank Transfer"/>
    <n v="79.760000000000005"/>
    <n v="320.05"/>
    <s v="Peshawar"/>
    <s v="No"/>
    <n v="0"/>
    <s v="0-12 months"/>
    <x v="1"/>
  </r>
  <r>
    <s v="CUST-00473"/>
    <n v="35"/>
    <s v="No"/>
    <s v="Yes"/>
    <s v="Yes"/>
    <n v="11"/>
    <s v="No"/>
    <s v="No phone service"/>
    <s v="DSL"/>
    <x v="0"/>
    <s v="Yes"/>
    <s v="Mailed check"/>
    <n v="55.78"/>
    <n v="612.88"/>
    <s v="Faisalabad"/>
    <s v="No"/>
    <n v="0"/>
    <s v="0-12 months"/>
    <x v="0"/>
  </r>
  <r>
    <s v="CUST-00474"/>
    <n v="21"/>
    <s v="No"/>
    <s v="No"/>
    <s v="No"/>
    <n v="19"/>
    <s v="No"/>
    <s v="No phone service"/>
    <s v="DSL"/>
    <x v="2"/>
    <s v="No"/>
    <s v="Electronic check"/>
    <n v="53.8"/>
    <n v="998.66"/>
    <s v="Faisalabad"/>
    <s v="No"/>
    <n v="0"/>
    <s v="0-12 months"/>
    <x v="0"/>
  </r>
  <r>
    <s v="CUST-00475"/>
    <n v="23"/>
    <s v="No"/>
    <s v="Yes"/>
    <s v="No"/>
    <n v="54"/>
    <s v="No"/>
    <s v="No phone service"/>
    <s v="No internet"/>
    <x v="2"/>
    <s v="No"/>
    <s v="Bank Transfer"/>
    <n v="22.97"/>
    <n v="1290.32"/>
    <s v="Karachi"/>
    <s v="No"/>
    <n v="0"/>
    <s v="0-12 months"/>
    <x v="3"/>
  </r>
  <r>
    <s v="CUST-00476"/>
    <n v="31"/>
    <s v="No"/>
    <s v="No"/>
    <s v="No"/>
    <n v="68"/>
    <s v="Yes"/>
    <s v="No"/>
    <s v="No internet"/>
    <x v="0"/>
    <s v="No"/>
    <s v="Electronic check"/>
    <n v="22.91"/>
    <n v="1635.35"/>
    <s v="Faisalabad"/>
    <s v="No"/>
    <n v="0"/>
    <s v="0-12 months"/>
    <x v="3"/>
  </r>
  <r>
    <s v="CUST-00477"/>
    <n v="47"/>
    <s v="No"/>
    <s v="Yes"/>
    <s v="Yes"/>
    <n v="24"/>
    <s v="No"/>
    <s v="No phone service"/>
    <s v="No internet"/>
    <x v="0"/>
    <s v="Yes"/>
    <s v="Bank Transfer"/>
    <n v="21.62"/>
    <n v="524.19000000000005"/>
    <s v="Multan"/>
    <s v="No"/>
    <n v="0"/>
    <s v="0-12 months"/>
    <x v="3"/>
  </r>
  <r>
    <s v="CUST-00478"/>
    <n v="47"/>
    <s v="No"/>
    <s v="Yes"/>
    <s v="Yes"/>
    <n v="1"/>
    <s v="No"/>
    <s v="No phone service"/>
    <s v="Fiber optic"/>
    <x v="1"/>
    <s v="No"/>
    <s v="Electronic check"/>
    <n v="103.3"/>
    <n v="100.67"/>
    <s v="Multan"/>
    <s v="Yes"/>
    <n v="1"/>
    <s v="0-12 months"/>
    <x v="2"/>
  </r>
  <r>
    <s v="CUST-00479"/>
    <n v="59"/>
    <s v="No"/>
    <s v="Yes"/>
    <s v="Yes"/>
    <n v="16"/>
    <s v="No"/>
    <s v="No phone service"/>
    <s v="DSL"/>
    <x v="1"/>
    <s v="Yes"/>
    <s v="Credit card"/>
    <n v="54.47"/>
    <n v="869.48"/>
    <s v="Islamabad"/>
    <s v="No"/>
    <n v="0"/>
    <s v="0-12 months"/>
    <x v="0"/>
  </r>
  <r>
    <s v="CUST-00480"/>
    <n v="58"/>
    <s v="No"/>
    <s v="No"/>
    <s v="Yes"/>
    <n v="48"/>
    <s v="Yes"/>
    <s v="No"/>
    <s v="DSL"/>
    <x v="2"/>
    <s v="Yes"/>
    <s v="Electronic check"/>
    <n v="58.44"/>
    <n v="2870.18"/>
    <s v="Lahore"/>
    <s v="Yes"/>
    <n v="1"/>
    <s v="0-12 months"/>
    <x v="0"/>
  </r>
  <r>
    <s v="CUST-00481"/>
    <n v="35"/>
    <s v="No"/>
    <s v="No"/>
    <s v="No"/>
    <n v="46"/>
    <s v="No"/>
    <s v="No phone service"/>
    <s v="Fiber optic"/>
    <x v="2"/>
    <s v="Yes"/>
    <s v="Credit card"/>
    <n v="108.32"/>
    <n v="4793.33"/>
    <s v="Peshawar"/>
    <s v="Yes"/>
    <n v="1"/>
    <s v="0-12 months"/>
    <x v="2"/>
  </r>
  <r>
    <s v="CUST-00482"/>
    <n v="28"/>
    <s v="No"/>
    <s v="No"/>
    <s v="No"/>
    <n v="39"/>
    <s v="No"/>
    <s v="No phone service"/>
    <s v="Fiber optic"/>
    <x v="2"/>
    <s v="No"/>
    <s v="Bank Transfer"/>
    <n v="70.64"/>
    <n v="2760.97"/>
    <s v="Rawalpindi"/>
    <s v="Yes"/>
    <n v="1"/>
    <s v="0-12 months"/>
    <x v="0"/>
  </r>
  <r>
    <s v="CUST-00483"/>
    <n v="44"/>
    <s v="No"/>
    <s v="No"/>
    <s v="Yes"/>
    <n v="14"/>
    <s v="Yes"/>
    <s v="No"/>
    <s v="Fiber optic"/>
    <x v="0"/>
    <s v="Yes"/>
    <s v="Credit card"/>
    <n v="115.8"/>
    <n v="1546.61"/>
    <s v="Lahore"/>
    <s v="Yes"/>
    <n v="1"/>
    <s v="0-12 months"/>
    <x v="2"/>
  </r>
  <r>
    <s v="CUST-00484"/>
    <n v="48"/>
    <s v="No"/>
    <s v="No"/>
    <s v="No"/>
    <n v="47"/>
    <s v="No"/>
    <s v="No phone service"/>
    <s v="Fiber optic"/>
    <x v="1"/>
    <s v="No"/>
    <s v="Electronic check"/>
    <n v="85.23"/>
    <n v="4123.32"/>
    <s v="Karachi"/>
    <s v="Yes"/>
    <n v="1"/>
    <s v="0-12 months"/>
    <x v="1"/>
  </r>
  <r>
    <s v="CUST-00485"/>
    <n v="72"/>
    <s v="Yes"/>
    <s v="Yes"/>
    <s v="Yes"/>
    <n v="40"/>
    <s v="Yes"/>
    <s v="No"/>
    <s v="Fiber optic"/>
    <x v="2"/>
    <s v="Yes"/>
    <s v="Electronic check"/>
    <n v="108.73"/>
    <n v="4483.5"/>
    <s v="Lahore"/>
    <s v="Yes"/>
    <n v="1"/>
    <s v="0-12 months"/>
    <x v="2"/>
  </r>
  <r>
    <s v="CUST-00486"/>
    <n v="20"/>
    <s v="No"/>
    <s v="Yes"/>
    <s v="No"/>
    <n v="16"/>
    <s v="Yes"/>
    <s v="Yes"/>
    <s v="No internet"/>
    <x v="0"/>
    <s v="Yes"/>
    <s v="Bank Transfer"/>
    <n v="29.04"/>
    <n v="448.21"/>
    <s v="Karachi"/>
    <s v="No"/>
    <n v="0"/>
    <s v="0-12 months"/>
    <x v="3"/>
  </r>
  <r>
    <s v="CUST-00487"/>
    <n v="60"/>
    <s v="Yes"/>
    <s v="No"/>
    <s v="Yes"/>
    <n v="12"/>
    <s v="No"/>
    <s v="No phone service"/>
    <s v="Fiber optic"/>
    <x v="1"/>
    <s v="No"/>
    <s v="Credit card"/>
    <n v="112.76"/>
    <n v="1398.72"/>
    <s v="Faisalabad"/>
    <s v="No"/>
    <n v="0"/>
    <s v="0-12 months"/>
    <x v="2"/>
  </r>
  <r>
    <s v="CUST-00488"/>
    <n v="54"/>
    <s v="No"/>
    <s v="Yes"/>
    <s v="Yes"/>
    <n v="2"/>
    <s v="Yes"/>
    <s v="No"/>
    <s v="DSL"/>
    <x v="2"/>
    <s v="Yes"/>
    <s v="Mailed check"/>
    <n v="43.95"/>
    <n v="84.88"/>
    <s v="Multan"/>
    <s v="No"/>
    <n v="0"/>
    <s v="0-12 months"/>
    <x v="3"/>
  </r>
  <r>
    <s v="CUST-00489"/>
    <n v="48"/>
    <s v="No"/>
    <s v="No"/>
    <s v="Yes"/>
    <n v="57"/>
    <s v="Yes"/>
    <s v="Yes"/>
    <s v="DSL"/>
    <x v="2"/>
    <s v="No"/>
    <s v="Credit card"/>
    <n v="60.57"/>
    <n v="3414.2"/>
    <s v="Islamabad"/>
    <s v="No"/>
    <n v="0"/>
    <s v="0-12 months"/>
    <x v="0"/>
  </r>
  <r>
    <s v="CUST-00490"/>
    <n v="25"/>
    <s v="No"/>
    <s v="No"/>
    <s v="Yes"/>
    <n v="67"/>
    <s v="No"/>
    <s v="No phone service"/>
    <s v="Fiber optic"/>
    <x v="0"/>
    <s v="Yes"/>
    <s v="Electronic check"/>
    <n v="94.69"/>
    <n v="6256.51"/>
    <s v="Multan"/>
    <s v="No"/>
    <n v="0"/>
    <s v="0-12 months"/>
    <x v="1"/>
  </r>
  <r>
    <s v="CUST-00491"/>
    <n v="37"/>
    <s v="No"/>
    <s v="No"/>
    <s v="Yes"/>
    <n v="71"/>
    <s v="No"/>
    <s v="No phone service"/>
    <s v="Fiber optic"/>
    <x v="2"/>
    <s v="Yes"/>
    <s v="Mailed check"/>
    <n v="110.12"/>
    <n v="8230.48"/>
    <s v="Lahore"/>
    <s v="Yes"/>
    <n v="1"/>
    <s v="0-12 months"/>
    <x v="2"/>
  </r>
  <r>
    <s v="CUST-00492"/>
    <n v="61"/>
    <s v="Yes"/>
    <s v="No"/>
    <s v="Yes"/>
    <n v="51"/>
    <s v="Yes"/>
    <s v="Yes"/>
    <s v="Fiber optic"/>
    <x v="2"/>
    <s v="Yes"/>
    <s v="Bank Transfer"/>
    <n v="114.62"/>
    <n v="5613.24"/>
    <s v="Karachi"/>
    <s v="Yes"/>
    <n v="1"/>
    <s v="0-12 months"/>
    <x v="2"/>
  </r>
  <r>
    <s v="CUST-00493"/>
    <n v="39"/>
    <s v="No"/>
    <s v="Yes"/>
    <s v="No"/>
    <n v="16"/>
    <s v="No"/>
    <s v="No phone service"/>
    <s v="Fiber optic"/>
    <x v="0"/>
    <s v="No"/>
    <s v="Bank Transfer"/>
    <n v="108.3"/>
    <n v="1752.27"/>
    <s v="Peshawar"/>
    <s v="No"/>
    <n v="0"/>
    <s v="0-12 months"/>
    <x v="2"/>
  </r>
  <r>
    <s v="CUST-00494"/>
    <n v="59"/>
    <s v="No"/>
    <s v="No"/>
    <s v="No"/>
    <n v="61"/>
    <s v="No"/>
    <s v="No phone service"/>
    <s v="DSL"/>
    <x v="1"/>
    <s v="No"/>
    <s v="Electronic check"/>
    <n v="58.19"/>
    <n v="3388.66"/>
    <s v="Karachi"/>
    <s v="No"/>
    <n v="0"/>
    <s v="0-12 months"/>
    <x v="0"/>
  </r>
  <r>
    <s v="CUST-00495"/>
    <n v="58"/>
    <s v="No"/>
    <s v="Yes"/>
    <s v="Yes"/>
    <n v="13"/>
    <s v="Yes"/>
    <s v="No"/>
    <s v="DSL"/>
    <x v="2"/>
    <s v="Yes"/>
    <s v="Credit card"/>
    <n v="67.17"/>
    <n v="836.82"/>
    <s v="Lahore"/>
    <s v="No"/>
    <n v="0"/>
    <s v="0-12 months"/>
    <x v="0"/>
  </r>
  <r>
    <s v="CUST-00496"/>
    <n v="66"/>
    <s v="Yes"/>
    <s v="Yes"/>
    <s v="No"/>
    <n v="60"/>
    <s v="No"/>
    <s v="No phone service"/>
    <s v="Fiber optic"/>
    <x v="2"/>
    <s v="No"/>
    <s v="Credit card"/>
    <n v="110.47"/>
    <n v="6660.44"/>
    <s v="Peshawar"/>
    <s v="Yes"/>
    <n v="1"/>
    <s v="0-12 months"/>
    <x v="2"/>
  </r>
  <r>
    <s v="CUST-00497"/>
    <n v="20"/>
    <s v="No"/>
    <s v="No"/>
    <s v="Yes"/>
    <n v="50"/>
    <s v="No"/>
    <s v="No phone service"/>
    <s v="DSL"/>
    <x v="2"/>
    <s v="Yes"/>
    <s v="Electronic check"/>
    <n v="62.27"/>
    <n v="3248.14"/>
    <s v="Multan"/>
    <s v="Yes"/>
    <n v="1"/>
    <s v="0-12 months"/>
    <x v="0"/>
  </r>
  <r>
    <s v="CUST-00498"/>
    <n v="28"/>
    <s v="No"/>
    <s v="No"/>
    <s v="No"/>
    <n v="18"/>
    <s v="No"/>
    <s v="No phone service"/>
    <s v="Fiber optic"/>
    <x v="2"/>
    <s v="Yes"/>
    <s v="Credit card"/>
    <n v="94.53"/>
    <n v="1712.52"/>
    <s v="Rawalpindi"/>
    <s v="No"/>
    <n v="0"/>
    <s v="0-12 months"/>
    <x v="1"/>
  </r>
  <r>
    <s v="CUST-00499"/>
    <n v="48"/>
    <s v="No"/>
    <s v="Yes"/>
    <s v="Yes"/>
    <n v="51"/>
    <s v="No"/>
    <s v="No phone service"/>
    <s v="Fiber optic"/>
    <x v="0"/>
    <s v="No"/>
    <s v="Bank Transfer"/>
    <n v="84.22"/>
    <n v="4069.17"/>
    <s v="Karachi"/>
    <s v="No"/>
    <n v="0"/>
    <s v="0-12 months"/>
    <x v="1"/>
  </r>
  <r>
    <s v="CUST-00500"/>
    <n v="71"/>
    <s v="Yes"/>
    <s v="No"/>
    <s v="No"/>
    <n v="4"/>
    <s v="No"/>
    <s v="No phone service"/>
    <s v="DSL"/>
    <x v="2"/>
    <s v="No"/>
    <s v="Electronic check"/>
    <n v="54.29"/>
    <n v="213.28"/>
    <s v="Karachi"/>
    <s v="No"/>
    <n v="0"/>
    <s v="0-12 months"/>
    <x v="0"/>
  </r>
  <r>
    <s v="CUST-00501"/>
    <n v="33"/>
    <s v="No"/>
    <s v="No"/>
    <s v="Yes"/>
    <n v="9"/>
    <s v="Yes"/>
    <s v="Yes"/>
    <s v="No internet"/>
    <x v="2"/>
    <s v="No"/>
    <s v="Electronic check"/>
    <n v="25.89"/>
    <n v="230.84"/>
    <s v="Rawalpindi"/>
    <s v="No"/>
    <n v="0"/>
    <s v="0-12 months"/>
    <x v="3"/>
  </r>
  <r>
    <s v="CUST-00502"/>
    <n v="35"/>
    <s v="No"/>
    <s v="Yes"/>
    <s v="No"/>
    <n v="3"/>
    <s v="No"/>
    <s v="No phone service"/>
    <s v="No internet"/>
    <x v="0"/>
    <s v="No"/>
    <s v="Credit card"/>
    <n v="27.7"/>
    <n v="79.11"/>
    <s v="Islamabad"/>
    <s v="No"/>
    <n v="0"/>
    <s v="0-12 months"/>
    <x v="3"/>
  </r>
  <r>
    <s v="CUST-00503"/>
    <n v="49"/>
    <s v="No"/>
    <s v="No"/>
    <s v="Yes"/>
    <n v="39"/>
    <s v="No"/>
    <s v="No phone service"/>
    <s v="Fiber optic"/>
    <x v="2"/>
    <s v="Yes"/>
    <s v="Bank Transfer"/>
    <n v="96.79"/>
    <n v="3678.49"/>
    <s v="Faisalabad"/>
    <s v="Yes"/>
    <n v="1"/>
    <s v="0-12 months"/>
    <x v="1"/>
  </r>
  <r>
    <s v="CUST-00504"/>
    <n v="43"/>
    <s v="No"/>
    <s v="Yes"/>
    <s v="Yes"/>
    <n v="13"/>
    <s v="No"/>
    <s v="No phone service"/>
    <s v="DSL"/>
    <x v="2"/>
    <s v="No"/>
    <s v="Credit card"/>
    <n v="53.89"/>
    <n v="664.98"/>
    <s v="Faisalabad"/>
    <s v="No"/>
    <n v="0"/>
    <s v="0-12 months"/>
    <x v="0"/>
  </r>
  <r>
    <s v="CUST-00505"/>
    <n v="69"/>
    <s v="Yes"/>
    <s v="No"/>
    <s v="No"/>
    <n v="70"/>
    <s v="No"/>
    <s v="No phone service"/>
    <s v="Fiber optic"/>
    <x v="2"/>
    <s v="No"/>
    <s v="Bank Transfer"/>
    <n v="97.38"/>
    <n v="7128.17"/>
    <s v="Faisalabad"/>
    <s v="No"/>
    <n v="0"/>
    <s v="0-12 months"/>
    <x v="1"/>
  </r>
  <r>
    <s v="CUST-00506"/>
    <n v="73"/>
    <s v="Yes"/>
    <s v="Yes"/>
    <s v="No"/>
    <n v="28"/>
    <s v="No"/>
    <s v="No phone service"/>
    <s v="DSL"/>
    <x v="2"/>
    <s v="No"/>
    <s v="Mailed check"/>
    <n v="69.06"/>
    <n v="1831.55"/>
    <s v="Rawalpindi"/>
    <s v="Yes"/>
    <n v="1"/>
    <s v="0-12 months"/>
    <x v="0"/>
  </r>
  <r>
    <s v="CUST-00507"/>
    <n v="27"/>
    <s v="No"/>
    <s v="Yes"/>
    <s v="Yes"/>
    <n v="39"/>
    <s v="No"/>
    <s v="No phone service"/>
    <s v="No internet"/>
    <x v="2"/>
    <s v="Yes"/>
    <s v="Bank Transfer"/>
    <n v="28.15"/>
    <n v="1067.1500000000001"/>
    <s v="Karachi"/>
    <s v="No"/>
    <n v="0"/>
    <s v="0-12 months"/>
    <x v="3"/>
  </r>
  <r>
    <s v="CUST-00508"/>
    <n v="34"/>
    <s v="No"/>
    <s v="Yes"/>
    <s v="No"/>
    <n v="31"/>
    <s v="Yes"/>
    <s v="Yes"/>
    <s v="Fiber optic"/>
    <x v="0"/>
    <s v="No"/>
    <s v="Credit card"/>
    <n v="97.99"/>
    <n v="3014.41"/>
    <s v="Lahore"/>
    <s v="No"/>
    <n v="0"/>
    <s v="0-12 months"/>
    <x v="1"/>
  </r>
  <r>
    <s v="CUST-00509"/>
    <n v="30"/>
    <s v="No"/>
    <s v="Yes"/>
    <s v="No"/>
    <n v="18"/>
    <s v="No"/>
    <s v="No phone service"/>
    <s v="Fiber optic"/>
    <x v="0"/>
    <s v="Yes"/>
    <s v="Bank Transfer"/>
    <n v="72.11"/>
    <n v="1332.63"/>
    <s v="Lahore"/>
    <s v="No"/>
    <n v="0"/>
    <s v="0-12 months"/>
    <x v="0"/>
  </r>
  <r>
    <s v="CUST-00510"/>
    <n v="73"/>
    <s v="Yes"/>
    <s v="Yes"/>
    <s v="No"/>
    <n v="39"/>
    <s v="No"/>
    <s v="No phone service"/>
    <s v="No internet"/>
    <x v="1"/>
    <s v="Yes"/>
    <s v="Credit card"/>
    <n v="28.08"/>
    <n v="1140.1600000000001"/>
    <s v="Faisalabad"/>
    <s v="No"/>
    <n v="0"/>
    <s v="0-12 months"/>
    <x v="3"/>
  </r>
  <r>
    <s v="CUST-00511"/>
    <n v="65"/>
    <s v="Yes"/>
    <s v="Yes"/>
    <s v="No"/>
    <n v="64"/>
    <s v="Yes"/>
    <s v="No"/>
    <s v="No internet"/>
    <x v="0"/>
    <s v="No"/>
    <s v="Electronic check"/>
    <n v="25.01"/>
    <n v="1579.5"/>
    <s v="Karachi"/>
    <s v="No"/>
    <n v="0"/>
    <s v="0-12 months"/>
    <x v="3"/>
  </r>
  <r>
    <s v="CUST-00512"/>
    <n v="45"/>
    <s v="No"/>
    <s v="Yes"/>
    <s v="Yes"/>
    <n v="14"/>
    <s v="No"/>
    <s v="No phone service"/>
    <s v="Fiber optic"/>
    <x v="2"/>
    <s v="No"/>
    <s v="Mailed check"/>
    <n v="72.8"/>
    <n v="1023.29"/>
    <s v="Lahore"/>
    <s v="No"/>
    <n v="0"/>
    <s v="0-12 months"/>
    <x v="0"/>
  </r>
  <r>
    <s v="CUST-00513"/>
    <n v="38"/>
    <s v="No"/>
    <s v="No"/>
    <s v="No"/>
    <n v="32"/>
    <s v="Yes"/>
    <s v="No"/>
    <s v="No internet"/>
    <x v="0"/>
    <s v="No"/>
    <s v="Electronic check"/>
    <n v="29.6"/>
    <n v="959.23"/>
    <s v="Multan"/>
    <s v="No"/>
    <n v="0"/>
    <s v="0-12 months"/>
    <x v="3"/>
  </r>
  <r>
    <s v="CUST-00514"/>
    <n v="69"/>
    <s v="Yes"/>
    <s v="Yes"/>
    <s v="Yes"/>
    <n v="33"/>
    <s v="No"/>
    <s v="No phone service"/>
    <s v="DSL"/>
    <x v="0"/>
    <s v="No"/>
    <s v="Mailed check"/>
    <n v="67.41"/>
    <n v="2233.85"/>
    <s v="Rawalpindi"/>
    <s v="No"/>
    <n v="0"/>
    <s v="0-12 months"/>
    <x v="0"/>
  </r>
  <r>
    <s v="CUST-00515"/>
    <n v="42"/>
    <s v="No"/>
    <s v="Yes"/>
    <s v="No"/>
    <n v="33"/>
    <s v="Yes"/>
    <s v="Yes"/>
    <s v="Fiber optic"/>
    <x v="1"/>
    <s v="Yes"/>
    <s v="Mailed check"/>
    <n v="101.57"/>
    <n v="3504.44"/>
    <s v="Rawalpindi"/>
    <s v="No"/>
    <n v="0"/>
    <s v="0-12 months"/>
    <x v="2"/>
  </r>
  <r>
    <s v="CUST-00516"/>
    <n v="68"/>
    <s v="Yes"/>
    <s v="Yes"/>
    <s v="No"/>
    <n v="11"/>
    <s v="No"/>
    <s v="No phone service"/>
    <s v="No internet"/>
    <x v="2"/>
    <s v="No"/>
    <s v="Mailed check"/>
    <n v="21.99"/>
    <n v="239.64"/>
    <s v="Lahore"/>
    <s v="No"/>
    <n v="0"/>
    <s v="0-12 months"/>
    <x v="3"/>
  </r>
  <r>
    <s v="CUST-00517"/>
    <n v="70"/>
    <s v="Yes"/>
    <s v="Yes"/>
    <s v="No"/>
    <n v="65"/>
    <s v="No"/>
    <s v="No phone service"/>
    <s v="Fiber optic"/>
    <x v="0"/>
    <s v="No"/>
    <s v="Credit card"/>
    <n v="71.37"/>
    <n v="4389.71"/>
    <s v="Multan"/>
    <s v="No"/>
    <n v="0"/>
    <s v="0-12 months"/>
    <x v="0"/>
  </r>
  <r>
    <s v="CUST-00518"/>
    <n v="46"/>
    <s v="No"/>
    <s v="Yes"/>
    <s v="Yes"/>
    <n v="52"/>
    <s v="No"/>
    <s v="No phone service"/>
    <s v="Fiber optic"/>
    <x v="2"/>
    <s v="Yes"/>
    <s v="Electronic check"/>
    <n v="82.48"/>
    <n v="4398.88"/>
    <s v="Multan"/>
    <s v="No"/>
    <n v="0"/>
    <s v="0-12 months"/>
    <x v="1"/>
  </r>
  <r>
    <s v="CUST-00519"/>
    <n v="66"/>
    <s v="Yes"/>
    <s v="Yes"/>
    <s v="No"/>
    <n v="41"/>
    <s v="Yes"/>
    <s v="Yes"/>
    <s v="DSL"/>
    <x v="0"/>
    <s v="No"/>
    <s v="Bank Transfer"/>
    <n v="47.95"/>
    <n v="1945.78"/>
    <s v="Rawalpindi"/>
    <s v="Yes"/>
    <n v="1"/>
    <s v="0-12 months"/>
    <x v="3"/>
  </r>
  <r>
    <s v="CUST-00520"/>
    <n v="71"/>
    <s v="Yes"/>
    <s v="Yes"/>
    <s v="Yes"/>
    <n v="3"/>
    <s v="Yes"/>
    <s v="No"/>
    <s v="No internet"/>
    <x v="1"/>
    <s v="Yes"/>
    <s v="Electronic check"/>
    <n v="28.22"/>
    <n v="80.09"/>
    <s v="Faisalabad"/>
    <s v="No"/>
    <n v="0"/>
    <s v="0-12 months"/>
    <x v="3"/>
  </r>
  <r>
    <s v="CUST-00521"/>
    <n v="34"/>
    <s v="No"/>
    <s v="Yes"/>
    <s v="Yes"/>
    <n v="48"/>
    <s v="Yes"/>
    <s v="Yes"/>
    <s v="Fiber optic"/>
    <x v="2"/>
    <s v="No"/>
    <s v="Bank Transfer"/>
    <n v="94.71"/>
    <n v="4395.78"/>
    <s v="Peshawar"/>
    <s v="Yes"/>
    <n v="1"/>
    <s v="0-12 months"/>
    <x v="1"/>
  </r>
  <r>
    <s v="CUST-00522"/>
    <n v="70"/>
    <s v="Yes"/>
    <s v="No"/>
    <s v="No"/>
    <n v="64"/>
    <s v="No"/>
    <s v="No phone service"/>
    <s v="Fiber optic"/>
    <x v="1"/>
    <s v="Yes"/>
    <s v="Mailed check"/>
    <n v="84.15"/>
    <n v="5500.11"/>
    <s v="Rawalpindi"/>
    <s v="No"/>
    <n v="0"/>
    <s v="0-12 months"/>
    <x v="1"/>
  </r>
  <r>
    <s v="CUST-00523"/>
    <n v="68"/>
    <s v="Yes"/>
    <s v="Yes"/>
    <s v="Yes"/>
    <n v="38"/>
    <s v="Yes"/>
    <s v="No"/>
    <s v="No internet"/>
    <x v="1"/>
    <s v="No"/>
    <s v="Credit card"/>
    <n v="25.77"/>
    <n v="930.58"/>
    <s v="Peshawar"/>
    <s v="No"/>
    <n v="0"/>
    <s v="0-12 months"/>
    <x v="3"/>
  </r>
  <r>
    <s v="CUST-00524"/>
    <n v="38"/>
    <s v="No"/>
    <s v="No"/>
    <s v="Yes"/>
    <n v="50"/>
    <s v="No"/>
    <s v="No phone service"/>
    <s v="DSL"/>
    <x v="2"/>
    <s v="Yes"/>
    <s v="Electronic check"/>
    <n v="77.239999999999995"/>
    <n v="3848.53"/>
    <s v="Faisalabad"/>
    <s v="Yes"/>
    <n v="1"/>
    <s v="0-12 months"/>
    <x v="1"/>
  </r>
  <r>
    <s v="CUST-00525"/>
    <n v="60"/>
    <s v="Yes"/>
    <s v="Yes"/>
    <s v="Yes"/>
    <n v="33"/>
    <s v="No"/>
    <s v="No phone service"/>
    <s v="DSL"/>
    <x v="2"/>
    <s v="No"/>
    <s v="Bank Transfer"/>
    <n v="45.29"/>
    <n v="1564.92"/>
    <s v="Karachi"/>
    <s v="Yes"/>
    <n v="1"/>
    <s v="0-12 months"/>
    <x v="3"/>
  </r>
  <r>
    <s v="CUST-00526"/>
    <n v="34"/>
    <s v="No"/>
    <s v="Yes"/>
    <s v="No"/>
    <n v="44"/>
    <s v="Yes"/>
    <s v="Yes"/>
    <s v="No internet"/>
    <x v="0"/>
    <s v="No"/>
    <s v="Electronic check"/>
    <n v="19.399999999999999"/>
    <n v="806.91"/>
    <s v="Peshawar"/>
    <s v="Yes"/>
    <n v="1"/>
    <s v="0-12 months"/>
    <x v="3"/>
  </r>
  <r>
    <s v="CUST-00527"/>
    <n v="71"/>
    <s v="Yes"/>
    <s v="No"/>
    <s v="No"/>
    <n v="56"/>
    <s v="No"/>
    <s v="No phone service"/>
    <s v="Fiber optic"/>
    <x v="0"/>
    <s v="No"/>
    <s v="Credit card"/>
    <n v="91.79"/>
    <n v="4933.59"/>
    <s v="Rawalpindi"/>
    <s v="No"/>
    <n v="0"/>
    <s v="0-12 months"/>
    <x v="1"/>
  </r>
  <r>
    <s v="CUST-00528"/>
    <n v="66"/>
    <s v="Yes"/>
    <s v="Yes"/>
    <s v="No"/>
    <n v="7"/>
    <s v="Yes"/>
    <s v="Yes"/>
    <s v="Fiber optic"/>
    <x v="2"/>
    <s v="No"/>
    <s v="Electronic check"/>
    <n v="93.36"/>
    <n v="623.41"/>
    <s v="Rawalpindi"/>
    <s v="No"/>
    <n v="0"/>
    <s v="0-12 months"/>
    <x v="1"/>
  </r>
  <r>
    <s v="CUST-00529"/>
    <n v="20"/>
    <s v="No"/>
    <s v="No"/>
    <s v="No"/>
    <n v="72"/>
    <s v="No"/>
    <s v="No phone service"/>
    <s v="DSL"/>
    <x v="2"/>
    <s v="Yes"/>
    <s v="Electronic check"/>
    <n v="43.74"/>
    <n v="3288.42"/>
    <s v="Karachi"/>
    <s v="Yes"/>
    <n v="1"/>
    <s v="0-12 months"/>
    <x v="3"/>
  </r>
  <r>
    <s v="CUST-00530"/>
    <n v="65"/>
    <s v="Yes"/>
    <s v="No"/>
    <s v="Yes"/>
    <n v="1"/>
    <s v="Yes"/>
    <s v="No"/>
    <s v="DSL"/>
    <x v="2"/>
    <s v="No"/>
    <s v="Bank Transfer"/>
    <n v="75.489999999999995"/>
    <n v="71.2"/>
    <s v="Multan"/>
    <s v="No"/>
    <n v="0"/>
    <s v="0-12 months"/>
    <x v="1"/>
  </r>
  <r>
    <s v="CUST-00531"/>
    <n v="25"/>
    <s v="No"/>
    <s v="No"/>
    <s v="No"/>
    <n v="14"/>
    <s v="Yes"/>
    <s v="Yes"/>
    <s v="No internet"/>
    <x v="2"/>
    <s v="No"/>
    <s v="Credit card"/>
    <n v="29.46"/>
    <n v="417.1"/>
    <s v="Lahore"/>
    <s v="Yes"/>
    <n v="1"/>
    <s v="0-12 months"/>
    <x v="3"/>
  </r>
  <r>
    <s v="CUST-00532"/>
    <n v="59"/>
    <s v="No"/>
    <s v="No"/>
    <s v="No"/>
    <n v="17"/>
    <s v="Yes"/>
    <s v="No"/>
    <s v="Fiber optic"/>
    <x v="2"/>
    <s v="Yes"/>
    <s v="Bank Transfer"/>
    <n v="97.36"/>
    <n v="1675.44"/>
    <s v="Islamabad"/>
    <s v="Yes"/>
    <n v="1"/>
    <s v="0-12 months"/>
    <x v="1"/>
  </r>
  <r>
    <s v="CUST-00533"/>
    <n v="29"/>
    <s v="No"/>
    <s v="Yes"/>
    <s v="No"/>
    <n v="12"/>
    <s v="Yes"/>
    <s v="Yes"/>
    <s v="Fiber optic"/>
    <x v="0"/>
    <s v="No"/>
    <s v="Bank Transfer"/>
    <n v="117.72"/>
    <n v="1354.01"/>
    <s v="Peshawar"/>
    <s v="Yes"/>
    <n v="1"/>
    <s v="0-12 months"/>
    <x v="2"/>
  </r>
  <r>
    <s v="CUST-00534"/>
    <n v="45"/>
    <s v="No"/>
    <s v="No"/>
    <s v="Yes"/>
    <n v="46"/>
    <s v="No"/>
    <s v="No phone service"/>
    <s v="DSL"/>
    <x v="2"/>
    <s v="No"/>
    <s v="Credit card"/>
    <n v="55.52"/>
    <n v="2482.9699999999998"/>
    <s v="Lahore"/>
    <s v="No"/>
    <n v="0"/>
    <s v="0-12 months"/>
    <x v="0"/>
  </r>
  <r>
    <s v="CUST-00535"/>
    <n v="66"/>
    <s v="Yes"/>
    <s v="No"/>
    <s v="No"/>
    <n v="24"/>
    <s v="No"/>
    <s v="No phone service"/>
    <s v="Fiber optic"/>
    <x v="2"/>
    <s v="No"/>
    <s v="Mailed check"/>
    <n v="103.82"/>
    <n v="2535.8200000000002"/>
    <s v="Rawalpindi"/>
    <s v="No"/>
    <n v="0"/>
    <s v="0-12 months"/>
    <x v="2"/>
  </r>
  <r>
    <s v="CUST-00536"/>
    <n v="51"/>
    <s v="No"/>
    <s v="Yes"/>
    <s v="No"/>
    <n v="60"/>
    <s v="No"/>
    <s v="No phone service"/>
    <s v="Fiber optic"/>
    <x v="2"/>
    <s v="Yes"/>
    <s v="Bank Transfer"/>
    <n v="85.02"/>
    <n v="4947.34"/>
    <s v="Faisalabad"/>
    <s v="No"/>
    <n v="0"/>
    <s v="0-12 months"/>
    <x v="1"/>
  </r>
  <r>
    <s v="CUST-00537"/>
    <n v="21"/>
    <s v="No"/>
    <s v="Yes"/>
    <s v="Yes"/>
    <n v="66"/>
    <s v="No"/>
    <s v="No phone service"/>
    <s v="Fiber optic"/>
    <x v="2"/>
    <s v="No"/>
    <s v="Bank Transfer"/>
    <n v="98.42"/>
    <n v="6303.48"/>
    <s v="Lahore"/>
    <s v="Yes"/>
    <n v="1"/>
    <s v="0-12 months"/>
    <x v="1"/>
  </r>
  <r>
    <s v="CUST-00538"/>
    <n v="67"/>
    <s v="Yes"/>
    <s v="Yes"/>
    <s v="Yes"/>
    <n v="60"/>
    <s v="Yes"/>
    <s v="No"/>
    <s v="Fiber optic"/>
    <x v="2"/>
    <s v="No"/>
    <s v="Mailed check"/>
    <n v="84.88"/>
    <n v="5146.1000000000004"/>
    <s v="Multan"/>
    <s v="No"/>
    <n v="0"/>
    <s v="0-12 months"/>
    <x v="1"/>
  </r>
  <r>
    <s v="CUST-00539"/>
    <n v="46"/>
    <s v="No"/>
    <s v="No"/>
    <s v="No"/>
    <n v="24"/>
    <s v="Yes"/>
    <s v="No"/>
    <s v="Fiber optic"/>
    <x v="0"/>
    <s v="Yes"/>
    <s v="Credit card"/>
    <n v="70.900000000000006"/>
    <n v="1680.15"/>
    <s v="Multan"/>
    <s v="Yes"/>
    <n v="1"/>
    <s v="0-12 months"/>
    <x v="0"/>
  </r>
  <r>
    <s v="CUST-00540"/>
    <n v="48"/>
    <s v="No"/>
    <s v="No"/>
    <s v="No"/>
    <n v="63"/>
    <s v="No"/>
    <s v="No phone service"/>
    <s v="Fiber optic"/>
    <x v="0"/>
    <s v="No"/>
    <s v="Bank Transfer"/>
    <n v="74.38"/>
    <n v="4480.76"/>
    <s v="Peshawar"/>
    <s v="Yes"/>
    <n v="1"/>
    <s v="0-12 months"/>
    <x v="0"/>
  </r>
  <r>
    <s v="CUST-00541"/>
    <n v="19"/>
    <s v="No"/>
    <s v="Yes"/>
    <s v="Yes"/>
    <n v="27"/>
    <s v="Yes"/>
    <s v="No"/>
    <s v="DSL"/>
    <x v="2"/>
    <s v="Yes"/>
    <s v="Electronic check"/>
    <n v="70.790000000000006"/>
    <n v="1830.63"/>
    <s v="Lahore"/>
    <s v="No"/>
    <n v="0"/>
    <s v="0-12 months"/>
    <x v="0"/>
  </r>
  <r>
    <s v="CUST-00542"/>
    <n v="28"/>
    <s v="No"/>
    <s v="Yes"/>
    <s v="No"/>
    <n v="63"/>
    <s v="No"/>
    <s v="No phone service"/>
    <s v="DSL"/>
    <x v="0"/>
    <s v="Yes"/>
    <s v="Electronic check"/>
    <n v="73.180000000000007"/>
    <n v="4550.4399999999996"/>
    <s v="Lahore"/>
    <s v="No"/>
    <n v="0"/>
    <s v="0-12 months"/>
    <x v="0"/>
  </r>
  <r>
    <s v="CUST-00543"/>
    <n v="58"/>
    <s v="No"/>
    <s v="No"/>
    <s v="No"/>
    <n v="64"/>
    <s v="No"/>
    <s v="No phone service"/>
    <s v="DSL"/>
    <x v="2"/>
    <s v="No"/>
    <s v="Credit card"/>
    <n v="63.64"/>
    <n v="4127.45"/>
    <s v="Peshawar"/>
    <s v="No"/>
    <n v="0"/>
    <s v="0-12 months"/>
    <x v="0"/>
  </r>
  <r>
    <s v="CUST-00544"/>
    <n v="73"/>
    <s v="Yes"/>
    <s v="No"/>
    <s v="Yes"/>
    <n v="8"/>
    <s v="No"/>
    <s v="No phone service"/>
    <s v="DSL"/>
    <x v="0"/>
    <s v="Yes"/>
    <s v="Electronic check"/>
    <n v="65.930000000000007"/>
    <n v="552.07000000000005"/>
    <s v="Faisalabad"/>
    <s v="Yes"/>
    <n v="1"/>
    <s v="0-12 months"/>
    <x v="0"/>
  </r>
  <r>
    <s v="CUST-00545"/>
    <n v="59"/>
    <s v="No"/>
    <s v="No"/>
    <s v="No"/>
    <n v="56"/>
    <s v="No"/>
    <s v="No phone service"/>
    <s v="Fiber optic"/>
    <x v="0"/>
    <s v="No"/>
    <s v="Electronic check"/>
    <n v="81.61"/>
    <n v="4416.4399999999996"/>
    <s v="Islamabad"/>
    <s v="No"/>
    <n v="0"/>
    <s v="0-12 months"/>
    <x v="1"/>
  </r>
  <r>
    <s v="CUST-00546"/>
    <n v="56"/>
    <s v="No"/>
    <s v="No"/>
    <s v="Yes"/>
    <n v="38"/>
    <s v="No"/>
    <s v="No phone service"/>
    <s v="DSL"/>
    <x v="1"/>
    <s v="No"/>
    <s v="Bank Transfer"/>
    <n v="71.989999999999995"/>
    <n v="2848.72"/>
    <s v="Islamabad"/>
    <s v="No"/>
    <n v="0"/>
    <s v="0-12 months"/>
    <x v="0"/>
  </r>
  <r>
    <s v="CUST-00547"/>
    <n v="62"/>
    <s v="Yes"/>
    <s v="Yes"/>
    <s v="No"/>
    <n v="17"/>
    <s v="Yes"/>
    <s v="No"/>
    <s v="Fiber optic"/>
    <x v="2"/>
    <s v="No"/>
    <s v="Mailed check"/>
    <n v="94.69"/>
    <n v="1558.49"/>
    <s v="Lahore"/>
    <s v="No"/>
    <n v="0"/>
    <s v="0-12 months"/>
    <x v="1"/>
  </r>
  <r>
    <s v="CUST-00548"/>
    <n v="40"/>
    <s v="No"/>
    <s v="No"/>
    <s v="No"/>
    <n v="21"/>
    <s v="Yes"/>
    <s v="No"/>
    <s v="Fiber optic"/>
    <x v="2"/>
    <s v="Yes"/>
    <s v="Bank Transfer"/>
    <n v="76.03"/>
    <n v="1543.77"/>
    <s v="Islamabad"/>
    <s v="Yes"/>
    <n v="1"/>
    <s v="0-12 months"/>
    <x v="1"/>
  </r>
  <r>
    <s v="CUST-00549"/>
    <n v="68"/>
    <s v="Yes"/>
    <s v="No"/>
    <s v="Yes"/>
    <n v="72"/>
    <s v="Yes"/>
    <s v="No"/>
    <s v="Fiber optic"/>
    <x v="1"/>
    <s v="Yes"/>
    <s v="Bank Transfer"/>
    <n v="116.33"/>
    <n v="8313.27"/>
    <s v="Peshawar"/>
    <s v="No"/>
    <n v="0"/>
    <s v="0-12 months"/>
    <x v="2"/>
  </r>
  <r>
    <s v="CUST-00550"/>
    <n v="66"/>
    <s v="Yes"/>
    <s v="Yes"/>
    <s v="Yes"/>
    <n v="14"/>
    <s v="Yes"/>
    <s v="No"/>
    <s v="No internet"/>
    <x v="2"/>
    <s v="Yes"/>
    <s v="Mailed check"/>
    <n v="28.93"/>
    <n v="388.35"/>
    <s v="Rawalpindi"/>
    <s v="Yes"/>
    <n v="1"/>
    <s v="0-12 months"/>
    <x v="3"/>
  </r>
  <r>
    <s v="CUST-00551"/>
    <n v="66"/>
    <s v="Yes"/>
    <s v="No"/>
    <s v="Yes"/>
    <n v="20"/>
    <s v="No"/>
    <s v="No phone service"/>
    <s v="DSL"/>
    <x v="1"/>
    <s v="Yes"/>
    <s v="Bank Transfer"/>
    <n v="57.56"/>
    <n v="1139.56"/>
    <s v="Karachi"/>
    <s v="No"/>
    <n v="0"/>
    <s v="0-12 months"/>
    <x v="0"/>
  </r>
  <r>
    <s v="CUST-00552"/>
    <n v="71"/>
    <s v="Yes"/>
    <s v="No"/>
    <s v="No"/>
    <n v="37"/>
    <s v="Yes"/>
    <s v="Yes"/>
    <s v="DSL"/>
    <x v="0"/>
    <s v="No"/>
    <s v="Credit card"/>
    <n v="66.599999999999994"/>
    <n v="2361.1799999999998"/>
    <s v="Rawalpindi"/>
    <s v="No"/>
    <n v="0"/>
    <s v="0-12 months"/>
    <x v="0"/>
  </r>
  <r>
    <s v="CUST-00553"/>
    <n v="68"/>
    <s v="Yes"/>
    <s v="Yes"/>
    <s v="Yes"/>
    <n v="55"/>
    <s v="No"/>
    <s v="No phone service"/>
    <s v="Fiber optic"/>
    <x v="1"/>
    <s v="No"/>
    <s v="Mailed check"/>
    <n v="92.13"/>
    <n v="5231.42"/>
    <s v="Faisalabad"/>
    <s v="No"/>
    <n v="0"/>
    <s v="0-12 months"/>
    <x v="1"/>
  </r>
  <r>
    <s v="CUST-00554"/>
    <n v="22"/>
    <s v="No"/>
    <s v="Yes"/>
    <s v="No"/>
    <n v="41"/>
    <s v="Yes"/>
    <s v="No"/>
    <s v="Fiber optic"/>
    <x v="2"/>
    <s v="Yes"/>
    <s v="Bank Transfer"/>
    <n v="102.07"/>
    <n v="4387"/>
    <s v="Multan"/>
    <s v="Yes"/>
    <n v="1"/>
    <s v="0-12 months"/>
    <x v="2"/>
  </r>
  <r>
    <s v="CUST-00555"/>
    <n v="63"/>
    <s v="Yes"/>
    <s v="No"/>
    <s v="No"/>
    <n v="52"/>
    <s v="No"/>
    <s v="No phone service"/>
    <s v="No internet"/>
    <x v="0"/>
    <s v="No"/>
    <s v="Mailed check"/>
    <n v="18.09"/>
    <n v="915.82"/>
    <s v="Karachi"/>
    <s v="No"/>
    <n v="0"/>
    <s v="0-12 months"/>
    <x v="3"/>
  </r>
  <r>
    <s v="CUST-00556"/>
    <n v="62"/>
    <s v="Yes"/>
    <s v="No"/>
    <s v="No"/>
    <n v="27"/>
    <s v="No"/>
    <s v="No phone service"/>
    <s v="No internet"/>
    <x v="0"/>
    <s v="No"/>
    <s v="Bank Transfer"/>
    <n v="28.57"/>
    <n v="732.91"/>
    <s v="Rawalpindi"/>
    <s v="No"/>
    <n v="0"/>
    <s v="0-12 months"/>
    <x v="3"/>
  </r>
  <r>
    <s v="CUST-00557"/>
    <n v="64"/>
    <s v="Yes"/>
    <s v="Yes"/>
    <s v="No"/>
    <n v="28"/>
    <s v="No"/>
    <s v="No phone service"/>
    <s v="Fiber optic"/>
    <x v="2"/>
    <s v="Yes"/>
    <s v="Electronic check"/>
    <n v="114.52"/>
    <n v="3221.93"/>
    <s v="Peshawar"/>
    <s v="Yes"/>
    <n v="1"/>
    <s v="0-12 months"/>
    <x v="2"/>
  </r>
  <r>
    <s v="CUST-00558"/>
    <n v="67"/>
    <s v="Yes"/>
    <s v="No"/>
    <s v="No"/>
    <n v="65"/>
    <s v="Yes"/>
    <s v="No"/>
    <s v="Fiber optic"/>
    <x v="2"/>
    <s v="No"/>
    <s v="Electronic check"/>
    <n v="107.83"/>
    <n v="7380.15"/>
    <s v="Faisalabad"/>
    <s v="Yes"/>
    <n v="1"/>
    <s v="0-12 months"/>
    <x v="2"/>
  </r>
  <r>
    <s v="CUST-00559"/>
    <n v="65"/>
    <s v="Yes"/>
    <s v="Yes"/>
    <s v="No"/>
    <n v="44"/>
    <s v="Yes"/>
    <s v="No"/>
    <s v="No internet"/>
    <x v="2"/>
    <s v="Yes"/>
    <s v="Bank Transfer"/>
    <n v="24.24"/>
    <n v="1034.26"/>
    <s v="Faisalabad"/>
    <s v="Yes"/>
    <n v="1"/>
    <s v="0-12 months"/>
    <x v="3"/>
  </r>
  <r>
    <s v="CUST-00560"/>
    <n v="30"/>
    <s v="No"/>
    <s v="No"/>
    <s v="No"/>
    <n v="13"/>
    <s v="No"/>
    <s v="No phone service"/>
    <s v="Fiber optic"/>
    <x v="1"/>
    <s v="Yes"/>
    <s v="Electronic check"/>
    <n v="91.24"/>
    <n v="1133.47"/>
    <s v="Lahore"/>
    <s v="Yes"/>
    <n v="1"/>
    <s v="0-12 months"/>
    <x v="1"/>
  </r>
  <r>
    <s v="CUST-00561"/>
    <n v="41"/>
    <s v="No"/>
    <s v="No"/>
    <s v="No"/>
    <n v="34"/>
    <s v="No"/>
    <s v="No phone service"/>
    <s v="DSL"/>
    <x v="1"/>
    <s v="No"/>
    <s v="Bank Transfer"/>
    <n v="56.68"/>
    <n v="1849.15"/>
    <s v="Rawalpindi"/>
    <s v="No"/>
    <n v="0"/>
    <s v="0-12 months"/>
    <x v="0"/>
  </r>
  <r>
    <s v="CUST-00562"/>
    <n v="63"/>
    <s v="Yes"/>
    <s v="No"/>
    <s v="Yes"/>
    <n v="66"/>
    <s v="Yes"/>
    <s v="No"/>
    <s v="No internet"/>
    <x v="2"/>
    <s v="Yes"/>
    <s v="Bank Transfer"/>
    <n v="29.33"/>
    <n v="1905.43"/>
    <s v="Faisalabad"/>
    <s v="No"/>
    <n v="0"/>
    <s v="0-12 months"/>
    <x v="3"/>
  </r>
  <r>
    <s v="CUST-00563"/>
    <n v="72"/>
    <s v="Yes"/>
    <s v="No"/>
    <s v="Yes"/>
    <n v="16"/>
    <s v="No"/>
    <s v="No phone service"/>
    <s v="Fiber optic"/>
    <x v="2"/>
    <s v="Yes"/>
    <s v="Electronic check"/>
    <n v="85.25"/>
    <n v="1343.45"/>
    <s v="Lahore"/>
    <s v="Yes"/>
    <n v="1"/>
    <s v="0-12 months"/>
    <x v="1"/>
  </r>
  <r>
    <s v="CUST-00564"/>
    <n v="68"/>
    <s v="Yes"/>
    <s v="Yes"/>
    <s v="Yes"/>
    <n v="54"/>
    <s v="No"/>
    <s v="No phone service"/>
    <s v="Fiber optic"/>
    <x v="1"/>
    <s v="Yes"/>
    <s v="Electronic check"/>
    <n v="106.98"/>
    <n v="5431.75"/>
    <s v="Lahore"/>
    <s v="No"/>
    <n v="0"/>
    <s v="0-12 months"/>
    <x v="2"/>
  </r>
  <r>
    <s v="CUST-00565"/>
    <n v="73"/>
    <s v="Yes"/>
    <s v="Yes"/>
    <s v="No"/>
    <n v="62"/>
    <s v="No"/>
    <s v="No phone service"/>
    <s v="DSL"/>
    <x v="1"/>
    <s v="No"/>
    <s v="Credit card"/>
    <n v="68.8"/>
    <n v="4319.71"/>
    <s v="Faisalabad"/>
    <s v="No"/>
    <n v="0"/>
    <s v="0-12 months"/>
    <x v="0"/>
  </r>
  <r>
    <s v="CUST-00566"/>
    <n v="58"/>
    <s v="No"/>
    <s v="No"/>
    <s v="No"/>
    <n v="58"/>
    <s v="No"/>
    <s v="No phone service"/>
    <s v="Fiber optic"/>
    <x v="2"/>
    <s v="No"/>
    <s v="Credit card"/>
    <n v="115.01"/>
    <n v="6541.7"/>
    <s v="Multan"/>
    <s v="Yes"/>
    <n v="1"/>
    <s v="0-12 months"/>
    <x v="2"/>
  </r>
  <r>
    <s v="CUST-00567"/>
    <n v="74"/>
    <s v="Yes"/>
    <s v="No"/>
    <s v="No"/>
    <n v="12"/>
    <s v="Yes"/>
    <s v="No"/>
    <s v="No internet"/>
    <x v="0"/>
    <s v="No"/>
    <s v="Credit card"/>
    <n v="19.489999999999998"/>
    <n v="235.55"/>
    <s v="Faisalabad"/>
    <s v="Yes"/>
    <n v="1"/>
    <s v="0-12 months"/>
    <x v="3"/>
  </r>
  <r>
    <s v="CUST-00568"/>
    <n v="52"/>
    <s v="No"/>
    <s v="Yes"/>
    <s v="Yes"/>
    <n v="61"/>
    <s v="Yes"/>
    <s v="Yes"/>
    <s v="DSL"/>
    <x v="1"/>
    <s v="Yes"/>
    <s v="Mailed check"/>
    <n v="51"/>
    <n v="3001.17"/>
    <s v="Peshawar"/>
    <s v="No"/>
    <n v="0"/>
    <s v="0-12 months"/>
    <x v="0"/>
  </r>
  <r>
    <s v="CUST-00569"/>
    <n v="74"/>
    <s v="Yes"/>
    <s v="No"/>
    <s v="Yes"/>
    <n v="69"/>
    <s v="No"/>
    <s v="No phone service"/>
    <s v="DSL"/>
    <x v="0"/>
    <s v="No"/>
    <s v="Mailed check"/>
    <n v="40.93"/>
    <n v="2802.83"/>
    <s v="Peshawar"/>
    <s v="No"/>
    <n v="0"/>
    <s v="0-12 months"/>
    <x v="3"/>
  </r>
  <r>
    <s v="CUST-00570"/>
    <n v="51"/>
    <s v="No"/>
    <s v="No"/>
    <s v="No"/>
    <n v="33"/>
    <s v="Yes"/>
    <s v="No"/>
    <s v="Fiber optic"/>
    <x v="2"/>
    <s v="Yes"/>
    <s v="Electronic check"/>
    <n v="74.48"/>
    <n v="2400.86"/>
    <s v="Karachi"/>
    <s v="Yes"/>
    <n v="1"/>
    <s v="0-12 months"/>
    <x v="0"/>
  </r>
  <r>
    <s v="CUST-00571"/>
    <n v="21"/>
    <s v="No"/>
    <s v="No"/>
    <s v="Yes"/>
    <n v="4"/>
    <s v="No"/>
    <s v="No phone service"/>
    <s v="DSL"/>
    <x v="2"/>
    <s v="No"/>
    <s v="Electronic check"/>
    <n v="75.72"/>
    <n v="294.08"/>
    <s v="Lahore"/>
    <s v="No"/>
    <n v="0"/>
    <s v="0-12 months"/>
    <x v="1"/>
  </r>
  <r>
    <s v="CUST-00572"/>
    <n v="21"/>
    <s v="No"/>
    <s v="Yes"/>
    <s v="Yes"/>
    <n v="31"/>
    <s v="No"/>
    <s v="No phone service"/>
    <s v="DSL"/>
    <x v="1"/>
    <s v="No"/>
    <s v="Electronic check"/>
    <n v="58.59"/>
    <n v="1796.04"/>
    <s v="Rawalpindi"/>
    <s v="No"/>
    <n v="0"/>
    <s v="0-12 months"/>
    <x v="0"/>
  </r>
  <r>
    <s v="CUST-00573"/>
    <n v="58"/>
    <s v="No"/>
    <s v="Yes"/>
    <s v="Yes"/>
    <n v="35"/>
    <s v="Yes"/>
    <s v="Yes"/>
    <s v="DSL"/>
    <x v="0"/>
    <s v="Yes"/>
    <s v="Electronic check"/>
    <n v="56.27"/>
    <n v="1871.11"/>
    <s v="Karachi"/>
    <s v="No"/>
    <n v="0"/>
    <s v="0-12 months"/>
    <x v="0"/>
  </r>
  <r>
    <s v="CUST-00574"/>
    <n v="68"/>
    <s v="Yes"/>
    <s v="Yes"/>
    <s v="No"/>
    <n v="70"/>
    <s v="Yes"/>
    <s v="No"/>
    <s v="No internet"/>
    <x v="2"/>
    <s v="No"/>
    <s v="Electronic check"/>
    <n v="27.75"/>
    <n v="2049.9899999999998"/>
    <s v="Multan"/>
    <s v="No"/>
    <n v="0"/>
    <s v="0-12 months"/>
    <x v="3"/>
  </r>
  <r>
    <s v="CUST-00575"/>
    <n v="28"/>
    <s v="No"/>
    <s v="Yes"/>
    <s v="Yes"/>
    <n v="62"/>
    <s v="No"/>
    <s v="No phone service"/>
    <s v="Fiber optic"/>
    <x v="1"/>
    <s v="No"/>
    <s v="Mailed check"/>
    <n v="112.12"/>
    <n v="6711.83"/>
    <s v="Islamabad"/>
    <s v="No"/>
    <n v="0"/>
    <s v="0-12 months"/>
    <x v="2"/>
  </r>
  <r>
    <s v="CUST-00576"/>
    <n v="20"/>
    <s v="No"/>
    <s v="Yes"/>
    <s v="Yes"/>
    <n v="39"/>
    <s v="Yes"/>
    <s v="No"/>
    <s v="Fiber optic"/>
    <x v="0"/>
    <s v="No"/>
    <s v="Mailed check"/>
    <n v="80.540000000000006"/>
    <n v="3142.88"/>
    <s v="Multan"/>
    <s v="No"/>
    <n v="0"/>
    <s v="0-12 months"/>
    <x v="1"/>
  </r>
  <r>
    <s v="CUST-00577"/>
    <n v="39"/>
    <s v="No"/>
    <s v="No"/>
    <s v="No"/>
    <n v="35"/>
    <s v="No"/>
    <s v="No phone service"/>
    <s v="Fiber optic"/>
    <x v="2"/>
    <s v="No"/>
    <s v="Mailed check"/>
    <n v="86.42"/>
    <n v="3174.97"/>
    <s v="Lahore"/>
    <s v="Yes"/>
    <n v="1"/>
    <s v="0-12 months"/>
    <x v="1"/>
  </r>
  <r>
    <s v="CUST-00578"/>
    <n v="56"/>
    <s v="No"/>
    <s v="No"/>
    <s v="Yes"/>
    <n v="2"/>
    <s v="No"/>
    <s v="No phone service"/>
    <s v="DSL"/>
    <x v="0"/>
    <s v="No"/>
    <s v="Bank Transfer"/>
    <n v="61.53"/>
    <n v="127.3"/>
    <s v="Lahore"/>
    <s v="No"/>
    <n v="0"/>
    <s v="0-12 months"/>
    <x v="0"/>
  </r>
  <r>
    <s v="CUST-00579"/>
    <n v="52"/>
    <s v="No"/>
    <s v="Yes"/>
    <s v="No"/>
    <n v="16"/>
    <s v="No"/>
    <s v="No phone service"/>
    <s v="Fiber optic"/>
    <x v="1"/>
    <s v="No"/>
    <s v="Credit card"/>
    <n v="111.96"/>
    <n v="1858.4"/>
    <s v="Lahore"/>
    <s v="No"/>
    <n v="0"/>
    <s v="0-12 months"/>
    <x v="2"/>
  </r>
  <r>
    <s v="CUST-00580"/>
    <n v="47"/>
    <s v="No"/>
    <s v="No"/>
    <s v="Yes"/>
    <n v="57"/>
    <s v="Yes"/>
    <s v="No"/>
    <s v="Fiber optic"/>
    <x v="0"/>
    <s v="No"/>
    <s v="Electronic check"/>
    <n v="110.81"/>
    <n v="6411.09"/>
    <s v="Karachi"/>
    <s v="No"/>
    <n v="0"/>
    <s v="0-12 months"/>
    <x v="2"/>
  </r>
  <r>
    <s v="CUST-00581"/>
    <n v="32"/>
    <s v="No"/>
    <s v="No"/>
    <s v="No"/>
    <n v="5"/>
    <s v="Yes"/>
    <s v="Yes"/>
    <s v="Fiber optic"/>
    <x v="1"/>
    <s v="No"/>
    <s v="Electronic check"/>
    <n v="83.87"/>
    <n v="419.37"/>
    <s v="Karachi"/>
    <s v="Yes"/>
    <n v="1"/>
    <s v="0-12 months"/>
    <x v="1"/>
  </r>
  <r>
    <s v="CUST-00582"/>
    <n v="60"/>
    <s v="Yes"/>
    <s v="Yes"/>
    <s v="Yes"/>
    <n v="17"/>
    <s v="Yes"/>
    <s v="Yes"/>
    <s v="DSL"/>
    <x v="0"/>
    <s v="Yes"/>
    <s v="Mailed check"/>
    <n v="69.16"/>
    <n v="1143.8800000000001"/>
    <s v="Lahore"/>
    <s v="No"/>
    <n v="0"/>
    <s v="0-12 months"/>
    <x v="0"/>
  </r>
  <r>
    <s v="CUST-00583"/>
    <n v="62"/>
    <s v="Yes"/>
    <s v="No"/>
    <s v="No"/>
    <n v="1"/>
    <s v="Yes"/>
    <s v="No"/>
    <s v="No internet"/>
    <x v="2"/>
    <s v="No"/>
    <s v="Electronic check"/>
    <n v="26.16"/>
    <n v="26.06"/>
    <s v="Peshawar"/>
    <s v="Yes"/>
    <n v="1"/>
    <s v="0-12 months"/>
    <x v="3"/>
  </r>
  <r>
    <s v="CUST-00584"/>
    <n v="20"/>
    <s v="No"/>
    <s v="Yes"/>
    <s v="Yes"/>
    <n v="36"/>
    <s v="No"/>
    <s v="No phone service"/>
    <s v="No internet"/>
    <x v="2"/>
    <s v="No"/>
    <s v="Electronic check"/>
    <n v="18.98"/>
    <n v="689.17"/>
    <s v="Multan"/>
    <s v="Yes"/>
    <n v="1"/>
    <s v="0-12 months"/>
    <x v="3"/>
  </r>
  <r>
    <s v="CUST-00585"/>
    <n v="32"/>
    <s v="No"/>
    <s v="No"/>
    <s v="Yes"/>
    <n v="32"/>
    <s v="No"/>
    <s v="No phone service"/>
    <s v="Fiber optic"/>
    <x v="2"/>
    <s v="Yes"/>
    <s v="Electronic check"/>
    <n v="91.6"/>
    <n v="2763.78"/>
    <s v="Islamabad"/>
    <s v="No"/>
    <n v="0"/>
    <s v="0-12 months"/>
    <x v="1"/>
  </r>
  <r>
    <s v="CUST-00586"/>
    <n v="71"/>
    <s v="Yes"/>
    <s v="No"/>
    <s v="Yes"/>
    <n v="14"/>
    <s v="No"/>
    <s v="No phone service"/>
    <s v="DSL"/>
    <x v="1"/>
    <s v="No"/>
    <s v="Credit card"/>
    <n v="49.47"/>
    <n v="657.08"/>
    <s v="Rawalpindi"/>
    <s v="No"/>
    <n v="0"/>
    <s v="0-12 months"/>
    <x v="3"/>
  </r>
  <r>
    <s v="CUST-00587"/>
    <n v="66"/>
    <s v="Yes"/>
    <s v="Yes"/>
    <s v="No"/>
    <n v="16"/>
    <s v="Yes"/>
    <s v="No"/>
    <s v="Fiber optic"/>
    <x v="2"/>
    <s v="Yes"/>
    <s v="Bank Transfer"/>
    <n v="73.099999999999994"/>
    <n v="1212.04"/>
    <s v="Faisalabad"/>
    <s v="Yes"/>
    <n v="1"/>
    <s v="0-12 months"/>
    <x v="0"/>
  </r>
  <r>
    <s v="CUST-00588"/>
    <n v="58"/>
    <s v="No"/>
    <s v="No"/>
    <s v="Yes"/>
    <n v="14"/>
    <s v="Yes"/>
    <s v="Yes"/>
    <s v="DSL"/>
    <x v="2"/>
    <s v="Yes"/>
    <s v="Bank Transfer"/>
    <n v="56.44"/>
    <n v="824.73"/>
    <s v="Faisalabad"/>
    <s v="No"/>
    <n v="0"/>
    <s v="0-12 months"/>
    <x v="0"/>
  </r>
  <r>
    <s v="CUST-00589"/>
    <n v="18"/>
    <s v="No"/>
    <s v="No"/>
    <s v="No"/>
    <n v="60"/>
    <s v="Yes"/>
    <s v="Yes"/>
    <s v="DSL"/>
    <x v="1"/>
    <s v="Yes"/>
    <s v="Credit card"/>
    <n v="53.13"/>
    <n v="3070.16"/>
    <s v="Faisalabad"/>
    <s v="Yes"/>
    <n v="1"/>
    <s v="0-12 months"/>
    <x v="0"/>
  </r>
  <r>
    <s v="CUST-00590"/>
    <n v="63"/>
    <s v="Yes"/>
    <s v="Yes"/>
    <s v="Yes"/>
    <n v="17"/>
    <s v="No"/>
    <s v="No phone service"/>
    <s v="DSL"/>
    <x v="2"/>
    <s v="No"/>
    <s v="Bank Transfer"/>
    <n v="57.78"/>
    <n v="951.99"/>
    <s v="Lahore"/>
    <s v="No"/>
    <n v="0"/>
    <s v="0-12 months"/>
    <x v="0"/>
  </r>
  <r>
    <s v="CUST-00591"/>
    <n v="26"/>
    <s v="No"/>
    <s v="No"/>
    <s v="No"/>
    <n v="66"/>
    <s v="No"/>
    <s v="No phone service"/>
    <s v="No internet"/>
    <x v="2"/>
    <s v="Yes"/>
    <s v="Electronic check"/>
    <n v="21.7"/>
    <n v="1405.2"/>
    <s v="Lahore"/>
    <s v="Yes"/>
    <n v="1"/>
    <s v="0-12 months"/>
    <x v="3"/>
  </r>
  <r>
    <s v="CUST-00592"/>
    <n v="51"/>
    <s v="No"/>
    <s v="Yes"/>
    <s v="Yes"/>
    <n v="31"/>
    <s v="Yes"/>
    <s v="No"/>
    <s v="DSL"/>
    <x v="2"/>
    <s v="Yes"/>
    <s v="Bank Transfer"/>
    <n v="48.05"/>
    <n v="1412.4"/>
    <s v="Rawalpindi"/>
    <s v="Yes"/>
    <n v="1"/>
    <s v="0-12 months"/>
    <x v="3"/>
  </r>
  <r>
    <s v="CUST-00593"/>
    <n v="62"/>
    <s v="Yes"/>
    <s v="No"/>
    <s v="No"/>
    <n v="43"/>
    <s v="No"/>
    <s v="No phone service"/>
    <s v="DSL"/>
    <x v="2"/>
    <s v="Yes"/>
    <s v="Credit card"/>
    <n v="71.569999999999993"/>
    <n v="2908.44"/>
    <s v="Lahore"/>
    <s v="Yes"/>
    <n v="1"/>
    <s v="0-12 months"/>
    <x v="0"/>
  </r>
  <r>
    <s v="CUST-00594"/>
    <n v="58"/>
    <s v="No"/>
    <s v="Yes"/>
    <s v="Yes"/>
    <n v="60"/>
    <s v="Yes"/>
    <s v="No"/>
    <s v="DSL"/>
    <x v="0"/>
    <s v="No"/>
    <s v="Bank Transfer"/>
    <n v="55.04"/>
    <n v="3262.9"/>
    <s v="Lahore"/>
    <s v="No"/>
    <n v="0"/>
    <s v="0-12 months"/>
    <x v="0"/>
  </r>
  <r>
    <s v="CUST-00595"/>
    <n v="41"/>
    <s v="No"/>
    <s v="Yes"/>
    <s v="Yes"/>
    <n v="46"/>
    <s v="Yes"/>
    <s v="Yes"/>
    <s v="Fiber optic"/>
    <x v="2"/>
    <s v="No"/>
    <s v="Electronic check"/>
    <n v="71.48"/>
    <n v="3168.85"/>
    <s v="Islamabad"/>
    <s v="Yes"/>
    <n v="1"/>
    <s v="0-12 months"/>
    <x v="0"/>
  </r>
  <r>
    <s v="CUST-00596"/>
    <n v="64"/>
    <s v="Yes"/>
    <s v="Yes"/>
    <s v="No"/>
    <n v="71"/>
    <s v="Yes"/>
    <s v="Yes"/>
    <s v="Fiber optic"/>
    <x v="1"/>
    <s v="Yes"/>
    <s v="Electronic check"/>
    <n v="103.87"/>
    <n v="7267.62"/>
    <s v="Lahore"/>
    <s v="No"/>
    <n v="0"/>
    <s v="0-12 months"/>
    <x v="2"/>
  </r>
  <r>
    <s v="CUST-00597"/>
    <n v="39"/>
    <s v="No"/>
    <s v="Yes"/>
    <s v="No"/>
    <n v="59"/>
    <s v="No"/>
    <s v="No phone service"/>
    <s v="Fiber optic"/>
    <x v="0"/>
    <s v="No"/>
    <s v="Mailed check"/>
    <n v="73.27"/>
    <n v="4138.4799999999996"/>
    <s v="Peshawar"/>
    <s v="No"/>
    <n v="0"/>
    <s v="0-12 months"/>
    <x v="0"/>
  </r>
  <r>
    <s v="CUST-00598"/>
    <n v="30"/>
    <s v="No"/>
    <s v="Yes"/>
    <s v="No"/>
    <n v="48"/>
    <s v="No"/>
    <s v="No phone service"/>
    <s v="Fiber optic"/>
    <x v="1"/>
    <s v="Yes"/>
    <s v="Mailed check"/>
    <n v="108.15"/>
    <n v="5245.6"/>
    <s v="Islamabad"/>
    <s v="No"/>
    <n v="0"/>
    <s v="0-12 months"/>
    <x v="2"/>
  </r>
  <r>
    <s v="CUST-00599"/>
    <n v="68"/>
    <s v="Yes"/>
    <s v="Yes"/>
    <s v="No"/>
    <n v="32"/>
    <s v="No"/>
    <s v="No phone service"/>
    <s v="Fiber optic"/>
    <x v="1"/>
    <s v="No"/>
    <s v="Electronic check"/>
    <n v="74.069999999999993"/>
    <n v="2361.9"/>
    <s v="Lahore"/>
    <s v="No"/>
    <n v="0"/>
    <s v="0-12 months"/>
    <x v="0"/>
  </r>
  <r>
    <s v="CUST-00600"/>
    <n v="28"/>
    <s v="No"/>
    <s v="No"/>
    <s v="No"/>
    <n v="64"/>
    <s v="Yes"/>
    <s v="Yes"/>
    <s v="DSL"/>
    <x v="2"/>
    <s v="No"/>
    <s v="Bank Transfer"/>
    <n v="59.79"/>
    <n v="3720.18"/>
    <s v="Peshawar"/>
    <s v="No"/>
    <n v="0"/>
    <s v="0-12 months"/>
    <x v="0"/>
  </r>
  <r>
    <s v="CUST-00601"/>
    <n v="55"/>
    <s v="No"/>
    <s v="Yes"/>
    <s v="Yes"/>
    <n v="29"/>
    <s v="No"/>
    <s v="No phone service"/>
    <s v="No internet"/>
    <x v="1"/>
    <s v="No"/>
    <s v="Electronic check"/>
    <n v="23.1"/>
    <n v="660.02"/>
    <s v="Peshawar"/>
    <s v="Yes"/>
    <n v="1"/>
    <s v="0-12 months"/>
    <x v="3"/>
  </r>
  <r>
    <s v="CUST-00602"/>
    <n v="41"/>
    <s v="No"/>
    <s v="No"/>
    <s v="Yes"/>
    <n v="18"/>
    <s v="No"/>
    <s v="No phone service"/>
    <s v="DSL"/>
    <x v="2"/>
    <s v="No"/>
    <s v="Electronic check"/>
    <n v="41.65"/>
    <n v="750.8"/>
    <s v="Rawalpindi"/>
    <s v="Yes"/>
    <n v="1"/>
    <s v="0-12 months"/>
    <x v="3"/>
  </r>
  <r>
    <s v="CUST-00603"/>
    <n v="47"/>
    <s v="No"/>
    <s v="No"/>
    <s v="No"/>
    <n v="48"/>
    <s v="No"/>
    <s v="No phone service"/>
    <s v="No internet"/>
    <x v="2"/>
    <s v="Yes"/>
    <s v="Electronic check"/>
    <n v="20.81"/>
    <n v="1016.3"/>
    <s v="Lahore"/>
    <s v="Yes"/>
    <n v="1"/>
    <s v="0-12 months"/>
    <x v="3"/>
  </r>
  <r>
    <s v="CUST-00604"/>
    <n v="36"/>
    <s v="No"/>
    <s v="Yes"/>
    <s v="No"/>
    <n v="30"/>
    <s v="Yes"/>
    <s v="No"/>
    <s v="Fiber optic"/>
    <x v="2"/>
    <s v="No"/>
    <s v="Electronic check"/>
    <n v="86.46"/>
    <n v="2532.39"/>
    <s v="Multan"/>
    <s v="No"/>
    <n v="0"/>
    <s v="0-12 months"/>
    <x v="1"/>
  </r>
  <r>
    <s v="CUST-00605"/>
    <n v="72"/>
    <s v="Yes"/>
    <s v="No"/>
    <s v="Yes"/>
    <n v="18"/>
    <s v="No"/>
    <s v="No phone service"/>
    <s v="No internet"/>
    <x v="2"/>
    <s v="No"/>
    <s v="Electronic check"/>
    <n v="22.16"/>
    <n v="422.66"/>
    <s v="Peshawar"/>
    <s v="No"/>
    <n v="0"/>
    <s v="0-12 months"/>
    <x v="3"/>
  </r>
  <r>
    <s v="CUST-00606"/>
    <n v="55"/>
    <s v="No"/>
    <s v="Yes"/>
    <s v="No"/>
    <n v="66"/>
    <s v="Yes"/>
    <s v="No"/>
    <s v="No internet"/>
    <x v="2"/>
    <s v="Yes"/>
    <s v="Credit card"/>
    <n v="24.19"/>
    <n v="1651.33"/>
    <s v="Multan"/>
    <s v="No"/>
    <n v="0"/>
    <s v="0-12 months"/>
    <x v="3"/>
  </r>
  <r>
    <s v="CUST-00607"/>
    <n v="70"/>
    <s v="Yes"/>
    <s v="No"/>
    <s v="No"/>
    <n v="11"/>
    <s v="Yes"/>
    <s v="No"/>
    <s v="Fiber optic"/>
    <x v="1"/>
    <s v="No"/>
    <s v="Electronic check"/>
    <n v="92.5"/>
    <n v="1024.6400000000001"/>
    <s v="Faisalabad"/>
    <s v="Yes"/>
    <n v="1"/>
    <s v="0-12 months"/>
    <x v="1"/>
  </r>
  <r>
    <s v="CUST-00608"/>
    <n v="73"/>
    <s v="Yes"/>
    <s v="Yes"/>
    <s v="No"/>
    <n v="2"/>
    <s v="No"/>
    <s v="No phone service"/>
    <s v="DSL"/>
    <x v="2"/>
    <s v="No"/>
    <s v="Credit card"/>
    <n v="70.11"/>
    <n v="144.63999999999999"/>
    <s v="Islamabad"/>
    <s v="No"/>
    <n v="0"/>
    <s v="0-12 months"/>
    <x v="0"/>
  </r>
  <r>
    <s v="CUST-00609"/>
    <n v="38"/>
    <s v="No"/>
    <s v="Yes"/>
    <s v="Yes"/>
    <n v="18"/>
    <s v="No"/>
    <s v="No phone service"/>
    <s v="Fiber optic"/>
    <x v="0"/>
    <s v="No"/>
    <s v="Mailed check"/>
    <n v="80.209999999999994"/>
    <n v="1424.83"/>
    <s v="Karachi"/>
    <s v="No"/>
    <n v="0"/>
    <s v="0-12 months"/>
    <x v="1"/>
  </r>
  <r>
    <s v="CUST-00610"/>
    <n v="48"/>
    <s v="No"/>
    <s v="Yes"/>
    <s v="No"/>
    <n v="58"/>
    <s v="No"/>
    <s v="No phone service"/>
    <s v="DSL"/>
    <x v="2"/>
    <s v="Yes"/>
    <s v="Bank Transfer"/>
    <n v="47.11"/>
    <n v="2839.43"/>
    <s v="Lahore"/>
    <s v="No"/>
    <n v="0"/>
    <s v="0-12 months"/>
    <x v="3"/>
  </r>
  <r>
    <s v="CUST-00611"/>
    <n v="29"/>
    <s v="No"/>
    <s v="Yes"/>
    <s v="Yes"/>
    <n v="50"/>
    <s v="Yes"/>
    <s v="Yes"/>
    <s v="Fiber optic"/>
    <x v="2"/>
    <s v="No"/>
    <s v="Electronic check"/>
    <n v="95.93"/>
    <n v="4607.6099999999997"/>
    <s v="Rawalpindi"/>
    <s v="No"/>
    <n v="0"/>
    <s v="0-12 months"/>
    <x v="1"/>
  </r>
  <r>
    <s v="CUST-00612"/>
    <n v="43"/>
    <s v="No"/>
    <s v="Yes"/>
    <s v="Yes"/>
    <n v="17"/>
    <s v="No"/>
    <s v="No phone service"/>
    <s v="DSL"/>
    <x v="0"/>
    <s v="No"/>
    <s v="Mailed check"/>
    <n v="74.63"/>
    <n v="1212.3699999999999"/>
    <s v="Rawalpindi"/>
    <s v="No"/>
    <n v="0"/>
    <s v="0-12 months"/>
    <x v="0"/>
  </r>
  <r>
    <s v="CUST-00613"/>
    <n v="70"/>
    <s v="Yes"/>
    <s v="No"/>
    <s v="Yes"/>
    <n v="40"/>
    <s v="No"/>
    <s v="No phone service"/>
    <s v="DSL"/>
    <x v="2"/>
    <s v="Yes"/>
    <s v="Mailed check"/>
    <n v="57.83"/>
    <n v="2403.3000000000002"/>
    <s v="Karachi"/>
    <s v="No"/>
    <n v="0"/>
    <s v="0-12 months"/>
    <x v="0"/>
  </r>
  <r>
    <s v="CUST-00614"/>
    <n v="51"/>
    <s v="No"/>
    <s v="No"/>
    <s v="No"/>
    <n v="59"/>
    <s v="Yes"/>
    <s v="No"/>
    <s v="DSL"/>
    <x v="2"/>
    <s v="No"/>
    <s v="Electronic check"/>
    <n v="73.709999999999994"/>
    <n v="4501.46"/>
    <s v="Peshawar"/>
    <s v="No"/>
    <n v="0"/>
    <s v="0-12 months"/>
    <x v="0"/>
  </r>
  <r>
    <s v="CUST-00615"/>
    <n v="69"/>
    <s v="Yes"/>
    <s v="Yes"/>
    <s v="No"/>
    <n v="32"/>
    <s v="No"/>
    <s v="No phone service"/>
    <s v="Fiber optic"/>
    <x v="2"/>
    <s v="Yes"/>
    <s v="Bank Transfer"/>
    <n v="74.78"/>
    <n v="2450"/>
    <s v="Peshawar"/>
    <s v="Yes"/>
    <n v="1"/>
    <s v="0-12 months"/>
    <x v="0"/>
  </r>
  <r>
    <s v="CUST-00616"/>
    <n v="28"/>
    <s v="No"/>
    <s v="No"/>
    <s v="No"/>
    <n v="9"/>
    <s v="Yes"/>
    <s v="No"/>
    <s v="DSL"/>
    <x v="2"/>
    <s v="Yes"/>
    <s v="Mailed check"/>
    <n v="43.06"/>
    <n v="369.18"/>
    <s v="Islamabad"/>
    <s v="No"/>
    <n v="0"/>
    <s v="0-12 months"/>
    <x v="3"/>
  </r>
  <r>
    <s v="CUST-00617"/>
    <n v="44"/>
    <s v="No"/>
    <s v="No"/>
    <s v="Yes"/>
    <n v="33"/>
    <s v="Yes"/>
    <s v="No"/>
    <s v="Fiber optic"/>
    <x v="2"/>
    <s v="No"/>
    <s v="Credit card"/>
    <n v="107.3"/>
    <n v="3692.07"/>
    <s v="Lahore"/>
    <s v="Yes"/>
    <n v="1"/>
    <s v="0-12 months"/>
    <x v="2"/>
  </r>
  <r>
    <s v="CUST-00618"/>
    <n v="34"/>
    <s v="No"/>
    <s v="Yes"/>
    <s v="Yes"/>
    <n v="42"/>
    <s v="No"/>
    <s v="No phone service"/>
    <s v="DSL"/>
    <x v="2"/>
    <s v="Yes"/>
    <s v="Electronic check"/>
    <n v="66.28"/>
    <n v="2855.11"/>
    <s v="Rawalpindi"/>
    <s v="No"/>
    <n v="0"/>
    <s v="0-12 months"/>
    <x v="0"/>
  </r>
  <r>
    <s v="CUST-00619"/>
    <n v="70"/>
    <s v="Yes"/>
    <s v="No"/>
    <s v="Yes"/>
    <n v="22"/>
    <s v="Yes"/>
    <s v="Yes"/>
    <s v="No internet"/>
    <x v="2"/>
    <s v="No"/>
    <s v="Electronic check"/>
    <n v="26.06"/>
    <n v="539.69000000000005"/>
    <s v="Rawalpindi"/>
    <s v="Yes"/>
    <n v="1"/>
    <s v="0-12 months"/>
    <x v="3"/>
  </r>
  <r>
    <s v="CUST-00620"/>
    <n v="40"/>
    <s v="No"/>
    <s v="Yes"/>
    <s v="Yes"/>
    <n v="5"/>
    <s v="Yes"/>
    <s v="No"/>
    <s v="No internet"/>
    <x v="2"/>
    <s v="Yes"/>
    <s v="Credit card"/>
    <n v="21.7"/>
    <n v="102.67"/>
    <s v="Peshawar"/>
    <s v="Yes"/>
    <n v="1"/>
    <s v="0-12 months"/>
    <x v="3"/>
  </r>
  <r>
    <s v="CUST-00621"/>
    <n v="42"/>
    <s v="No"/>
    <s v="Yes"/>
    <s v="Yes"/>
    <n v="48"/>
    <s v="Yes"/>
    <s v="Yes"/>
    <s v="No internet"/>
    <x v="2"/>
    <s v="Yes"/>
    <s v="Electronic check"/>
    <n v="20.309999999999999"/>
    <n v="994.64"/>
    <s v="Lahore"/>
    <s v="Yes"/>
    <n v="1"/>
    <s v="0-12 months"/>
    <x v="3"/>
  </r>
  <r>
    <s v="CUST-00622"/>
    <n v="69"/>
    <s v="Yes"/>
    <s v="Yes"/>
    <s v="Yes"/>
    <n v="6"/>
    <s v="Yes"/>
    <s v="No"/>
    <s v="Fiber optic"/>
    <x v="2"/>
    <s v="Yes"/>
    <s v="Bank Transfer"/>
    <n v="116.72"/>
    <n v="691.5"/>
    <s v="Karachi"/>
    <s v="Yes"/>
    <n v="1"/>
    <s v="0-12 months"/>
    <x v="2"/>
  </r>
  <r>
    <s v="CUST-00623"/>
    <n v="31"/>
    <s v="No"/>
    <s v="Yes"/>
    <s v="No"/>
    <n v="42"/>
    <s v="No"/>
    <s v="No phone service"/>
    <s v="Fiber optic"/>
    <x v="0"/>
    <s v="Yes"/>
    <s v="Credit card"/>
    <n v="92.94"/>
    <n v="3700.19"/>
    <s v="Multan"/>
    <s v="No"/>
    <n v="0"/>
    <s v="0-12 months"/>
    <x v="1"/>
  </r>
  <r>
    <s v="CUST-00624"/>
    <n v="57"/>
    <s v="No"/>
    <s v="No"/>
    <s v="Yes"/>
    <n v="9"/>
    <s v="No"/>
    <s v="No phone service"/>
    <s v="No internet"/>
    <x v="2"/>
    <s v="No"/>
    <s v="Mailed check"/>
    <n v="19.22"/>
    <n v="173.73"/>
    <s v="Peshawar"/>
    <s v="No"/>
    <n v="0"/>
    <s v="0-12 months"/>
    <x v="3"/>
  </r>
  <r>
    <s v="CUST-00625"/>
    <n v="54"/>
    <s v="No"/>
    <s v="Yes"/>
    <s v="No"/>
    <n v="13"/>
    <s v="No"/>
    <s v="No phone service"/>
    <s v="DSL"/>
    <x v="0"/>
    <s v="Yes"/>
    <s v="Electronic check"/>
    <n v="65.41"/>
    <n v="889.51"/>
    <s v="Peshawar"/>
    <s v="No"/>
    <n v="0"/>
    <s v="0-12 months"/>
    <x v="0"/>
  </r>
  <r>
    <s v="CUST-00626"/>
    <n v="60"/>
    <s v="Yes"/>
    <s v="No"/>
    <s v="Yes"/>
    <n v="43"/>
    <s v="No"/>
    <s v="No phone service"/>
    <s v="Fiber optic"/>
    <x v="2"/>
    <s v="Yes"/>
    <s v="Credit card"/>
    <n v="105.23"/>
    <n v="4260.6099999999997"/>
    <s v="Peshawar"/>
    <s v="Yes"/>
    <n v="1"/>
    <s v="0-12 months"/>
    <x v="2"/>
  </r>
  <r>
    <s v="CUST-00627"/>
    <n v="75"/>
    <s v="Yes"/>
    <s v="Yes"/>
    <s v="No"/>
    <n v="31"/>
    <s v="Yes"/>
    <s v="No"/>
    <s v="DSL"/>
    <x v="2"/>
    <s v="No"/>
    <s v="Credit card"/>
    <n v="48.08"/>
    <n v="1468.26"/>
    <s v="Karachi"/>
    <s v="No"/>
    <n v="0"/>
    <s v="0-12 months"/>
    <x v="3"/>
  </r>
  <r>
    <s v="CUST-00628"/>
    <n v="64"/>
    <s v="Yes"/>
    <s v="No"/>
    <s v="No"/>
    <n v="18"/>
    <s v="Yes"/>
    <s v="No"/>
    <s v="Fiber optic"/>
    <x v="1"/>
    <s v="No"/>
    <s v="Bank Transfer"/>
    <n v="81.45"/>
    <n v="1507.07"/>
    <s v="Karachi"/>
    <s v="No"/>
    <n v="0"/>
    <s v="0-12 months"/>
    <x v="1"/>
  </r>
  <r>
    <s v="CUST-00629"/>
    <n v="52"/>
    <s v="No"/>
    <s v="Yes"/>
    <s v="Yes"/>
    <n v="29"/>
    <s v="No"/>
    <s v="No phone service"/>
    <s v="DSL"/>
    <x v="2"/>
    <s v="Yes"/>
    <s v="Credit card"/>
    <n v="40.24"/>
    <n v="1218.75"/>
    <s v="Karachi"/>
    <s v="Yes"/>
    <n v="1"/>
    <s v="0-12 months"/>
    <x v="3"/>
  </r>
  <r>
    <s v="CUST-00630"/>
    <n v="21"/>
    <s v="No"/>
    <s v="Yes"/>
    <s v="Yes"/>
    <n v="17"/>
    <s v="Yes"/>
    <s v="Yes"/>
    <s v="Fiber optic"/>
    <x v="2"/>
    <s v="No"/>
    <s v="Electronic check"/>
    <n v="106.08"/>
    <n v="1748.16"/>
    <s v="Karachi"/>
    <s v="Yes"/>
    <n v="1"/>
    <s v="0-12 months"/>
    <x v="2"/>
  </r>
  <r>
    <s v="CUST-00631"/>
    <n v="37"/>
    <s v="No"/>
    <s v="No"/>
    <s v="No"/>
    <n v="26"/>
    <s v="No"/>
    <s v="No phone service"/>
    <s v="Fiber optic"/>
    <x v="2"/>
    <s v="No"/>
    <s v="Credit card"/>
    <n v="78.39"/>
    <n v="2023.8"/>
    <s v="Multan"/>
    <s v="No"/>
    <n v="0"/>
    <s v="0-12 months"/>
    <x v="1"/>
  </r>
  <r>
    <s v="CUST-00632"/>
    <n v="45"/>
    <s v="No"/>
    <s v="Yes"/>
    <s v="No"/>
    <n v="3"/>
    <s v="No"/>
    <s v="No phone service"/>
    <s v="DSL"/>
    <x v="1"/>
    <s v="No"/>
    <s v="Credit card"/>
    <n v="46.11"/>
    <n v="142.09"/>
    <s v="Rawalpindi"/>
    <s v="Yes"/>
    <n v="1"/>
    <s v="0-12 months"/>
    <x v="3"/>
  </r>
  <r>
    <s v="CUST-00633"/>
    <n v="37"/>
    <s v="No"/>
    <s v="No"/>
    <s v="No"/>
    <n v="49"/>
    <s v="No"/>
    <s v="No phone service"/>
    <s v="DSL"/>
    <x v="2"/>
    <s v="Yes"/>
    <s v="Bank Transfer"/>
    <n v="47.83"/>
    <n v="2460.6999999999998"/>
    <s v="Peshawar"/>
    <s v="Yes"/>
    <n v="1"/>
    <s v="0-12 months"/>
    <x v="3"/>
  </r>
  <r>
    <s v="CUST-00634"/>
    <n v="50"/>
    <s v="No"/>
    <s v="No"/>
    <s v="No"/>
    <n v="52"/>
    <s v="No"/>
    <s v="No phone service"/>
    <s v="No internet"/>
    <x v="1"/>
    <s v="No"/>
    <s v="Credit card"/>
    <n v="21.69"/>
    <n v="1193.8599999999999"/>
    <s v="Lahore"/>
    <s v="Yes"/>
    <n v="1"/>
    <s v="0-12 months"/>
    <x v="3"/>
  </r>
  <r>
    <s v="CUST-00635"/>
    <n v="25"/>
    <s v="No"/>
    <s v="No"/>
    <s v="Yes"/>
    <n v="25"/>
    <s v="No"/>
    <s v="No phone service"/>
    <s v="DSL"/>
    <x v="0"/>
    <s v="No"/>
    <s v="Credit card"/>
    <n v="59.54"/>
    <n v="1522.17"/>
    <s v="Multan"/>
    <s v="No"/>
    <n v="0"/>
    <s v="0-12 months"/>
    <x v="0"/>
  </r>
  <r>
    <s v="CUST-00636"/>
    <n v="42"/>
    <s v="No"/>
    <s v="No"/>
    <s v="Yes"/>
    <n v="32"/>
    <s v="No"/>
    <s v="No phone service"/>
    <s v="DSL"/>
    <x v="0"/>
    <s v="Yes"/>
    <s v="Bank Transfer"/>
    <n v="65.81"/>
    <n v="2045.61"/>
    <s v="Multan"/>
    <s v="No"/>
    <n v="0"/>
    <s v="0-12 months"/>
    <x v="0"/>
  </r>
  <r>
    <s v="CUST-00637"/>
    <n v="27"/>
    <s v="No"/>
    <s v="No"/>
    <s v="Yes"/>
    <n v="21"/>
    <s v="Yes"/>
    <s v="No"/>
    <s v="Fiber optic"/>
    <x v="1"/>
    <s v="No"/>
    <s v="Bank Transfer"/>
    <n v="118.71"/>
    <n v="2367.37"/>
    <s v="Rawalpindi"/>
    <s v="No"/>
    <n v="0"/>
    <s v="0-12 months"/>
    <x v="2"/>
  </r>
  <r>
    <s v="CUST-00638"/>
    <n v="28"/>
    <s v="No"/>
    <s v="No"/>
    <s v="No"/>
    <n v="39"/>
    <s v="No"/>
    <s v="No phone service"/>
    <s v="DSL"/>
    <x v="0"/>
    <s v="No"/>
    <s v="Bank Transfer"/>
    <n v="76.97"/>
    <n v="3134.9"/>
    <s v="Faisalabad"/>
    <s v="Yes"/>
    <n v="1"/>
    <s v="0-12 months"/>
    <x v="1"/>
  </r>
  <r>
    <s v="CUST-00639"/>
    <n v="67"/>
    <s v="Yes"/>
    <s v="No"/>
    <s v="Yes"/>
    <n v="35"/>
    <s v="No"/>
    <s v="No phone service"/>
    <s v="DSL"/>
    <x v="0"/>
    <s v="Yes"/>
    <s v="Mailed check"/>
    <n v="72.66"/>
    <n v="2391"/>
    <s v="Multan"/>
    <s v="Yes"/>
    <n v="1"/>
    <s v="0-12 months"/>
    <x v="0"/>
  </r>
  <r>
    <s v="CUST-00640"/>
    <n v="44"/>
    <s v="No"/>
    <s v="No"/>
    <s v="No"/>
    <n v="56"/>
    <s v="No"/>
    <s v="No phone service"/>
    <s v="Fiber optic"/>
    <x v="2"/>
    <s v="Yes"/>
    <s v="Electronic check"/>
    <n v="79.099999999999994"/>
    <n v="4667.99"/>
    <s v="Peshawar"/>
    <s v="Yes"/>
    <n v="1"/>
    <s v="0-12 months"/>
    <x v="1"/>
  </r>
  <r>
    <s v="CUST-00641"/>
    <n v="31"/>
    <s v="No"/>
    <s v="Yes"/>
    <s v="Yes"/>
    <n v="8"/>
    <s v="Yes"/>
    <s v="Yes"/>
    <s v="DSL"/>
    <x v="1"/>
    <s v="No"/>
    <s v="Credit card"/>
    <n v="76.52"/>
    <n v="583.45000000000005"/>
    <s v="Lahore"/>
    <s v="No"/>
    <n v="0"/>
    <s v="0-12 months"/>
    <x v="1"/>
  </r>
  <r>
    <s v="CUST-00642"/>
    <n v="36"/>
    <s v="No"/>
    <s v="Yes"/>
    <s v="No"/>
    <n v="16"/>
    <s v="No"/>
    <s v="No phone service"/>
    <s v="Fiber optic"/>
    <x v="2"/>
    <s v="Yes"/>
    <s v="Credit card"/>
    <n v="103.64"/>
    <n v="1578.81"/>
    <s v="Peshawar"/>
    <s v="Yes"/>
    <n v="1"/>
    <s v="0-12 months"/>
    <x v="2"/>
  </r>
  <r>
    <s v="CUST-00643"/>
    <n v="18"/>
    <s v="No"/>
    <s v="Yes"/>
    <s v="Yes"/>
    <n v="28"/>
    <s v="Yes"/>
    <s v="No"/>
    <s v="DSL"/>
    <x v="2"/>
    <s v="No"/>
    <s v="Mailed check"/>
    <n v="58.93"/>
    <n v="1617.77"/>
    <s v="Islamabad"/>
    <s v="No"/>
    <n v="0"/>
    <s v="0-12 months"/>
    <x v="0"/>
  </r>
  <r>
    <s v="CUST-00644"/>
    <n v="61"/>
    <s v="Yes"/>
    <s v="No"/>
    <s v="No"/>
    <n v="31"/>
    <s v="No"/>
    <s v="No phone service"/>
    <s v="No internet"/>
    <x v="2"/>
    <s v="Yes"/>
    <s v="Mailed check"/>
    <n v="28.48"/>
    <n v="915.33"/>
    <s v="Peshawar"/>
    <s v="Yes"/>
    <n v="1"/>
    <s v="0-12 months"/>
    <x v="3"/>
  </r>
  <r>
    <s v="CUST-00645"/>
    <n v="62"/>
    <s v="Yes"/>
    <s v="No"/>
    <s v="Yes"/>
    <n v="4"/>
    <s v="No"/>
    <s v="No phone service"/>
    <s v="DSL"/>
    <x v="1"/>
    <s v="Yes"/>
    <s v="Credit card"/>
    <n v="64.73"/>
    <n v="263.86"/>
    <s v="Rawalpindi"/>
    <s v="No"/>
    <n v="0"/>
    <s v="0-12 months"/>
    <x v="0"/>
  </r>
  <r>
    <s v="CUST-00646"/>
    <n v="60"/>
    <s v="Yes"/>
    <s v="Yes"/>
    <s v="Yes"/>
    <n v="42"/>
    <s v="No"/>
    <s v="No phone service"/>
    <s v="Fiber optic"/>
    <x v="1"/>
    <s v="No"/>
    <s v="Bank Transfer"/>
    <n v="81.680000000000007"/>
    <n v="3424.19"/>
    <s v="Peshawar"/>
    <s v="No"/>
    <n v="0"/>
    <s v="0-12 months"/>
    <x v="1"/>
  </r>
  <r>
    <s v="CUST-00647"/>
    <n v="23"/>
    <s v="No"/>
    <s v="No"/>
    <s v="No"/>
    <n v="61"/>
    <s v="Yes"/>
    <s v="No"/>
    <s v="No internet"/>
    <x v="2"/>
    <s v="Yes"/>
    <s v="Bank Transfer"/>
    <n v="28.44"/>
    <n v="1813.16"/>
    <s v="Multan"/>
    <s v="No"/>
    <n v="0"/>
    <s v="0-12 months"/>
    <x v="3"/>
  </r>
  <r>
    <s v="CUST-00648"/>
    <n v="50"/>
    <s v="No"/>
    <s v="Yes"/>
    <s v="Yes"/>
    <n v="64"/>
    <s v="No"/>
    <s v="No phone service"/>
    <s v="DSL"/>
    <x v="1"/>
    <s v="No"/>
    <s v="Electronic check"/>
    <n v="57.85"/>
    <n v="3531.65"/>
    <s v="Karachi"/>
    <s v="No"/>
    <n v="0"/>
    <s v="0-12 months"/>
    <x v="0"/>
  </r>
  <r>
    <s v="CUST-00649"/>
    <n v="33"/>
    <s v="No"/>
    <s v="Yes"/>
    <s v="Yes"/>
    <n v="12"/>
    <s v="Yes"/>
    <s v="Yes"/>
    <s v="Fiber optic"/>
    <x v="1"/>
    <s v="No"/>
    <s v="Bank Transfer"/>
    <n v="81.02"/>
    <n v="943.96"/>
    <s v="Multan"/>
    <s v="No"/>
    <n v="0"/>
    <s v="0-12 months"/>
    <x v="1"/>
  </r>
  <r>
    <s v="CUST-00650"/>
    <n v="25"/>
    <s v="No"/>
    <s v="Yes"/>
    <s v="No"/>
    <n v="12"/>
    <s v="No"/>
    <s v="No phone service"/>
    <s v="DSL"/>
    <x v="1"/>
    <s v="Yes"/>
    <s v="Bank Transfer"/>
    <n v="55.08"/>
    <n v="678.21"/>
    <s v="Rawalpindi"/>
    <s v="No"/>
    <n v="0"/>
    <s v="0-12 months"/>
    <x v="0"/>
  </r>
  <r>
    <s v="CUST-00651"/>
    <n v="59"/>
    <s v="No"/>
    <s v="No"/>
    <s v="Yes"/>
    <n v="29"/>
    <s v="No"/>
    <s v="No phone service"/>
    <s v="Fiber optic"/>
    <x v="2"/>
    <s v="Yes"/>
    <s v="Electronic check"/>
    <n v="99.61"/>
    <n v="2780.59"/>
    <s v="Faisalabad"/>
    <s v="No"/>
    <n v="0"/>
    <s v="0-12 months"/>
    <x v="1"/>
  </r>
  <r>
    <s v="CUST-00652"/>
    <n v="41"/>
    <s v="No"/>
    <s v="Yes"/>
    <s v="No"/>
    <n v="49"/>
    <s v="Yes"/>
    <s v="Yes"/>
    <s v="DSL"/>
    <x v="0"/>
    <s v="Yes"/>
    <s v="Bank Transfer"/>
    <n v="79.19"/>
    <n v="3796.33"/>
    <s v="Multan"/>
    <s v="No"/>
    <n v="0"/>
    <s v="0-12 months"/>
    <x v="1"/>
  </r>
  <r>
    <s v="CUST-00653"/>
    <n v="68"/>
    <s v="Yes"/>
    <s v="Yes"/>
    <s v="Yes"/>
    <n v="14"/>
    <s v="No"/>
    <s v="No phone service"/>
    <s v="Fiber optic"/>
    <x v="2"/>
    <s v="No"/>
    <s v="Bank Transfer"/>
    <n v="94.99"/>
    <n v="1322.8"/>
    <s v="Karachi"/>
    <s v="No"/>
    <n v="0"/>
    <s v="0-12 months"/>
    <x v="1"/>
  </r>
  <r>
    <s v="CUST-00654"/>
    <n v="65"/>
    <s v="Yes"/>
    <s v="Yes"/>
    <s v="No"/>
    <n v="40"/>
    <s v="Yes"/>
    <s v="Yes"/>
    <s v="DSL"/>
    <x v="1"/>
    <s v="No"/>
    <s v="Bank Transfer"/>
    <n v="48.63"/>
    <n v="1896.53"/>
    <s v="Lahore"/>
    <s v="No"/>
    <n v="0"/>
    <s v="0-12 months"/>
    <x v="3"/>
  </r>
  <r>
    <s v="CUST-00655"/>
    <n v="69"/>
    <s v="Yes"/>
    <s v="No"/>
    <s v="Yes"/>
    <n v="27"/>
    <s v="Yes"/>
    <s v="No"/>
    <s v="No internet"/>
    <x v="2"/>
    <s v="Yes"/>
    <s v="Mailed check"/>
    <n v="26.73"/>
    <n v="704.31"/>
    <s v="Peshawar"/>
    <s v="No"/>
    <n v="0"/>
    <s v="0-12 months"/>
    <x v="3"/>
  </r>
  <r>
    <s v="CUST-00656"/>
    <n v="28"/>
    <s v="No"/>
    <s v="Yes"/>
    <s v="No"/>
    <n v="44"/>
    <s v="No"/>
    <s v="No phone service"/>
    <s v="Fiber optic"/>
    <x v="1"/>
    <s v="No"/>
    <s v="Credit card"/>
    <n v="96.39"/>
    <n v="4130.74"/>
    <s v="Karachi"/>
    <s v="No"/>
    <n v="0"/>
    <s v="0-12 months"/>
    <x v="1"/>
  </r>
  <r>
    <s v="CUST-00657"/>
    <n v="62"/>
    <s v="Yes"/>
    <s v="No"/>
    <s v="Yes"/>
    <n v="17"/>
    <s v="Yes"/>
    <s v="No"/>
    <s v="Fiber optic"/>
    <x v="0"/>
    <s v="No"/>
    <s v="Bank Transfer"/>
    <n v="98.86"/>
    <n v="1668.9"/>
    <s v="Karachi"/>
    <s v="No"/>
    <n v="0"/>
    <s v="0-12 months"/>
    <x v="1"/>
  </r>
  <r>
    <s v="CUST-00658"/>
    <n v="31"/>
    <s v="No"/>
    <s v="Yes"/>
    <s v="Yes"/>
    <n v="2"/>
    <s v="Yes"/>
    <s v="No"/>
    <s v="Fiber optic"/>
    <x v="1"/>
    <s v="Yes"/>
    <s v="Credit card"/>
    <n v="119.14"/>
    <n v="243.41"/>
    <s v="Lahore"/>
    <s v="Yes"/>
    <n v="1"/>
    <s v="0-12 months"/>
    <x v="2"/>
  </r>
  <r>
    <s v="CUST-00659"/>
    <n v="24"/>
    <s v="No"/>
    <s v="No"/>
    <s v="No"/>
    <n v="23"/>
    <s v="Yes"/>
    <s v="No"/>
    <s v="No internet"/>
    <x v="0"/>
    <s v="No"/>
    <s v="Mailed check"/>
    <n v="25.52"/>
    <n v="580.20000000000005"/>
    <s v="Karachi"/>
    <s v="Yes"/>
    <n v="1"/>
    <s v="0-12 months"/>
    <x v="3"/>
  </r>
  <r>
    <s v="CUST-00660"/>
    <n v="43"/>
    <s v="No"/>
    <s v="No"/>
    <s v="No"/>
    <n v="23"/>
    <s v="No"/>
    <s v="No phone service"/>
    <s v="DSL"/>
    <x v="0"/>
    <s v="Yes"/>
    <s v="Bank Transfer"/>
    <n v="74.599999999999994"/>
    <n v="1746.75"/>
    <s v="Multan"/>
    <s v="No"/>
    <n v="0"/>
    <s v="0-12 months"/>
    <x v="0"/>
  </r>
  <r>
    <s v="CUST-00661"/>
    <n v="46"/>
    <s v="No"/>
    <s v="No"/>
    <s v="Yes"/>
    <n v="16"/>
    <s v="Yes"/>
    <s v="No"/>
    <s v="Fiber optic"/>
    <x v="0"/>
    <s v="Yes"/>
    <s v="Electronic check"/>
    <n v="98.65"/>
    <n v="1592.16"/>
    <s v="Multan"/>
    <s v="Yes"/>
    <n v="1"/>
    <s v="0-12 months"/>
    <x v="1"/>
  </r>
  <r>
    <s v="CUST-00662"/>
    <n v="24"/>
    <s v="No"/>
    <s v="Yes"/>
    <s v="No"/>
    <n v="62"/>
    <s v="No"/>
    <s v="No phone service"/>
    <s v="No internet"/>
    <x v="2"/>
    <s v="Yes"/>
    <s v="Electronic check"/>
    <n v="18.760000000000002"/>
    <n v="1220.19"/>
    <s v="Karachi"/>
    <s v="No"/>
    <n v="0"/>
    <s v="0-12 months"/>
    <x v="3"/>
  </r>
  <r>
    <s v="CUST-00663"/>
    <n v="43"/>
    <s v="No"/>
    <s v="Yes"/>
    <s v="No"/>
    <n v="72"/>
    <s v="No"/>
    <s v="No phone service"/>
    <s v="No internet"/>
    <x v="2"/>
    <s v="Yes"/>
    <s v="Bank Transfer"/>
    <n v="20.49"/>
    <n v="1503.35"/>
    <s v="Peshawar"/>
    <s v="Yes"/>
    <n v="1"/>
    <s v="0-12 months"/>
    <x v="3"/>
  </r>
  <r>
    <s v="CUST-00664"/>
    <n v="56"/>
    <s v="No"/>
    <s v="Yes"/>
    <s v="Yes"/>
    <n v="72"/>
    <s v="No"/>
    <s v="No phone service"/>
    <s v="Fiber optic"/>
    <x v="2"/>
    <s v="Yes"/>
    <s v="Credit card"/>
    <n v="102.63"/>
    <n v="7023.87"/>
    <s v="Peshawar"/>
    <s v="Yes"/>
    <n v="1"/>
    <s v="0-12 months"/>
    <x v="2"/>
  </r>
  <r>
    <s v="CUST-00665"/>
    <n v="20"/>
    <s v="No"/>
    <s v="Yes"/>
    <s v="Yes"/>
    <n v="65"/>
    <s v="Yes"/>
    <s v="No"/>
    <s v="Fiber optic"/>
    <x v="1"/>
    <s v="Yes"/>
    <s v="Electronic check"/>
    <n v="72.31"/>
    <n v="4951.59"/>
    <s v="Islamabad"/>
    <s v="No"/>
    <n v="0"/>
    <s v="0-12 months"/>
    <x v="0"/>
  </r>
  <r>
    <s v="CUST-00666"/>
    <n v="60"/>
    <s v="Yes"/>
    <s v="No"/>
    <s v="Yes"/>
    <n v="63"/>
    <s v="No"/>
    <s v="No phone service"/>
    <s v="DSL"/>
    <x v="0"/>
    <s v="Yes"/>
    <s v="Bank Transfer"/>
    <n v="66.5"/>
    <n v="3960.62"/>
    <s v="Karachi"/>
    <s v="Yes"/>
    <n v="1"/>
    <s v="0-12 months"/>
    <x v="0"/>
  </r>
  <r>
    <s v="CUST-00667"/>
    <n v="37"/>
    <s v="No"/>
    <s v="Yes"/>
    <s v="Yes"/>
    <n v="71"/>
    <s v="No"/>
    <s v="No phone service"/>
    <s v="Fiber optic"/>
    <x v="2"/>
    <s v="No"/>
    <s v="Electronic check"/>
    <n v="82.75"/>
    <n v="5791.9"/>
    <s v="Rawalpindi"/>
    <s v="No"/>
    <n v="0"/>
    <s v="0-12 months"/>
    <x v="1"/>
  </r>
  <r>
    <s v="CUST-00668"/>
    <n v="47"/>
    <s v="No"/>
    <s v="Yes"/>
    <s v="No"/>
    <n v="55"/>
    <s v="Yes"/>
    <s v="No"/>
    <s v="No internet"/>
    <x v="2"/>
    <s v="No"/>
    <s v="Mailed check"/>
    <n v="26.36"/>
    <n v="1396.32"/>
    <s v="Multan"/>
    <s v="No"/>
    <n v="0"/>
    <s v="0-12 months"/>
    <x v="3"/>
  </r>
  <r>
    <s v="CUST-00669"/>
    <n v="59"/>
    <s v="No"/>
    <s v="Yes"/>
    <s v="No"/>
    <n v="20"/>
    <s v="No"/>
    <s v="No phone service"/>
    <s v="Fiber optic"/>
    <x v="2"/>
    <s v="Yes"/>
    <s v="Electronic check"/>
    <n v="76.23"/>
    <n v="1453.25"/>
    <s v="Lahore"/>
    <s v="No"/>
    <n v="0"/>
    <s v="0-12 months"/>
    <x v="1"/>
  </r>
  <r>
    <s v="CUST-00670"/>
    <n v="39"/>
    <s v="No"/>
    <s v="Yes"/>
    <s v="No"/>
    <n v="43"/>
    <s v="Yes"/>
    <s v="No"/>
    <s v="DSL"/>
    <x v="2"/>
    <s v="Yes"/>
    <s v="Electronic check"/>
    <n v="79.180000000000007"/>
    <n v="3291.25"/>
    <s v="Peshawar"/>
    <s v="No"/>
    <n v="0"/>
    <s v="0-12 months"/>
    <x v="1"/>
  </r>
  <r>
    <s v="CUST-00671"/>
    <n v="25"/>
    <s v="No"/>
    <s v="Yes"/>
    <s v="No"/>
    <n v="63"/>
    <s v="No"/>
    <s v="No phone service"/>
    <s v="Fiber optic"/>
    <x v="0"/>
    <s v="No"/>
    <s v="Credit card"/>
    <n v="100.37"/>
    <n v="6624.23"/>
    <s v="Peshawar"/>
    <s v="Yes"/>
    <n v="1"/>
    <s v="0-12 months"/>
    <x v="2"/>
  </r>
  <r>
    <s v="CUST-00672"/>
    <n v="42"/>
    <s v="No"/>
    <s v="Yes"/>
    <s v="No"/>
    <n v="69"/>
    <s v="No"/>
    <s v="No phone service"/>
    <s v="DSL"/>
    <x v="2"/>
    <s v="Yes"/>
    <s v="Electronic check"/>
    <n v="67.47"/>
    <n v="4774.55"/>
    <s v="Karachi"/>
    <s v="No"/>
    <n v="0"/>
    <s v="0-12 months"/>
    <x v="0"/>
  </r>
  <r>
    <s v="CUST-00673"/>
    <n v="42"/>
    <s v="No"/>
    <s v="No"/>
    <s v="Yes"/>
    <n v="48"/>
    <s v="Yes"/>
    <s v="No"/>
    <s v="DSL"/>
    <x v="2"/>
    <s v="No"/>
    <s v="Electronic check"/>
    <n v="79.45"/>
    <n v="3950.19"/>
    <s v="Islamabad"/>
    <s v="No"/>
    <n v="0"/>
    <s v="0-12 months"/>
    <x v="1"/>
  </r>
  <r>
    <s v="CUST-00674"/>
    <n v="45"/>
    <s v="No"/>
    <s v="Yes"/>
    <s v="No"/>
    <n v="12"/>
    <s v="No"/>
    <s v="No phone service"/>
    <s v="No internet"/>
    <x v="0"/>
    <s v="Yes"/>
    <s v="Bank Transfer"/>
    <n v="18.920000000000002"/>
    <n v="219.96"/>
    <s v="Faisalabad"/>
    <s v="Yes"/>
    <n v="1"/>
    <s v="0-12 months"/>
    <x v="3"/>
  </r>
  <r>
    <s v="CUST-00675"/>
    <n v="21"/>
    <s v="No"/>
    <s v="Yes"/>
    <s v="No"/>
    <n v="71"/>
    <s v="Yes"/>
    <s v="No"/>
    <s v="No internet"/>
    <x v="2"/>
    <s v="Yes"/>
    <s v="Credit card"/>
    <n v="24.18"/>
    <n v="1819.37"/>
    <s v="Multan"/>
    <s v="No"/>
    <n v="0"/>
    <s v="0-12 months"/>
    <x v="3"/>
  </r>
  <r>
    <s v="CUST-00676"/>
    <n v="25"/>
    <s v="No"/>
    <s v="No"/>
    <s v="Yes"/>
    <n v="25"/>
    <s v="Yes"/>
    <s v="No"/>
    <s v="No internet"/>
    <x v="0"/>
    <s v="No"/>
    <s v="Electronic check"/>
    <n v="26.87"/>
    <n v="708.09"/>
    <s v="Faisalabad"/>
    <s v="No"/>
    <n v="0"/>
    <s v="0-12 months"/>
    <x v="3"/>
  </r>
  <r>
    <s v="CUST-00677"/>
    <n v="61"/>
    <s v="Yes"/>
    <s v="Yes"/>
    <s v="No"/>
    <n v="22"/>
    <s v="Yes"/>
    <s v="Yes"/>
    <s v="DSL"/>
    <x v="2"/>
    <s v="Yes"/>
    <s v="Credit card"/>
    <n v="78.099999999999994"/>
    <n v="1702.27"/>
    <s v="Islamabad"/>
    <s v="No"/>
    <n v="0"/>
    <s v="0-12 months"/>
    <x v="1"/>
  </r>
  <r>
    <s v="CUST-00678"/>
    <n v="25"/>
    <s v="No"/>
    <s v="No"/>
    <s v="Yes"/>
    <n v="70"/>
    <s v="Yes"/>
    <s v="Yes"/>
    <s v="No internet"/>
    <x v="2"/>
    <s v="No"/>
    <s v="Electronic check"/>
    <n v="26.86"/>
    <n v="1895.73"/>
    <s v="Islamabad"/>
    <s v="Yes"/>
    <n v="1"/>
    <s v="0-12 months"/>
    <x v="3"/>
  </r>
  <r>
    <s v="CUST-00679"/>
    <n v="59"/>
    <s v="No"/>
    <s v="Yes"/>
    <s v="No"/>
    <n v="63"/>
    <s v="Yes"/>
    <s v="No"/>
    <s v="Fiber optic"/>
    <x v="2"/>
    <s v="No"/>
    <s v="Electronic check"/>
    <n v="87.49"/>
    <n v="5658.99"/>
    <s v="Lahore"/>
    <s v="Yes"/>
    <n v="1"/>
    <s v="0-12 months"/>
    <x v="1"/>
  </r>
  <r>
    <s v="CUST-00680"/>
    <n v="24"/>
    <s v="No"/>
    <s v="No"/>
    <s v="No"/>
    <n v="26"/>
    <s v="Yes"/>
    <s v="No"/>
    <s v="Fiber optic"/>
    <x v="1"/>
    <s v="Yes"/>
    <s v="Electronic check"/>
    <n v="102.83"/>
    <n v="2585.6999999999998"/>
    <s v="Islamabad"/>
    <s v="No"/>
    <n v="0"/>
    <s v="0-12 months"/>
    <x v="2"/>
  </r>
  <r>
    <s v="CUST-00681"/>
    <n v="41"/>
    <s v="No"/>
    <s v="No"/>
    <s v="Yes"/>
    <n v="69"/>
    <s v="Yes"/>
    <s v="No"/>
    <s v="No internet"/>
    <x v="0"/>
    <s v="No"/>
    <s v="Electronic check"/>
    <n v="22.24"/>
    <n v="1522.4"/>
    <s v="Peshawar"/>
    <s v="No"/>
    <n v="0"/>
    <s v="0-12 months"/>
    <x v="3"/>
  </r>
  <r>
    <s v="CUST-00682"/>
    <n v="63"/>
    <s v="Yes"/>
    <s v="Yes"/>
    <s v="Yes"/>
    <n v="25"/>
    <s v="Yes"/>
    <s v="No"/>
    <s v="Fiber optic"/>
    <x v="0"/>
    <s v="Yes"/>
    <s v="Electronic check"/>
    <n v="79.95"/>
    <n v="1993.78"/>
    <s v="Islamabad"/>
    <s v="No"/>
    <n v="0"/>
    <s v="0-12 months"/>
    <x v="1"/>
  </r>
  <r>
    <s v="CUST-00683"/>
    <n v="25"/>
    <s v="No"/>
    <s v="No"/>
    <s v="No"/>
    <n v="71"/>
    <s v="Yes"/>
    <s v="Yes"/>
    <s v="DSL"/>
    <x v="0"/>
    <s v="No"/>
    <s v="Credit card"/>
    <n v="76.94"/>
    <n v="5687.63"/>
    <s v="Lahore"/>
    <s v="No"/>
    <n v="0"/>
    <s v="0-12 months"/>
    <x v="1"/>
  </r>
  <r>
    <s v="CUST-00684"/>
    <n v="24"/>
    <s v="No"/>
    <s v="Yes"/>
    <s v="Yes"/>
    <n v="20"/>
    <s v="Yes"/>
    <s v="No"/>
    <s v="Fiber optic"/>
    <x v="2"/>
    <s v="No"/>
    <s v="Credit card"/>
    <n v="99.85"/>
    <n v="1879.1"/>
    <s v="Islamabad"/>
    <s v="No"/>
    <n v="0"/>
    <s v="0-12 months"/>
    <x v="1"/>
  </r>
  <r>
    <s v="CUST-00685"/>
    <n v="49"/>
    <s v="No"/>
    <s v="Yes"/>
    <s v="No"/>
    <n v="32"/>
    <s v="Yes"/>
    <s v="Yes"/>
    <s v="DSL"/>
    <x v="0"/>
    <s v="No"/>
    <s v="Mailed check"/>
    <n v="49.89"/>
    <n v="1657.9"/>
    <s v="Multan"/>
    <s v="No"/>
    <n v="0"/>
    <s v="0-12 months"/>
    <x v="3"/>
  </r>
  <r>
    <s v="CUST-00686"/>
    <n v="68"/>
    <s v="Yes"/>
    <s v="Yes"/>
    <s v="Yes"/>
    <n v="25"/>
    <s v="Yes"/>
    <s v="Yes"/>
    <s v="No internet"/>
    <x v="2"/>
    <s v="Yes"/>
    <s v="Electronic check"/>
    <n v="20.309999999999999"/>
    <n v="486.19"/>
    <s v="Karachi"/>
    <s v="Yes"/>
    <n v="1"/>
    <s v="0-12 months"/>
    <x v="3"/>
  </r>
  <r>
    <s v="CUST-00687"/>
    <n v="23"/>
    <s v="No"/>
    <s v="Yes"/>
    <s v="No"/>
    <n v="53"/>
    <s v="Yes"/>
    <s v="Yes"/>
    <s v="DSL"/>
    <x v="2"/>
    <s v="Yes"/>
    <s v="Credit card"/>
    <n v="65.75"/>
    <n v="3402.91"/>
    <s v="Islamabad"/>
    <s v="Yes"/>
    <n v="1"/>
    <s v="0-12 months"/>
    <x v="0"/>
  </r>
  <r>
    <s v="CUST-00688"/>
    <n v="40"/>
    <s v="No"/>
    <s v="No"/>
    <s v="Yes"/>
    <n v="41"/>
    <s v="Yes"/>
    <s v="Yes"/>
    <s v="No internet"/>
    <x v="2"/>
    <s v="No"/>
    <s v="Electronic check"/>
    <n v="23.66"/>
    <n v="1017.61"/>
    <s v="Karachi"/>
    <s v="Yes"/>
    <n v="1"/>
    <s v="0-12 months"/>
    <x v="3"/>
  </r>
  <r>
    <s v="CUST-00689"/>
    <n v="34"/>
    <s v="No"/>
    <s v="No"/>
    <s v="No"/>
    <n v="43"/>
    <s v="Yes"/>
    <s v="No"/>
    <s v="Fiber optic"/>
    <x v="0"/>
    <s v="Yes"/>
    <s v="Electronic check"/>
    <n v="107.06"/>
    <n v="4527"/>
    <s v="Faisalabad"/>
    <s v="No"/>
    <n v="0"/>
    <s v="0-12 months"/>
    <x v="2"/>
  </r>
  <r>
    <s v="CUST-00690"/>
    <n v="56"/>
    <s v="No"/>
    <s v="No"/>
    <s v="Yes"/>
    <n v="36"/>
    <s v="No"/>
    <s v="No phone service"/>
    <s v="Fiber optic"/>
    <x v="2"/>
    <s v="Yes"/>
    <s v="Electronic check"/>
    <n v="107.13"/>
    <n v="3680.98"/>
    <s v="Multan"/>
    <s v="No"/>
    <n v="0"/>
    <s v="0-12 months"/>
    <x v="2"/>
  </r>
  <r>
    <s v="CUST-00691"/>
    <n v="70"/>
    <s v="Yes"/>
    <s v="Yes"/>
    <s v="Yes"/>
    <n v="58"/>
    <s v="Yes"/>
    <s v="No"/>
    <s v="No internet"/>
    <x v="0"/>
    <s v="No"/>
    <s v="Bank Transfer"/>
    <n v="29.88"/>
    <n v="1671.07"/>
    <s v="Lahore"/>
    <s v="No"/>
    <n v="0"/>
    <s v="0-12 months"/>
    <x v="3"/>
  </r>
  <r>
    <s v="CUST-00692"/>
    <n v="26"/>
    <s v="No"/>
    <s v="Yes"/>
    <s v="No"/>
    <n v="71"/>
    <s v="No"/>
    <s v="No phone service"/>
    <s v="DSL"/>
    <x v="1"/>
    <s v="No"/>
    <s v="Bank Transfer"/>
    <n v="44.7"/>
    <n v="3149.37"/>
    <s v="Faisalabad"/>
    <s v="No"/>
    <n v="0"/>
    <s v="0-12 months"/>
    <x v="3"/>
  </r>
  <r>
    <s v="CUST-00693"/>
    <n v="50"/>
    <s v="No"/>
    <s v="Yes"/>
    <s v="Yes"/>
    <n v="36"/>
    <s v="Yes"/>
    <s v="Yes"/>
    <s v="DSL"/>
    <x v="1"/>
    <s v="Yes"/>
    <s v="Bank Transfer"/>
    <n v="67.75"/>
    <n v="2509.4499999999998"/>
    <s v="Multan"/>
    <s v="No"/>
    <n v="0"/>
    <s v="0-12 months"/>
    <x v="0"/>
  </r>
  <r>
    <s v="CUST-00694"/>
    <n v="52"/>
    <s v="No"/>
    <s v="Yes"/>
    <s v="Yes"/>
    <n v="57"/>
    <s v="No"/>
    <s v="No phone service"/>
    <s v="DSL"/>
    <x v="0"/>
    <s v="No"/>
    <s v="Credit card"/>
    <n v="50.86"/>
    <n v="2789.11"/>
    <s v="Karachi"/>
    <s v="No"/>
    <n v="0"/>
    <s v="0-12 months"/>
    <x v="0"/>
  </r>
  <r>
    <s v="CUST-00695"/>
    <n v="55"/>
    <s v="No"/>
    <s v="Yes"/>
    <s v="No"/>
    <n v="65"/>
    <s v="No"/>
    <s v="No phone service"/>
    <s v="DSL"/>
    <x v="2"/>
    <s v="Yes"/>
    <s v="Electronic check"/>
    <n v="50.74"/>
    <n v="3147.35"/>
    <s v="Faisalabad"/>
    <s v="Yes"/>
    <n v="1"/>
    <s v="0-12 months"/>
    <x v="0"/>
  </r>
  <r>
    <s v="CUST-00696"/>
    <n v="33"/>
    <s v="No"/>
    <s v="No"/>
    <s v="Yes"/>
    <n v="19"/>
    <s v="No"/>
    <s v="No phone service"/>
    <s v="No internet"/>
    <x v="1"/>
    <s v="No"/>
    <s v="Mailed check"/>
    <n v="18.62"/>
    <n v="374.16"/>
    <s v="Karachi"/>
    <s v="No"/>
    <n v="0"/>
    <s v="0-12 months"/>
    <x v="3"/>
  </r>
  <r>
    <s v="CUST-00697"/>
    <n v="52"/>
    <s v="No"/>
    <s v="Yes"/>
    <s v="Yes"/>
    <n v="45"/>
    <s v="No"/>
    <s v="No phone service"/>
    <s v="DSL"/>
    <x v="2"/>
    <s v="No"/>
    <s v="Bank Transfer"/>
    <n v="56.33"/>
    <n v="2568.7600000000002"/>
    <s v="Lahore"/>
    <s v="No"/>
    <n v="0"/>
    <s v="0-12 months"/>
    <x v="0"/>
  </r>
  <r>
    <s v="CUST-00698"/>
    <n v="58"/>
    <s v="No"/>
    <s v="Yes"/>
    <s v="No"/>
    <n v="29"/>
    <s v="No"/>
    <s v="No phone service"/>
    <s v="DSL"/>
    <x v="2"/>
    <s v="Yes"/>
    <s v="Credit card"/>
    <n v="79.150000000000006"/>
    <n v="2371.9699999999998"/>
    <s v="Lahore"/>
    <s v="No"/>
    <n v="0"/>
    <s v="0-12 months"/>
    <x v="1"/>
  </r>
  <r>
    <s v="CUST-00699"/>
    <n v="64"/>
    <s v="Yes"/>
    <s v="No"/>
    <s v="No"/>
    <n v="71"/>
    <s v="No"/>
    <s v="No phone service"/>
    <s v="Fiber optic"/>
    <x v="2"/>
    <s v="No"/>
    <s v="Electronic check"/>
    <n v="101.49"/>
    <n v="7515.54"/>
    <s v="Rawalpindi"/>
    <s v="Yes"/>
    <n v="1"/>
    <s v="0-12 months"/>
    <x v="2"/>
  </r>
  <r>
    <s v="CUST-00700"/>
    <n v="32"/>
    <s v="No"/>
    <s v="No"/>
    <s v="No"/>
    <n v="19"/>
    <s v="Yes"/>
    <s v="No"/>
    <s v="No internet"/>
    <x v="2"/>
    <s v="Yes"/>
    <s v="Electronic check"/>
    <n v="23.89"/>
    <n v="466.41"/>
    <s v="Lahore"/>
    <s v="No"/>
    <n v="0"/>
    <s v="0-12 months"/>
    <x v="3"/>
  </r>
  <r>
    <s v="CUST-00701"/>
    <n v="37"/>
    <s v="No"/>
    <s v="Yes"/>
    <s v="Yes"/>
    <n v="51"/>
    <s v="Yes"/>
    <s v="Yes"/>
    <s v="DSL"/>
    <x v="2"/>
    <s v="Yes"/>
    <s v="Credit card"/>
    <n v="65.8"/>
    <n v="3316.54"/>
    <s v="Karachi"/>
    <s v="No"/>
    <n v="0"/>
    <s v="0-12 months"/>
    <x v="0"/>
  </r>
  <r>
    <s v="CUST-00702"/>
    <n v="64"/>
    <s v="Yes"/>
    <s v="Yes"/>
    <s v="Yes"/>
    <n v="49"/>
    <s v="Yes"/>
    <s v="No"/>
    <s v="Fiber optic"/>
    <x v="0"/>
    <s v="Yes"/>
    <s v="Electronic check"/>
    <n v="108.51"/>
    <n v="5168.75"/>
    <s v="Faisalabad"/>
    <s v="No"/>
    <n v="0"/>
    <s v="0-12 months"/>
    <x v="2"/>
  </r>
  <r>
    <s v="CUST-00703"/>
    <n v="18"/>
    <s v="No"/>
    <s v="Yes"/>
    <s v="Yes"/>
    <n v="70"/>
    <s v="No"/>
    <s v="No phone service"/>
    <s v="DSL"/>
    <x v="1"/>
    <s v="Yes"/>
    <s v="Electronic check"/>
    <n v="59.22"/>
    <n v="4176.67"/>
    <s v="Karachi"/>
    <s v="No"/>
    <n v="0"/>
    <s v="0-12 months"/>
    <x v="0"/>
  </r>
  <r>
    <s v="CUST-00704"/>
    <n v="37"/>
    <s v="No"/>
    <s v="No"/>
    <s v="No"/>
    <n v="20"/>
    <s v="No"/>
    <s v="No phone service"/>
    <s v="Fiber optic"/>
    <x v="0"/>
    <s v="Yes"/>
    <s v="Electronic check"/>
    <n v="72.23"/>
    <n v="1452.34"/>
    <s v="Peshawar"/>
    <s v="Yes"/>
    <n v="1"/>
    <s v="0-12 months"/>
    <x v="0"/>
  </r>
  <r>
    <s v="CUST-00705"/>
    <n v="44"/>
    <s v="No"/>
    <s v="Yes"/>
    <s v="Yes"/>
    <n v="29"/>
    <s v="No"/>
    <s v="No phone service"/>
    <s v="Fiber optic"/>
    <x v="2"/>
    <s v="No"/>
    <s v="Bank Transfer"/>
    <n v="81.290000000000006"/>
    <n v="2464.62"/>
    <s v="Multan"/>
    <s v="No"/>
    <n v="0"/>
    <s v="0-12 months"/>
    <x v="1"/>
  </r>
  <r>
    <s v="CUST-00706"/>
    <n v="70"/>
    <s v="Yes"/>
    <s v="Yes"/>
    <s v="No"/>
    <n v="22"/>
    <s v="Yes"/>
    <s v="Yes"/>
    <s v="No internet"/>
    <x v="1"/>
    <s v="No"/>
    <s v="Electronic check"/>
    <n v="22"/>
    <n v="475.9"/>
    <s v="Lahore"/>
    <s v="No"/>
    <n v="0"/>
    <s v="0-12 months"/>
    <x v="3"/>
  </r>
  <r>
    <s v="CUST-00707"/>
    <n v="75"/>
    <s v="Yes"/>
    <s v="Yes"/>
    <s v="Yes"/>
    <n v="23"/>
    <s v="No"/>
    <s v="No phone service"/>
    <s v="Fiber optic"/>
    <x v="0"/>
    <s v="No"/>
    <s v="Electronic check"/>
    <n v="103.36"/>
    <n v="2320.67"/>
    <s v="Islamabad"/>
    <s v="No"/>
    <n v="0"/>
    <s v="0-12 months"/>
    <x v="2"/>
  </r>
  <r>
    <s v="CUST-00708"/>
    <n v="74"/>
    <s v="Yes"/>
    <s v="Yes"/>
    <s v="No"/>
    <n v="64"/>
    <s v="No"/>
    <s v="No phone service"/>
    <s v="DSL"/>
    <x v="1"/>
    <s v="Yes"/>
    <s v="Bank Transfer"/>
    <n v="74.47"/>
    <n v="5039.49"/>
    <s v="Karachi"/>
    <s v="No"/>
    <n v="0"/>
    <s v="0-12 months"/>
    <x v="0"/>
  </r>
  <r>
    <s v="CUST-00709"/>
    <n v="38"/>
    <s v="No"/>
    <s v="Yes"/>
    <s v="No"/>
    <n v="58"/>
    <s v="No"/>
    <s v="No phone service"/>
    <s v="DSL"/>
    <x v="1"/>
    <s v="Yes"/>
    <s v="Credit card"/>
    <n v="78.38"/>
    <n v="4425.1899999999996"/>
    <s v="Karachi"/>
    <s v="Yes"/>
    <n v="1"/>
    <s v="0-12 months"/>
    <x v="1"/>
  </r>
  <r>
    <s v="CUST-00710"/>
    <n v="29"/>
    <s v="No"/>
    <s v="No"/>
    <s v="No"/>
    <n v="41"/>
    <s v="No"/>
    <s v="No phone service"/>
    <s v="DSL"/>
    <x v="0"/>
    <s v="No"/>
    <s v="Bank Transfer"/>
    <n v="65.459999999999994"/>
    <n v="2567.34"/>
    <s v="Karachi"/>
    <s v="No"/>
    <n v="0"/>
    <s v="0-12 months"/>
    <x v="0"/>
  </r>
  <r>
    <s v="CUST-00711"/>
    <n v="42"/>
    <s v="No"/>
    <s v="No"/>
    <s v="No"/>
    <n v="69"/>
    <s v="Yes"/>
    <s v="No"/>
    <s v="DSL"/>
    <x v="0"/>
    <s v="No"/>
    <s v="Credit card"/>
    <n v="71.06"/>
    <n v="5086.3"/>
    <s v="Lahore"/>
    <s v="No"/>
    <n v="0"/>
    <s v="0-12 months"/>
    <x v="0"/>
  </r>
  <r>
    <s v="CUST-00712"/>
    <n v="33"/>
    <s v="No"/>
    <s v="No"/>
    <s v="Yes"/>
    <n v="27"/>
    <s v="Yes"/>
    <s v="No"/>
    <s v="No internet"/>
    <x v="2"/>
    <s v="Yes"/>
    <s v="Mailed check"/>
    <n v="18.71"/>
    <n v="496.04"/>
    <s v="Peshawar"/>
    <s v="No"/>
    <n v="0"/>
    <s v="0-12 months"/>
    <x v="3"/>
  </r>
  <r>
    <s v="CUST-00713"/>
    <n v="67"/>
    <s v="Yes"/>
    <s v="Yes"/>
    <s v="No"/>
    <n v="59"/>
    <s v="No"/>
    <s v="No phone service"/>
    <s v="Fiber optic"/>
    <x v="2"/>
    <s v="Yes"/>
    <s v="Electronic check"/>
    <n v="76.89"/>
    <n v="4788.04"/>
    <s v="Rawalpindi"/>
    <s v="No"/>
    <n v="0"/>
    <s v="0-12 months"/>
    <x v="1"/>
  </r>
  <r>
    <s v="CUST-00714"/>
    <n v="64"/>
    <s v="Yes"/>
    <s v="Yes"/>
    <s v="No"/>
    <n v="48"/>
    <s v="Yes"/>
    <s v="No"/>
    <s v="Fiber optic"/>
    <x v="2"/>
    <s v="Yes"/>
    <s v="Electronic check"/>
    <n v="88.26"/>
    <n v="4022.45"/>
    <s v="Faisalabad"/>
    <s v="Yes"/>
    <n v="1"/>
    <s v="0-12 months"/>
    <x v="1"/>
  </r>
  <r>
    <s v="CUST-00715"/>
    <n v="71"/>
    <s v="Yes"/>
    <s v="No"/>
    <s v="Yes"/>
    <n v="24"/>
    <s v="Yes"/>
    <s v="No"/>
    <s v="DSL"/>
    <x v="0"/>
    <s v="No"/>
    <s v="Credit card"/>
    <n v="68.900000000000006"/>
    <n v="1642.48"/>
    <s v="Lahore"/>
    <s v="No"/>
    <n v="0"/>
    <s v="0-12 months"/>
    <x v="0"/>
  </r>
  <r>
    <s v="CUST-00716"/>
    <n v="36"/>
    <s v="No"/>
    <s v="Yes"/>
    <s v="Yes"/>
    <n v="8"/>
    <s v="Yes"/>
    <s v="No"/>
    <s v="No internet"/>
    <x v="2"/>
    <s v="Yes"/>
    <s v="Electronic check"/>
    <n v="27.99"/>
    <n v="228.75"/>
    <s v="Faisalabad"/>
    <s v="No"/>
    <n v="0"/>
    <s v="0-12 months"/>
    <x v="3"/>
  </r>
  <r>
    <s v="CUST-00717"/>
    <n v="63"/>
    <s v="Yes"/>
    <s v="No"/>
    <s v="No"/>
    <n v="30"/>
    <s v="Yes"/>
    <s v="Yes"/>
    <s v="Fiber optic"/>
    <x v="2"/>
    <s v="No"/>
    <s v="Mailed check"/>
    <n v="76.260000000000005"/>
    <n v="2208.6999999999998"/>
    <s v="Karachi"/>
    <s v="No"/>
    <n v="0"/>
    <s v="0-12 months"/>
    <x v="1"/>
  </r>
  <r>
    <s v="CUST-00718"/>
    <n v="43"/>
    <s v="No"/>
    <s v="Yes"/>
    <s v="Yes"/>
    <n v="60"/>
    <s v="No"/>
    <s v="No phone service"/>
    <s v="DSL"/>
    <x v="1"/>
    <s v="Yes"/>
    <s v="Electronic check"/>
    <n v="54.86"/>
    <n v="3261.67"/>
    <s v="Lahore"/>
    <s v="No"/>
    <n v="0"/>
    <s v="0-12 months"/>
    <x v="0"/>
  </r>
  <r>
    <s v="CUST-00719"/>
    <n v="22"/>
    <s v="No"/>
    <s v="No"/>
    <s v="No"/>
    <n v="4"/>
    <s v="Yes"/>
    <s v="No"/>
    <s v="Fiber optic"/>
    <x v="2"/>
    <s v="Yes"/>
    <s v="Bank Transfer"/>
    <n v="85.46"/>
    <n v="343.96"/>
    <s v="Lahore"/>
    <s v="No"/>
    <n v="0"/>
    <s v="0-12 months"/>
    <x v="1"/>
  </r>
  <r>
    <s v="CUST-00720"/>
    <n v="33"/>
    <s v="No"/>
    <s v="No"/>
    <s v="Yes"/>
    <n v="6"/>
    <s v="No"/>
    <s v="No phone service"/>
    <s v="DSL"/>
    <x v="2"/>
    <s v="No"/>
    <s v="Electronic check"/>
    <n v="52.34"/>
    <n v="332.15"/>
    <s v="Rawalpindi"/>
    <s v="No"/>
    <n v="0"/>
    <s v="0-12 months"/>
    <x v="0"/>
  </r>
  <r>
    <s v="CUST-00721"/>
    <n v="50"/>
    <s v="No"/>
    <s v="Yes"/>
    <s v="No"/>
    <n v="51"/>
    <s v="Yes"/>
    <s v="No"/>
    <s v="DSL"/>
    <x v="2"/>
    <s v="No"/>
    <s v="Mailed check"/>
    <n v="60.14"/>
    <n v="3067.94"/>
    <s v="Lahore"/>
    <s v="No"/>
    <n v="0"/>
    <s v="0-12 months"/>
    <x v="0"/>
  </r>
  <r>
    <s v="CUST-00722"/>
    <n v="55"/>
    <s v="No"/>
    <s v="No"/>
    <s v="No"/>
    <n v="5"/>
    <s v="Yes"/>
    <s v="No"/>
    <s v="Fiber optic"/>
    <x v="2"/>
    <s v="Yes"/>
    <s v="Mailed check"/>
    <n v="81.58"/>
    <n v="393.98"/>
    <s v="Karachi"/>
    <s v="No"/>
    <n v="0"/>
    <s v="0-12 months"/>
    <x v="1"/>
  </r>
  <r>
    <s v="CUST-00723"/>
    <n v="67"/>
    <s v="Yes"/>
    <s v="Yes"/>
    <s v="No"/>
    <n v="58"/>
    <s v="No"/>
    <s v="No phone service"/>
    <s v="DSL"/>
    <x v="2"/>
    <s v="No"/>
    <s v="Electronic check"/>
    <n v="68.510000000000005"/>
    <n v="4060.78"/>
    <s v="Faisalabad"/>
    <s v="Yes"/>
    <n v="1"/>
    <s v="0-12 months"/>
    <x v="0"/>
  </r>
  <r>
    <s v="CUST-00724"/>
    <n v="56"/>
    <s v="No"/>
    <s v="Yes"/>
    <s v="Yes"/>
    <n v="64"/>
    <s v="Yes"/>
    <s v="Yes"/>
    <s v="Fiber optic"/>
    <x v="1"/>
    <s v="Yes"/>
    <s v="Credit card"/>
    <n v="92.74"/>
    <n v="5700.12"/>
    <s v="Lahore"/>
    <s v="No"/>
    <n v="0"/>
    <s v="0-12 months"/>
    <x v="1"/>
  </r>
  <r>
    <s v="CUST-00725"/>
    <n v="35"/>
    <s v="No"/>
    <s v="No"/>
    <s v="No"/>
    <n v="12"/>
    <s v="No"/>
    <s v="No phone service"/>
    <s v="Fiber optic"/>
    <x v="2"/>
    <s v="No"/>
    <s v="Mailed check"/>
    <n v="108.16"/>
    <n v="1288.8900000000001"/>
    <s v="Lahore"/>
    <s v="No"/>
    <n v="0"/>
    <s v="0-12 months"/>
    <x v="2"/>
  </r>
  <r>
    <s v="CUST-00726"/>
    <n v="54"/>
    <s v="No"/>
    <s v="No"/>
    <s v="Yes"/>
    <n v="47"/>
    <s v="No"/>
    <s v="No phone service"/>
    <s v="No internet"/>
    <x v="2"/>
    <s v="Yes"/>
    <s v="Credit card"/>
    <n v="24.15"/>
    <n v="1152.03"/>
    <s v="Lahore"/>
    <s v="No"/>
    <n v="0"/>
    <s v="0-12 months"/>
    <x v="3"/>
  </r>
  <r>
    <s v="CUST-00727"/>
    <n v="61"/>
    <s v="Yes"/>
    <s v="No"/>
    <s v="No"/>
    <n v="34"/>
    <s v="Yes"/>
    <s v="No"/>
    <s v="No internet"/>
    <x v="0"/>
    <s v="Yes"/>
    <s v="Bank Transfer"/>
    <n v="24.73"/>
    <n v="805.97"/>
    <s v="Rawalpindi"/>
    <s v="Yes"/>
    <n v="1"/>
    <s v="0-12 months"/>
    <x v="3"/>
  </r>
  <r>
    <s v="CUST-00728"/>
    <n v="28"/>
    <s v="No"/>
    <s v="No"/>
    <s v="Yes"/>
    <n v="29"/>
    <s v="No"/>
    <s v="No phone service"/>
    <s v="Fiber optic"/>
    <x v="0"/>
    <s v="No"/>
    <s v="Credit card"/>
    <n v="102.12"/>
    <n v="3103.68"/>
    <s v="Lahore"/>
    <s v="No"/>
    <n v="0"/>
    <s v="0-12 months"/>
    <x v="2"/>
  </r>
  <r>
    <s v="CUST-00729"/>
    <n v="29"/>
    <s v="No"/>
    <s v="Yes"/>
    <s v="No"/>
    <n v="56"/>
    <s v="No"/>
    <s v="No phone service"/>
    <s v="Fiber optic"/>
    <x v="2"/>
    <s v="No"/>
    <s v="Mailed check"/>
    <n v="94.31"/>
    <n v="5409.56"/>
    <s v="Islamabad"/>
    <s v="No"/>
    <n v="0"/>
    <s v="0-12 months"/>
    <x v="1"/>
  </r>
  <r>
    <s v="CUST-00730"/>
    <n v="47"/>
    <s v="No"/>
    <s v="Yes"/>
    <s v="Yes"/>
    <n v="61"/>
    <s v="Yes"/>
    <s v="Yes"/>
    <s v="Fiber optic"/>
    <x v="2"/>
    <s v="No"/>
    <s v="Electronic check"/>
    <n v="110.43"/>
    <n v="6970.29"/>
    <s v="Karachi"/>
    <s v="No"/>
    <n v="0"/>
    <s v="0-12 months"/>
    <x v="2"/>
  </r>
  <r>
    <s v="CUST-00731"/>
    <n v="21"/>
    <s v="No"/>
    <s v="Yes"/>
    <s v="Yes"/>
    <n v="55"/>
    <s v="Yes"/>
    <s v="Yes"/>
    <s v="Fiber optic"/>
    <x v="2"/>
    <s v="No"/>
    <s v="Electronic check"/>
    <n v="113.69"/>
    <n v="6216.5"/>
    <s v="Karachi"/>
    <s v="Yes"/>
    <n v="1"/>
    <s v="0-12 months"/>
    <x v="2"/>
  </r>
  <r>
    <s v="CUST-00732"/>
    <n v="60"/>
    <s v="Yes"/>
    <s v="No"/>
    <s v="Yes"/>
    <n v="7"/>
    <s v="No"/>
    <s v="No phone service"/>
    <s v="Fiber optic"/>
    <x v="2"/>
    <s v="No"/>
    <s v="Electronic check"/>
    <n v="87.46"/>
    <n v="606.28"/>
    <s v="Multan"/>
    <s v="Yes"/>
    <n v="1"/>
    <s v="0-12 months"/>
    <x v="1"/>
  </r>
  <r>
    <s v="CUST-00733"/>
    <n v="68"/>
    <s v="Yes"/>
    <s v="Yes"/>
    <s v="No"/>
    <n v="46"/>
    <s v="No"/>
    <s v="No phone service"/>
    <s v="No internet"/>
    <x v="1"/>
    <s v="Yes"/>
    <s v="Electronic check"/>
    <n v="26.02"/>
    <n v="1213.6500000000001"/>
    <s v="Peshawar"/>
    <s v="No"/>
    <n v="0"/>
    <s v="0-12 months"/>
    <x v="3"/>
  </r>
  <r>
    <s v="CUST-00734"/>
    <n v="64"/>
    <s v="Yes"/>
    <s v="No"/>
    <s v="Yes"/>
    <n v="20"/>
    <s v="Yes"/>
    <s v="No"/>
    <s v="No internet"/>
    <x v="2"/>
    <s v="No"/>
    <s v="Electronic check"/>
    <n v="26.67"/>
    <n v="564.65"/>
    <s v="Peshawar"/>
    <s v="No"/>
    <n v="0"/>
    <s v="0-12 months"/>
    <x v="3"/>
  </r>
  <r>
    <s v="CUST-00735"/>
    <n v="26"/>
    <s v="No"/>
    <s v="No"/>
    <s v="Yes"/>
    <n v="5"/>
    <s v="Yes"/>
    <s v="No"/>
    <s v="Fiber optic"/>
    <x v="2"/>
    <s v="Yes"/>
    <s v="Bank Transfer"/>
    <n v="80.81"/>
    <n v="389.98"/>
    <s v="Multan"/>
    <s v="Yes"/>
    <n v="1"/>
    <s v="0-12 months"/>
    <x v="1"/>
  </r>
  <r>
    <s v="CUST-00736"/>
    <n v="54"/>
    <s v="No"/>
    <s v="Yes"/>
    <s v="No"/>
    <n v="47"/>
    <s v="No"/>
    <s v="No phone service"/>
    <s v="Fiber optic"/>
    <x v="2"/>
    <s v="Yes"/>
    <s v="Bank Transfer"/>
    <n v="102.45"/>
    <n v="4789.72"/>
    <s v="Islamabad"/>
    <s v="Yes"/>
    <n v="1"/>
    <s v="0-12 months"/>
    <x v="2"/>
  </r>
  <r>
    <s v="CUST-00737"/>
    <n v="71"/>
    <s v="Yes"/>
    <s v="No"/>
    <s v="No"/>
    <n v="15"/>
    <s v="No"/>
    <s v="No phone service"/>
    <s v="No internet"/>
    <x v="2"/>
    <s v="Yes"/>
    <s v="Credit card"/>
    <n v="19.95"/>
    <n v="296.95"/>
    <s v="Multan"/>
    <s v="Yes"/>
    <n v="1"/>
    <s v="0-12 months"/>
    <x v="3"/>
  </r>
  <r>
    <s v="CUST-00738"/>
    <n v="62"/>
    <s v="Yes"/>
    <s v="No"/>
    <s v="No"/>
    <n v="13"/>
    <s v="Yes"/>
    <s v="Yes"/>
    <s v="No internet"/>
    <x v="2"/>
    <s v="No"/>
    <s v="Electronic check"/>
    <n v="27"/>
    <n v="356.22"/>
    <s v="Multan"/>
    <s v="No"/>
    <n v="0"/>
    <s v="0-12 months"/>
    <x v="3"/>
  </r>
  <r>
    <s v="CUST-00739"/>
    <n v="46"/>
    <s v="No"/>
    <s v="Yes"/>
    <s v="No"/>
    <n v="54"/>
    <s v="No"/>
    <s v="No phone service"/>
    <s v="Fiber optic"/>
    <x v="0"/>
    <s v="Yes"/>
    <s v="Electronic check"/>
    <n v="93.48"/>
    <n v="4820.42"/>
    <s v="Rawalpindi"/>
    <s v="No"/>
    <n v="0"/>
    <s v="0-12 months"/>
    <x v="1"/>
  </r>
  <r>
    <s v="CUST-00740"/>
    <n v="44"/>
    <s v="No"/>
    <s v="No"/>
    <s v="Yes"/>
    <n v="48"/>
    <s v="No"/>
    <s v="No phone service"/>
    <s v="DSL"/>
    <x v="2"/>
    <s v="No"/>
    <s v="Electronic check"/>
    <n v="76.11"/>
    <n v="3832.73"/>
    <s v="Lahore"/>
    <s v="No"/>
    <n v="0"/>
    <s v="0-12 months"/>
    <x v="1"/>
  </r>
  <r>
    <s v="CUST-00741"/>
    <n v="75"/>
    <s v="Yes"/>
    <s v="No"/>
    <s v="Yes"/>
    <n v="2"/>
    <s v="No"/>
    <s v="No phone service"/>
    <s v="Fiber optic"/>
    <x v="1"/>
    <s v="No"/>
    <s v="Electronic check"/>
    <n v="117.96"/>
    <n v="249.87"/>
    <s v="Rawalpindi"/>
    <s v="Yes"/>
    <n v="1"/>
    <s v="0-12 months"/>
    <x v="2"/>
  </r>
  <r>
    <s v="CUST-00742"/>
    <n v="30"/>
    <s v="No"/>
    <s v="No"/>
    <s v="Yes"/>
    <n v="55"/>
    <s v="No"/>
    <s v="No phone service"/>
    <s v="Fiber optic"/>
    <x v="1"/>
    <s v="Yes"/>
    <s v="Credit card"/>
    <n v="85.91"/>
    <n v="4531.3900000000003"/>
    <s v="Multan"/>
    <s v="No"/>
    <n v="0"/>
    <s v="0-12 months"/>
    <x v="1"/>
  </r>
  <r>
    <s v="CUST-00743"/>
    <n v="69"/>
    <s v="Yes"/>
    <s v="Yes"/>
    <s v="Yes"/>
    <n v="51"/>
    <s v="No"/>
    <s v="No phone service"/>
    <s v="No internet"/>
    <x v="1"/>
    <s v="Yes"/>
    <s v="Mailed check"/>
    <n v="20.45"/>
    <n v="992.05"/>
    <s v="Multan"/>
    <s v="No"/>
    <n v="0"/>
    <s v="0-12 months"/>
    <x v="3"/>
  </r>
  <r>
    <s v="CUST-00744"/>
    <n v="67"/>
    <s v="Yes"/>
    <s v="Yes"/>
    <s v="Yes"/>
    <n v="70"/>
    <s v="Yes"/>
    <s v="No"/>
    <s v="No internet"/>
    <x v="2"/>
    <s v="Yes"/>
    <s v="Mailed check"/>
    <n v="25.61"/>
    <n v="1852.42"/>
    <s v="Multan"/>
    <s v="Yes"/>
    <n v="1"/>
    <s v="0-12 months"/>
    <x v="3"/>
  </r>
  <r>
    <s v="CUST-00745"/>
    <n v="75"/>
    <s v="Yes"/>
    <s v="Yes"/>
    <s v="No"/>
    <n v="25"/>
    <s v="Yes"/>
    <s v="No"/>
    <s v="DSL"/>
    <x v="1"/>
    <s v="No"/>
    <s v="Bank Transfer"/>
    <n v="66.37"/>
    <n v="1614.44"/>
    <s v="Multan"/>
    <s v="No"/>
    <n v="0"/>
    <s v="0-12 months"/>
    <x v="0"/>
  </r>
  <r>
    <s v="CUST-00746"/>
    <n v="19"/>
    <s v="No"/>
    <s v="Yes"/>
    <s v="Yes"/>
    <n v="59"/>
    <s v="Yes"/>
    <s v="Yes"/>
    <s v="No internet"/>
    <x v="2"/>
    <s v="Yes"/>
    <s v="Electronic check"/>
    <n v="23.93"/>
    <n v="1388.39"/>
    <s v="Rawalpindi"/>
    <s v="No"/>
    <n v="0"/>
    <s v="0-12 months"/>
    <x v="3"/>
  </r>
  <r>
    <s v="CUST-00747"/>
    <n v="24"/>
    <s v="No"/>
    <s v="No"/>
    <s v="Yes"/>
    <n v="53"/>
    <s v="Yes"/>
    <s v="Yes"/>
    <s v="Fiber optic"/>
    <x v="2"/>
    <s v="No"/>
    <s v="Bank Transfer"/>
    <n v="92.54"/>
    <n v="4705.16"/>
    <s v="Karachi"/>
    <s v="Yes"/>
    <n v="1"/>
    <s v="0-12 months"/>
    <x v="1"/>
  </r>
  <r>
    <s v="CUST-00748"/>
    <n v="60"/>
    <s v="Yes"/>
    <s v="Yes"/>
    <s v="Yes"/>
    <n v="44"/>
    <s v="No"/>
    <s v="No phone service"/>
    <s v="No internet"/>
    <x v="1"/>
    <s v="Yes"/>
    <s v="Electronic check"/>
    <n v="26.9"/>
    <n v="1244.19"/>
    <s v="Lahore"/>
    <s v="Yes"/>
    <n v="1"/>
    <s v="0-12 months"/>
    <x v="3"/>
  </r>
  <r>
    <s v="CUST-00749"/>
    <n v="52"/>
    <s v="No"/>
    <s v="Yes"/>
    <s v="Yes"/>
    <n v="28"/>
    <s v="Yes"/>
    <s v="No"/>
    <s v="No internet"/>
    <x v="2"/>
    <s v="Yes"/>
    <s v="Electronic check"/>
    <n v="26.73"/>
    <n v="787.94"/>
    <s v="Rawalpindi"/>
    <s v="Yes"/>
    <n v="1"/>
    <s v="0-12 months"/>
    <x v="3"/>
  </r>
  <r>
    <s v="CUST-00750"/>
    <n v="30"/>
    <s v="No"/>
    <s v="Yes"/>
    <s v="No"/>
    <n v="71"/>
    <s v="No"/>
    <s v="No phone service"/>
    <s v="DSL"/>
    <x v="0"/>
    <s v="No"/>
    <s v="Credit card"/>
    <n v="77.849999999999994"/>
    <n v="5807.49"/>
    <s v="Karachi"/>
    <s v="No"/>
    <n v="0"/>
    <s v="0-12 months"/>
    <x v="1"/>
  </r>
  <r>
    <s v="CUST-00751"/>
    <n v="61"/>
    <s v="Yes"/>
    <s v="No"/>
    <s v="No"/>
    <n v="14"/>
    <s v="No"/>
    <s v="No phone service"/>
    <s v="DSL"/>
    <x v="2"/>
    <s v="Yes"/>
    <s v="Mailed check"/>
    <n v="59.51"/>
    <n v="871.42"/>
    <s v="Multan"/>
    <s v="No"/>
    <n v="0"/>
    <s v="0-12 months"/>
    <x v="0"/>
  </r>
  <r>
    <s v="CUST-00752"/>
    <n v="35"/>
    <s v="No"/>
    <s v="No"/>
    <s v="Yes"/>
    <n v="50"/>
    <s v="No"/>
    <s v="No phone service"/>
    <s v="Fiber optic"/>
    <x v="2"/>
    <s v="Yes"/>
    <s v="Credit card"/>
    <n v="114.47"/>
    <n v="6038.13"/>
    <s v="Rawalpindi"/>
    <s v="Yes"/>
    <n v="1"/>
    <s v="0-12 months"/>
    <x v="2"/>
  </r>
  <r>
    <s v="CUST-00753"/>
    <n v="36"/>
    <s v="No"/>
    <s v="No"/>
    <s v="No"/>
    <n v="4"/>
    <s v="No"/>
    <s v="No phone service"/>
    <s v="Fiber optic"/>
    <x v="2"/>
    <s v="Yes"/>
    <s v="Credit card"/>
    <n v="73.63"/>
    <n v="300.07"/>
    <s v="Peshawar"/>
    <s v="Yes"/>
    <n v="1"/>
    <s v="0-12 months"/>
    <x v="0"/>
  </r>
  <r>
    <s v="CUST-00754"/>
    <n v="38"/>
    <s v="No"/>
    <s v="Yes"/>
    <s v="Yes"/>
    <n v="41"/>
    <s v="No"/>
    <s v="No phone service"/>
    <s v="DSL"/>
    <x v="2"/>
    <s v="No"/>
    <s v="Mailed check"/>
    <n v="62.47"/>
    <n v="2526.11"/>
    <s v="Faisalabad"/>
    <s v="No"/>
    <n v="0"/>
    <s v="0-12 months"/>
    <x v="0"/>
  </r>
  <r>
    <s v="CUST-00755"/>
    <n v="31"/>
    <s v="No"/>
    <s v="Yes"/>
    <s v="No"/>
    <n v="10"/>
    <s v="No"/>
    <s v="No phone service"/>
    <s v="DSL"/>
    <x v="0"/>
    <s v="No"/>
    <s v="Electronic check"/>
    <n v="52.8"/>
    <n v="508.81"/>
    <s v="Rawalpindi"/>
    <s v="No"/>
    <n v="0"/>
    <s v="0-12 months"/>
    <x v="0"/>
  </r>
  <r>
    <s v="CUST-00756"/>
    <n v="20"/>
    <s v="No"/>
    <s v="No"/>
    <s v="No"/>
    <n v="16"/>
    <s v="Yes"/>
    <s v="No"/>
    <s v="Fiber optic"/>
    <x v="0"/>
    <s v="Yes"/>
    <s v="Credit card"/>
    <n v="84.25"/>
    <n v="1371.24"/>
    <s v="Lahore"/>
    <s v="No"/>
    <n v="0"/>
    <s v="0-12 months"/>
    <x v="1"/>
  </r>
  <r>
    <s v="CUST-00757"/>
    <n v="47"/>
    <s v="No"/>
    <s v="No"/>
    <s v="Yes"/>
    <n v="52"/>
    <s v="Yes"/>
    <s v="Yes"/>
    <s v="Fiber optic"/>
    <x v="2"/>
    <s v="No"/>
    <s v="Electronic check"/>
    <n v="110.13"/>
    <n v="5880.18"/>
    <s v="Peshawar"/>
    <s v="Yes"/>
    <n v="1"/>
    <s v="0-12 months"/>
    <x v="2"/>
  </r>
  <r>
    <s v="CUST-00758"/>
    <n v="40"/>
    <s v="No"/>
    <s v="No"/>
    <s v="Yes"/>
    <n v="72"/>
    <s v="No"/>
    <s v="No phone service"/>
    <s v="DSL"/>
    <x v="0"/>
    <s v="No"/>
    <s v="Electronic check"/>
    <n v="79.36"/>
    <n v="5709.35"/>
    <s v="Lahore"/>
    <s v="No"/>
    <n v="0"/>
    <s v="0-12 months"/>
    <x v="1"/>
  </r>
  <r>
    <s v="CUST-00759"/>
    <n v="71"/>
    <s v="Yes"/>
    <s v="No"/>
    <s v="Yes"/>
    <n v="4"/>
    <s v="Yes"/>
    <s v="Yes"/>
    <s v="Fiber optic"/>
    <x v="1"/>
    <s v="No"/>
    <s v="Electronic check"/>
    <n v="74.400000000000006"/>
    <n v="305.60000000000002"/>
    <s v="Peshawar"/>
    <s v="No"/>
    <n v="0"/>
    <s v="0-12 months"/>
    <x v="0"/>
  </r>
  <r>
    <s v="CUST-00760"/>
    <n v="75"/>
    <s v="Yes"/>
    <s v="Yes"/>
    <s v="Yes"/>
    <n v="34"/>
    <s v="Yes"/>
    <s v="Yes"/>
    <s v="No internet"/>
    <x v="1"/>
    <s v="Yes"/>
    <s v="Electronic check"/>
    <n v="26.26"/>
    <n v="924.09"/>
    <s v="Multan"/>
    <s v="No"/>
    <n v="0"/>
    <s v="0-12 months"/>
    <x v="3"/>
  </r>
  <r>
    <s v="CUST-00761"/>
    <n v="28"/>
    <s v="No"/>
    <s v="Yes"/>
    <s v="No"/>
    <n v="16"/>
    <s v="Yes"/>
    <s v="No"/>
    <s v="Fiber optic"/>
    <x v="1"/>
    <s v="No"/>
    <s v="Bank Transfer"/>
    <n v="103.41"/>
    <n v="1658.88"/>
    <s v="Rawalpindi"/>
    <s v="No"/>
    <n v="0"/>
    <s v="0-12 months"/>
    <x v="2"/>
  </r>
  <r>
    <s v="CUST-00762"/>
    <n v="60"/>
    <s v="Yes"/>
    <s v="No"/>
    <s v="No"/>
    <n v="42"/>
    <s v="No"/>
    <s v="No phone service"/>
    <s v="DSL"/>
    <x v="2"/>
    <s v="No"/>
    <s v="Bank Transfer"/>
    <n v="68.459999999999994"/>
    <n v="2824.6"/>
    <s v="Karachi"/>
    <s v="No"/>
    <n v="0"/>
    <s v="0-12 months"/>
    <x v="0"/>
  </r>
  <r>
    <s v="CUST-00763"/>
    <n v="60"/>
    <s v="Yes"/>
    <s v="Yes"/>
    <s v="Yes"/>
    <n v="10"/>
    <s v="Yes"/>
    <s v="Yes"/>
    <s v="No internet"/>
    <x v="0"/>
    <s v="No"/>
    <s v="Bank Transfer"/>
    <n v="20.260000000000002"/>
    <n v="192.99"/>
    <s v="Faisalabad"/>
    <s v="Yes"/>
    <n v="1"/>
    <s v="0-12 months"/>
    <x v="3"/>
  </r>
  <r>
    <s v="CUST-00764"/>
    <n v="66"/>
    <s v="Yes"/>
    <s v="No"/>
    <s v="No"/>
    <n v="59"/>
    <s v="Yes"/>
    <s v="No"/>
    <s v="DSL"/>
    <x v="2"/>
    <s v="No"/>
    <s v="Credit card"/>
    <n v="58.1"/>
    <n v="3477.46"/>
    <s v="Rawalpindi"/>
    <s v="Yes"/>
    <n v="1"/>
    <s v="0-12 months"/>
    <x v="0"/>
  </r>
  <r>
    <s v="CUST-00765"/>
    <n v="30"/>
    <s v="No"/>
    <s v="Yes"/>
    <s v="No"/>
    <n v="55"/>
    <s v="No"/>
    <s v="No phone service"/>
    <s v="Fiber optic"/>
    <x v="1"/>
    <s v="Yes"/>
    <s v="Electronic check"/>
    <n v="113.81"/>
    <n v="6443.6"/>
    <s v="Rawalpindi"/>
    <s v="Yes"/>
    <n v="1"/>
    <s v="0-12 months"/>
    <x v="2"/>
  </r>
  <r>
    <s v="CUST-00766"/>
    <n v="29"/>
    <s v="No"/>
    <s v="No"/>
    <s v="Yes"/>
    <n v="61"/>
    <s v="No"/>
    <s v="No phone service"/>
    <s v="DSL"/>
    <x v="2"/>
    <s v="Yes"/>
    <s v="Mailed check"/>
    <n v="43.36"/>
    <n v="2623.21"/>
    <s v="Faisalabad"/>
    <s v="Yes"/>
    <n v="1"/>
    <s v="0-12 months"/>
    <x v="3"/>
  </r>
  <r>
    <s v="CUST-00767"/>
    <n v="45"/>
    <s v="No"/>
    <s v="No"/>
    <s v="Yes"/>
    <n v="57"/>
    <s v="Yes"/>
    <s v="Yes"/>
    <s v="Fiber optic"/>
    <x v="2"/>
    <s v="No"/>
    <s v="Electronic check"/>
    <n v="79.47"/>
    <n v="4354.0200000000004"/>
    <s v="Faisalabad"/>
    <s v="Yes"/>
    <n v="1"/>
    <s v="0-12 months"/>
    <x v="1"/>
  </r>
  <r>
    <s v="CUST-00768"/>
    <n v="49"/>
    <s v="No"/>
    <s v="No"/>
    <s v="Yes"/>
    <n v="7"/>
    <s v="Yes"/>
    <s v="Yes"/>
    <s v="DSL"/>
    <x v="2"/>
    <s v="Yes"/>
    <s v="Credit card"/>
    <n v="49.55"/>
    <n v="348.19"/>
    <s v="Faisalabad"/>
    <s v="Yes"/>
    <n v="1"/>
    <s v="0-12 months"/>
    <x v="3"/>
  </r>
  <r>
    <s v="CUST-00769"/>
    <n v="62"/>
    <s v="Yes"/>
    <s v="No"/>
    <s v="No"/>
    <n v="51"/>
    <s v="No"/>
    <s v="No phone service"/>
    <s v="Fiber optic"/>
    <x v="2"/>
    <s v="Yes"/>
    <s v="Bank Transfer"/>
    <n v="87.38"/>
    <n v="4343.01"/>
    <s v="Multan"/>
    <s v="No"/>
    <n v="0"/>
    <s v="0-12 months"/>
    <x v="1"/>
  </r>
  <r>
    <s v="CUST-00770"/>
    <n v="18"/>
    <s v="No"/>
    <s v="Yes"/>
    <s v="Yes"/>
    <n v="65"/>
    <s v="No"/>
    <s v="No phone service"/>
    <s v="No internet"/>
    <x v="0"/>
    <s v="Yes"/>
    <s v="Electronic check"/>
    <n v="26.18"/>
    <n v="1633.63"/>
    <s v="Rawalpindi"/>
    <s v="No"/>
    <n v="0"/>
    <s v="0-12 months"/>
    <x v="3"/>
  </r>
  <r>
    <s v="CUST-00771"/>
    <n v="27"/>
    <s v="No"/>
    <s v="Yes"/>
    <s v="No"/>
    <n v="55"/>
    <s v="Yes"/>
    <s v="No"/>
    <s v="Fiber optic"/>
    <x v="1"/>
    <s v="Yes"/>
    <s v="Bank Transfer"/>
    <n v="112.65"/>
    <n v="6265.64"/>
    <s v="Faisalabad"/>
    <s v="No"/>
    <n v="0"/>
    <s v="0-12 months"/>
    <x v="2"/>
  </r>
  <r>
    <s v="CUST-00772"/>
    <n v="18"/>
    <s v="No"/>
    <s v="No"/>
    <s v="Yes"/>
    <n v="61"/>
    <s v="Yes"/>
    <s v="No"/>
    <s v="Fiber optic"/>
    <x v="1"/>
    <s v="Yes"/>
    <s v="Credit card"/>
    <n v="78.37"/>
    <n v="4577.83"/>
    <s v="Islamabad"/>
    <s v="Yes"/>
    <n v="1"/>
    <s v="0-12 months"/>
    <x v="1"/>
  </r>
  <r>
    <s v="CUST-00773"/>
    <n v="69"/>
    <s v="Yes"/>
    <s v="No"/>
    <s v="No"/>
    <n v="63"/>
    <s v="No"/>
    <s v="No phone service"/>
    <s v="DSL"/>
    <x v="0"/>
    <s v="No"/>
    <s v="Credit card"/>
    <n v="40.54"/>
    <n v="2508.85"/>
    <s v="Faisalabad"/>
    <s v="No"/>
    <n v="0"/>
    <s v="0-12 months"/>
    <x v="3"/>
  </r>
  <r>
    <s v="CUST-00774"/>
    <n v="67"/>
    <s v="Yes"/>
    <s v="No"/>
    <s v="Yes"/>
    <n v="35"/>
    <s v="Yes"/>
    <s v="Yes"/>
    <s v="DSL"/>
    <x v="2"/>
    <s v="Yes"/>
    <s v="Bank Transfer"/>
    <n v="45.67"/>
    <n v="1598.03"/>
    <s v="Multan"/>
    <s v="Yes"/>
    <n v="1"/>
    <s v="0-12 months"/>
    <x v="3"/>
  </r>
  <r>
    <s v="CUST-00775"/>
    <n v="62"/>
    <s v="Yes"/>
    <s v="No"/>
    <s v="No"/>
    <n v="27"/>
    <s v="Yes"/>
    <s v="No"/>
    <s v="DSL"/>
    <x v="2"/>
    <s v="Yes"/>
    <s v="Mailed check"/>
    <n v="75.09"/>
    <n v="2070.9299999999998"/>
    <s v="Rawalpindi"/>
    <s v="No"/>
    <n v="0"/>
    <s v="0-12 months"/>
    <x v="1"/>
  </r>
  <r>
    <s v="CUST-00776"/>
    <n v="74"/>
    <s v="Yes"/>
    <s v="Yes"/>
    <s v="No"/>
    <n v="45"/>
    <s v="No"/>
    <s v="No phone service"/>
    <s v="No internet"/>
    <x v="0"/>
    <s v="No"/>
    <s v="Electronic check"/>
    <n v="18.489999999999998"/>
    <n v="834.05"/>
    <s v="Faisalabad"/>
    <s v="No"/>
    <n v="0"/>
    <s v="0-12 months"/>
    <x v="3"/>
  </r>
  <r>
    <s v="CUST-00777"/>
    <n v="25"/>
    <s v="No"/>
    <s v="No"/>
    <s v="No"/>
    <n v="45"/>
    <s v="Yes"/>
    <s v="No"/>
    <s v="Fiber optic"/>
    <x v="0"/>
    <s v="No"/>
    <s v="Bank Transfer"/>
    <n v="96.16"/>
    <n v="4218.04"/>
    <s v="Karachi"/>
    <s v="No"/>
    <n v="0"/>
    <s v="0-12 months"/>
    <x v="1"/>
  </r>
  <r>
    <s v="CUST-00778"/>
    <n v="37"/>
    <s v="No"/>
    <s v="No"/>
    <s v="No"/>
    <n v="9"/>
    <s v="Yes"/>
    <s v="No"/>
    <s v="DSL"/>
    <x v="2"/>
    <s v="Yes"/>
    <s v="Electronic check"/>
    <n v="52.23"/>
    <n v="466.14"/>
    <s v="Lahore"/>
    <s v="No"/>
    <n v="0"/>
    <s v="0-12 months"/>
    <x v="0"/>
  </r>
  <r>
    <s v="CUST-00779"/>
    <n v="21"/>
    <s v="No"/>
    <s v="No"/>
    <s v="Yes"/>
    <n v="45"/>
    <s v="Yes"/>
    <s v="No"/>
    <s v="No internet"/>
    <x v="0"/>
    <s v="Yes"/>
    <s v="Mailed check"/>
    <n v="20.36"/>
    <n v="925.57"/>
    <s v="Karachi"/>
    <s v="Yes"/>
    <n v="1"/>
    <s v="0-12 months"/>
    <x v="3"/>
  </r>
  <r>
    <s v="CUST-00780"/>
    <n v="20"/>
    <s v="No"/>
    <s v="No"/>
    <s v="No"/>
    <n v="32"/>
    <s v="No"/>
    <s v="No phone service"/>
    <s v="No internet"/>
    <x v="2"/>
    <s v="Yes"/>
    <s v="Mailed check"/>
    <n v="29.04"/>
    <n v="940.1"/>
    <s v="Rawalpindi"/>
    <s v="Yes"/>
    <n v="1"/>
    <s v="0-12 months"/>
    <x v="3"/>
  </r>
  <r>
    <s v="CUST-00781"/>
    <n v="61"/>
    <s v="Yes"/>
    <s v="No"/>
    <s v="Yes"/>
    <n v="26"/>
    <s v="No"/>
    <s v="No phone service"/>
    <s v="Fiber optic"/>
    <x v="0"/>
    <s v="No"/>
    <s v="Electronic check"/>
    <n v="84.87"/>
    <n v="2319.7199999999998"/>
    <s v="Karachi"/>
    <s v="No"/>
    <n v="0"/>
    <s v="0-12 months"/>
    <x v="1"/>
  </r>
  <r>
    <s v="CUST-00782"/>
    <n v="42"/>
    <s v="No"/>
    <s v="No"/>
    <s v="Yes"/>
    <n v="18"/>
    <s v="No"/>
    <s v="No phone service"/>
    <s v="DSL"/>
    <x v="2"/>
    <s v="No"/>
    <s v="Credit card"/>
    <n v="57.11"/>
    <n v="1018.17"/>
    <s v="Lahore"/>
    <s v="No"/>
    <n v="0"/>
    <s v="0-12 months"/>
    <x v="0"/>
  </r>
  <r>
    <s v="CUST-00783"/>
    <n v="53"/>
    <s v="No"/>
    <s v="Yes"/>
    <s v="No"/>
    <n v="12"/>
    <s v="No"/>
    <s v="No phone service"/>
    <s v="DSL"/>
    <x v="0"/>
    <s v="No"/>
    <s v="Electronic check"/>
    <n v="61.73"/>
    <n v="746.59"/>
    <s v="Peshawar"/>
    <s v="Yes"/>
    <n v="1"/>
    <s v="0-12 months"/>
    <x v="0"/>
  </r>
  <r>
    <s v="CUST-00784"/>
    <n v="72"/>
    <s v="Yes"/>
    <s v="No"/>
    <s v="Yes"/>
    <n v="52"/>
    <s v="No"/>
    <s v="No phone service"/>
    <s v="DSL"/>
    <x v="1"/>
    <s v="No"/>
    <s v="Bank Transfer"/>
    <n v="43.39"/>
    <n v="2194.0500000000002"/>
    <s v="Lahore"/>
    <s v="No"/>
    <n v="0"/>
    <s v="0-12 months"/>
    <x v="3"/>
  </r>
  <r>
    <s v="CUST-00785"/>
    <n v="39"/>
    <s v="No"/>
    <s v="Yes"/>
    <s v="No"/>
    <n v="62"/>
    <s v="Yes"/>
    <s v="Yes"/>
    <s v="DSL"/>
    <x v="0"/>
    <s v="Yes"/>
    <s v="Bank Transfer"/>
    <n v="60.65"/>
    <n v="3788.3"/>
    <s v="Karachi"/>
    <s v="No"/>
    <n v="0"/>
    <s v="0-12 months"/>
    <x v="0"/>
  </r>
  <r>
    <s v="CUST-00786"/>
    <n v="32"/>
    <s v="No"/>
    <s v="Yes"/>
    <s v="No"/>
    <n v="40"/>
    <s v="Yes"/>
    <s v="No"/>
    <s v="DSL"/>
    <x v="0"/>
    <s v="Yes"/>
    <s v="Electronic check"/>
    <n v="40"/>
    <n v="1619.93"/>
    <s v="Lahore"/>
    <s v="Yes"/>
    <n v="1"/>
    <s v="0-12 months"/>
    <x v="3"/>
  </r>
  <r>
    <s v="CUST-00787"/>
    <n v="33"/>
    <s v="No"/>
    <s v="Yes"/>
    <s v="Yes"/>
    <n v="61"/>
    <s v="No"/>
    <s v="No phone service"/>
    <s v="Fiber optic"/>
    <x v="2"/>
    <s v="Yes"/>
    <s v="Electronic check"/>
    <n v="94.19"/>
    <n v="5527.75"/>
    <s v="Peshawar"/>
    <s v="Yes"/>
    <n v="1"/>
    <s v="0-12 months"/>
    <x v="1"/>
  </r>
  <r>
    <s v="CUST-00788"/>
    <n v="52"/>
    <s v="No"/>
    <s v="No"/>
    <s v="No"/>
    <n v="16"/>
    <s v="Yes"/>
    <s v="Yes"/>
    <s v="Fiber optic"/>
    <x v="1"/>
    <s v="Yes"/>
    <s v="Electronic check"/>
    <n v="107.08"/>
    <n v="1722.88"/>
    <s v="Islamabad"/>
    <s v="No"/>
    <n v="0"/>
    <s v="0-12 months"/>
    <x v="2"/>
  </r>
  <r>
    <s v="CUST-00789"/>
    <n v="36"/>
    <s v="No"/>
    <s v="Yes"/>
    <s v="No"/>
    <n v="48"/>
    <s v="No"/>
    <s v="No phone service"/>
    <s v="DSL"/>
    <x v="2"/>
    <s v="Yes"/>
    <s v="Credit card"/>
    <n v="72.540000000000006"/>
    <n v="3334.91"/>
    <s v="Lahore"/>
    <s v="Yes"/>
    <n v="1"/>
    <s v="0-12 months"/>
    <x v="0"/>
  </r>
  <r>
    <s v="CUST-00790"/>
    <n v="54"/>
    <s v="No"/>
    <s v="No"/>
    <s v="Yes"/>
    <n v="39"/>
    <s v="No"/>
    <s v="No phone service"/>
    <s v="Fiber optic"/>
    <x v="2"/>
    <s v="No"/>
    <s v="Mailed check"/>
    <n v="93.4"/>
    <n v="3740.1"/>
    <s v="Karachi"/>
    <s v="Yes"/>
    <n v="1"/>
    <s v="0-12 months"/>
    <x v="1"/>
  </r>
  <r>
    <s v="CUST-00791"/>
    <n v="40"/>
    <s v="No"/>
    <s v="Yes"/>
    <s v="No"/>
    <n v="68"/>
    <s v="Yes"/>
    <s v="Yes"/>
    <s v="Fiber optic"/>
    <x v="2"/>
    <s v="No"/>
    <s v="Credit card"/>
    <n v="112.93"/>
    <n v="7347.53"/>
    <s v="Multan"/>
    <s v="No"/>
    <n v="0"/>
    <s v="0-12 months"/>
    <x v="2"/>
  </r>
  <r>
    <s v="CUST-00792"/>
    <n v="37"/>
    <s v="No"/>
    <s v="No"/>
    <s v="Yes"/>
    <n v="62"/>
    <s v="No"/>
    <s v="No phone service"/>
    <s v="Fiber optic"/>
    <x v="0"/>
    <s v="Yes"/>
    <s v="Credit card"/>
    <n v="116.37"/>
    <n v="7453.38"/>
    <s v="Karachi"/>
    <s v="No"/>
    <n v="0"/>
    <s v="0-12 months"/>
    <x v="2"/>
  </r>
  <r>
    <s v="CUST-00793"/>
    <n v="62"/>
    <s v="Yes"/>
    <s v="No"/>
    <s v="No"/>
    <n v="52"/>
    <s v="Yes"/>
    <s v="No"/>
    <s v="Fiber optic"/>
    <x v="2"/>
    <s v="Yes"/>
    <s v="Bank Transfer"/>
    <n v="94.97"/>
    <n v="5044.71"/>
    <s v="Karachi"/>
    <s v="Yes"/>
    <n v="1"/>
    <s v="0-12 months"/>
    <x v="1"/>
  </r>
  <r>
    <s v="CUST-00794"/>
    <n v="67"/>
    <s v="Yes"/>
    <s v="Yes"/>
    <s v="Yes"/>
    <n v="23"/>
    <s v="No"/>
    <s v="No phone service"/>
    <s v="DSL"/>
    <x v="0"/>
    <s v="No"/>
    <s v="Mailed check"/>
    <n v="42.48"/>
    <n v="947.79"/>
    <s v="Multan"/>
    <s v="Yes"/>
    <n v="1"/>
    <s v="0-12 months"/>
    <x v="3"/>
  </r>
  <r>
    <s v="CUST-00795"/>
    <n v="22"/>
    <s v="No"/>
    <s v="No"/>
    <s v="No"/>
    <n v="4"/>
    <s v="No"/>
    <s v="No phone service"/>
    <s v="No internet"/>
    <x v="2"/>
    <s v="No"/>
    <s v="Credit card"/>
    <n v="29.87"/>
    <n v="120.54"/>
    <s v="Islamabad"/>
    <s v="Yes"/>
    <n v="1"/>
    <s v="0-12 months"/>
    <x v="3"/>
  </r>
  <r>
    <s v="CUST-00796"/>
    <n v="49"/>
    <s v="No"/>
    <s v="No"/>
    <s v="No"/>
    <n v="29"/>
    <s v="Yes"/>
    <s v="No"/>
    <s v="Fiber optic"/>
    <x v="2"/>
    <s v="Yes"/>
    <s v="Electronic check"/>
    <n v="71.209999999999994"/>
    <n v="2179.04"/>
    <s v="Lahore"/>
    <s v="Yes"/>
    <n v="1"/>
    <s v="0-12 months"/>
    <x v="0"/>
  </r>
  <r>
    <s v="CUST-00797"/>
    <n v="69"/>
    <s v="Yes"/>
    <s v="Yes"/>
    <s v="Yes"/>
    <n v="47"/>
    <s v="Yes"/>
    <s v="Yes"/>
    <s v="DSL"/>
    <x v="0"/>
    <s v="No"/>
    <s v="Electronic check"/>
    <n v="48.3"/>
    <n v="2359.34"/>
    <s v="Islamabad"/>
    <s v="No"/>
    <n v="0"/>
    <s v="0-12 months"/>
    <x v="3"/>
  </r>
  <r>
    <s v="CUST-00798"/>
    <n v="57"/>
    <s v="No"/>
    <s v="Yes"/>
    <s v="Yes"/>
    <n v="57"/>
    <s v="No"/>
    <s v="No phone service"/>
    <s v="Fiber optic"/>
    <x v="1"/>
    <s v="Yes"/>
    <s v="Electronic check"/>
    <n v="95.86"/>
    <n v="5202.3500000000004"/>
    <s v="Lahore"/>
    <s v="No"/>
    <n v="0"/>
    <s v="0-12 months"/>
    <x v="1"/>
  </r>
  <r>
    <s v="CUST-00799"/>
    <n v="56"/>
    <s v="No"/>
    <s v="No"/>
    <s v="Yes"/>
    <n v="29"/>
    <s v="No"/>
    <s v="No phone service"/>
    <s v="No internet"/>
    <x v="1"/>
    <s v="No"/>
    <s v="Credit card"/>
    <n v="22.29"/>
    <n v="675.3"/>
    <s v="Islamabad"/>
    <s v="No"/>
    <n v="0"/>
    <s v="0-12 months"/>
    <x v="3"/>
  </r>
  <r>
    <s v="CUST-00800"/>
    <n v="22"/>
    <s v="No"/>
    <s v="Yes"/>
    <s v="No"/>
    <n v="52"/>
    <s v="Yes"/>
    <s v="No"/>
    <s v="DSL"/>
    <x v="1"/>
    <s v="No"/>
    <s v="Bank Transfer"/>
    <n v="41.29"/>
    <n v="2126.83"/>
    <s v="Peshawar"/>
    <s v="No"/>
    <n v="0"/>
    <s v="0-12 months"/>
    <x v="3"/>
  </r>
  <r>
    <s v="CUST-00801"/>
    <n v="21"/>
    <s v="No"/>
    <s v="Yes"/>
    <s v="Yes"/>
    <n v="71"/>
    <s v="No"/>
    <s v="No phone service"/>
    <s v="No internet"/>
    <x v="1"/>
    <s v="Yes"/>
    <s v="Electronic check"/>
    <n v="18.87"/>
    <n v="1411.8"/>
    <s v="Multan"/>
    <s v="No"/>
    <n v="0"/>
    <s v="0-12 months"/>
    <x v="3"/>
  </r>
  <r>
    <s v="CUST-00802"/>
    <n v="71"/>
    <s v="Yes"/>
    <s v="Yes"/>
    <s v="No"/>
    <n v="10"/>
    <s v="Yes"/>
    <s v="No"/>
    <s v="No internet"/>
    <x v="2"/>
    <s v="Yes"/>
    <s v="Electronic check"/>
    <n v="18.5"/>
    <n v="174.69"/>
    <s v="Multan"/>
    <s v="Yes"/>
    <n v="1"/>
    <s v="0-12 months"/>
    <x v="3"/>
  </r>
  <r>
    <s v="CUST-00803"/>
    <n v="40"/>
    <s v="No"/>
    <s v="No"/>
    <s v="No"/>
    <n v="39"/>
    <s v="Yes"/>
    <s v="Yes"/>
    <s v="DSL"/>
    <x v="2"/>
    <s v="Yes"/>
    <s v="Credit card"/>
    <n v="74.41"/>
    <n v="2965.35"/>
    <s v="Faisalabad"/>
    <s v="No"/>
    <n v="0"/>
    <s v="0-12 months"/>
    <x v="0"/>
  </r>
  <r>
    <s v="CUST-00804"/>
    <n v="48"/>
    <s v="No"/>
    <s v="Yes"/>
    <s v="No"/>
    <n v="49"/>
    <s v="No"/>
    <s v="No phone service"/>
    <s v="DSL"/>
    <x v="0"/>
    <s v="Yes"/>
    <s v="Electronic check"/>
    <n v="44.72"/>
    <n v="2221.69"/>
    <s v="Islamabad"/>
    <s v="No"/>
    <n v="0"/>
    <s v="0-12 months"/>
    <x v="3"/>
  </r>
  <r>
    <s v="CUST-00805"/>
    <n v="30"/>
    <s v="No"/>
    <s v="No"/>
    <s v="No"/>
    <n v="8"/>
    <s v="Yes"/>
    <s v="No"/>
    <s v="Fiber optic"/>
    <x v="2"/>
    <s v="Yes"/>
    <s v="Mailed check"/>
    <n v="70.739999999999995"/>
    <n v="580.85"/>
    <s v="Lahore"/>
    <s v="No"/>
    <n v="0"/>
    <s v="0-12 months"/>
    <x v="0"/>
  </r>
  <r>
    <s v="CUST-00806"/>
    <n v="21"/>
    <s v="No"/>
    <s v="Yes"/>
    <s v="No"/>
    <n v="24"/>
    <s v="No"/>
    <s v="No phone service"/>
    <s v="Fiber optic"/>
    <x v="2"/>
    <s v="Yes"/>
    <s v="Mailed check"/>
    <n v="76.489999999999995"/>
    <n v="1813.25"/>
    <s v="Multan"/>
    <s v="No"/>
    <n v="0"/>
    <s v="0-12 months"/>
    <x v="1"/>
  </r>
  <r>
    <s v="CUST-00807"/>
    <n v="22"/>
    <s v="No"/>
    <s v="Yes"/>
    <s v="No"/>
    <n v="70"/>
    <s v="No"/>
    <s v="No phone service"/>
    <s v="Fiber optic"/>
    <x v="1"/>
    <s v="Yes"/>
    <s v="Credit card"/>
    <n v="85.14"/>
    <n v="5864.63"/>
    <s v="Peshawar"/>
    <s v="No"/>
    <n v="0"/>
    <s v="0-12 months"/>
    <x v="1"/>
  </r>
  <r>
    <s v="CUST-00808"/>
    <n v="59"/>
    <s v="No"/>
    <s v="Yes"/>
    <s v="No"/>
    <n v="41"/>
    <s v="Yes"/>
    <s v="Yes"/>
    <s v="DSL"/>
    <x v="1"/>
    <s v="No"/>
    <s v="Electronic check"/>
    <n v="48.14"/>
    <n v="1887.8"/>
    <s v="Karachi"/>
    <s v="No"/>
    <n v="0"/>
    <s v="0-12 months"/>
    <x v="3"/>
  </r>
  <r>
    <s v="CUST-00809"/>
    <n v="37"/>
    <s v="No"/>
    <s v="Yes"/>
    <s v="Yes"/>
    <n v="48"/>
    <s v="Yes"/>
    <s v="Yes"/>
    <s v="DSL"/>
    <x v="2"/>
    <s v="No"/>
    <s v="Bank Transfer"/>
    <n v="58.15"/>
    <n v="2661.99"/>
    <s v="Lahore"/>
    <s v="No"/>
    <n v="0"/>
    <s v="0-12 months"/>
    <x v="0"/>
  </r>
  <r>
    <s v="CUST-00810"/>
    <n v="35"/>
    <s v="No"/>
    <s v="No"/>
    <s v="No"/>
    <n v="39"/>
    <s v="Yes"/>
    <s v="Yes"/>
    <s v="No internet"/>
    <x v="1"/>
    <s v="No"/>
    <s v="Credit card"/>
    <n v="28.35"/>
    <n v="1090.3499999999999"/>
    <s v="Karachi"/>
    <s v="Yes"/>
    <n v="1"/>
    <s v="0-12 months"/>
    <x v="3"/>
  </r>
  <r>
    <s v="CUST-00811"/>
    <n v="42"/>
    <s v="No"/>
    <s v="Yes"/>
    <s v="No"/>
    <n v="69"/>
    <s v="No"/>
    <s v="No phone service"/>
    <s v="Fiber optic"/>
    <x v="2"/>
    <s v="No"/>
    <s v="Mailed check"/>
    <n v="115.5"/>
    <n v="8212.8700000000008"/>
    <s v="Peshawar"/>
    <s v="Yes"/>
    <n v="1"/>
    <s v="0-12 months"/>
    <x v="2"/>
  </r>
  <r>
    <s v="CUST-00812"/>
    <n v="34"/>
    <s v="No"/>
    <s v="Yes"/>
    <s v="Yes"/>
    <n v="44"/>
    <s v="No"/>
    <s v="No phone service"/>
    <s v="DSL"/>
    <x v="1"/>
    <s v="Yes"/>
    <s v="Bank Transfer"/>
    <n v="62.13"/>
    <n v="2882.15"/>
    <s v="Islamabad"/>
    <s v="No"/>
    <n v="0"/>
    <s v="0-12 months"/>
    <x v="0"/>
  </r>
  <r>
    <s v="CUST-00813"/>
    <n v="72"/>
    <s v="Yes"/>
    <s v="No"/>
    <s v="No"/>
    <n v="67"/>
    <s v="No"/>
    <s v="No phone service"/>
    <s v="Fiber optic"/>
    <x v="2"/>
    <s v="Yes"/>
    <s v="Electronic check"/>
    <n v="70.760000000000005"/>
    <n v="4911.3599999999997"/>
    <s v="Lahore"/>
    <s v="No"/>
    <n v="0"/>
    <s v="0-12 months"/>
    <x v="0"/>
  </r>
  <r>
    <s v="CUST-00814"/>
    <n v="33"/>
    <s v="No"/>
    <s v="No"/>
    <s v="No"/>
    <n v="51"/>
    <s v="No"/>
    <s v="No phone service"/>
    <s v="Fiber optic"/>
    <x v="2"/>
    <s v="No"/>
    <s v="Bank Transfer"/>
    <n v="110.51"/>
    <n v="5709.05"/>
    <s v="Faisalabad"/>
    <s v="Yes"/>
    <n v="1"/>
    <s v="0-12 months"/>
    <x v="2"/>
  </r>
  <r>
    <s v="CUST-00815"/>
    <n v="60"/>
    <s v="Yes"/>
    <s v="No"/>
    <s v="No"/>
    <n v="23"/>
    <s v="Yes"/>
    <s v="No"/>
    <s v="Fiber optic"/>
    <x v="2"/>
    <s v="No"/>
    <s v="Credit card"/>
    <n v="112.22"/>
    <n v="2493.67"/>
    <s v="Lahore"/>
    <s v="Yes"/>
    <n v="1"/>
    <s v="0-12 months"/>
    <x v="2"/>
  </r>
  <r>
    <s v="CUST-00816"/>
    <n v="35"/>
    <s v="No"/>
    <s v="No"/>
    <s v="Yes"/>
    <n v="57"/>
    <s v="No"/>
    <s v="No phone service"/>
    <s v="Fiber optic"/>
    <x v="2"/>
    <s v="No"/>
    <s v="Electronic check"/>
    <n v="101.52"/>
    <n v="5541.45"/>
    <s v="Lahore"/>
    <s v="No"/>
    <n v="0"/>
    <s v="0-12 months"/>
    <x v="2"/>
  </r>
  <r>
    <s v="CUST-00817"/>
    <n v="32"/>
    <s v="No"/>
    <s v="Yes"/>
    <s v="Yes"/>
    <n v="24"/>
    <s v="No"/>
    <s v="No phone service"/>
    <s v="DSL"/>
    <x v="0"/>
    <s v="Yes"/>
    <s v="Credit card"/>
    <n v="49.12"/>
    <n v="1242.78"/>
    <s v="Islamabad"/>
    <s v="No"/>
    <n v="0"/>
    <s v="0-12 months"/>
    <x v="3"/>
  </r>
  <r>
    <s v="CUST-00818"/>
    <n v="19"/>
    <s v="No"/>
    <s v="No"/>
    <s v="Yes"/>
    <n v="31"/>
    <s v="Yes"/>
    <s v="No"/>
    <s v="Fiber optic"/>
    <x v="2"/>
    <s v="Yes"/>
    <s v="Electronic check"/>
    <n v="86.29"/>
    <n v="2633.7"/>
    <s v="Rawalpindi"/>
    <s v="No"/>
    <n v="0"/>
    <s v="0-12 months"/>
    <x v="1"/>
  </r>
  <r>
    <s v="CUST-00819"/>
    <n v="22"/>
    <s v="No"/>
    <s v="No"/>
    <s v="No"/>
    <n v="19"/>
    <s v="No"/>
    <s v="No phone service"/>
    <s v="Fiber optic"/>
    <x v="2"/>
    <s v="No"/>
    <s v="Mailed check"/>
    <n v="88.74"/>
    <n v="1775.59"/>
    <s v="Lahore"/>
    <s v="Yes"/>
    <n v="1"/>
    <s v="0-12 months"/>
    <x v="1"/>
  </r>
  <r>
    <s v="CUST-00820"/>
    <n v="28"/>
    <s v="No"/>
    <s v="No"/>
    <s v="Yes"/>
    <n v="38"/>
    <s v="Yes"/>
    <s v="Yes"/>
    <s v="No internet"/>
    <x v="2"/>
    <s v="No"/>
    <s v="Credit card"/>
    <n v="27.37"/>
    <n v="1041.08"/>
    <s v="Islamabad"/>
    <s v="No"/>
    <n v="0"/>
    <s v="0-12 months"/>
    <x v="3"/>
  </r>
  <r>
    <s v="CUST-00821"/>
    <n v="31"/>
    <s v="No"/>
    <s v="No"/>
    <s v="Yes"/>
    <n v="20"/>
    <s v="Yes"/>
    <s v="No"/>
    <s v="Fiber optic"/>
    <x v="1"/>
    <s v="Yes"/>
    <s v="Credit card"/>
    <n v="119.89"/>
    <n v="2435.3000000000002"/>
    <s v="Faisalabad"/>
    <s v="No"/>
    <n v="0"/>
    <s v="0-12 months"/>
    <x v="2"/>
  </r>
  <r>
    <s v="CUST-00822"/>
    <n v="64"/>
    <s v="Yes"/>
    <s v="Yes"/>
    <s v="Yes"/>
    <n v="61"/>
    <s v="No"/>
    <s v="No phone service"/>
    <s v="DSL"/>
    <x v="2"/>
    <s v="Yes"/>
    <s v="Bank Transfer"/>
    <n v="51.72"/>
    <n v="3058.01"/>
    <s v="Peshawar"/>
    <s v="Yes"/>
    <n v="1"/>
    <s v="0-12 months"/>
    <x v="0"/>
  </r>
  <r>
    <s v="CUST-00823"/>
    <n v="41"/>
    <s v="No"/>
    <s v="Yes"/>
    <s v="No"/>
    <n v="41"/>
    <s v="Yes"/>
    <s v="No"/>
    <s v="DSL"/>
    <x v="2"/>
    <s v="No"/>
    <s v="Credit card"/>
    <n v="54.08"/>
    <n v="2218.7800000000002"/>
    <s v="Multan"/>
    <s v="No"/>
    <n v="0"/>
    <s v="0-12 months"/>
    <x v="0"/>
  </r>
  <r>
    <s v="CUST-00824"/>
    <n v="48"/>
    <s v="No"/>
    <s v="Yes"/>
    <s v="No"/>
    <n v="54"/>
    <s v="Yes"/>
    <s v="No"/>
    <s v="Fiber optic"/>
    <x v="2"/>
    <s v="No"/>
    <s v="Bank Transfer"/>
    <n v="103.3"/>
    <n v="5648.85"/>
    <s v="Islamabad"/>
    <s v="No"/>
    <n v="0"/>
    <s v="0-12 months"/>
    <x v="2"/>
  </r>
  <r>
    <s v="CUST-00825"/>
    <n v="38"/>
    <s v="No"/>
    <s v="Yes"/>
    <s v="Yes"/>
    <n v="53"/>
    <s v="Yes"/>
    <s v="No"/>
    <s v="Fiber optic"/>
    <x v="0"/>
    <s v="Yes"/>
    <s v="Mailed check"/>
    <n v="113.82"/>
    <n v="5681.74"/>
    <s v="Islamabad"/>
    <s v="Yes"/>
    <n v="1"/>
    <s v="0-12 months"/>
    <x v="2"/>
  </r>
  <r>
    <s v="CUST-00826"/>
    <n v="66"/>
    <s v="Yes"/>
    <s v="No"/>
    <s v="Yes"/>
    <n v="17"/>
    <s v="No"/>
    <s v="No phone service"/>
    <s v="No internet"/>
    <x v="2"/>
    <s v="Yes"/>
    <s v="Mailed check"/>
    <n v="19.59"/>
    <n v="347.69"/>
    <s v="Rawalpindi"/>
    <s v="No"/>
    <n v="0"/>
    <s v="0-12 months"/>
    <x v="3"/>
  </r>
  <r>
    <s v="CUST-00827"/>
    <n v="40"/>
    <s v="No"/>
    <s v="Yes"/>
    <s v="No"/>
    <n v="72"/>
    <s v="No"/>
    <s v="No phone service"/>
    <s v="Fiber optic"/>
    <x v="2"/>
    <s v="No"/>
    <s v="Credit card"/>
    <n v="100.83"/>
    <n v="7690.24"/>
    <s v="Multan"/>
    <s v="Yes"/>
    <n v="1"/>
    <s v="0-12 months"/>
    <x v="2"/>
  </r>
  <r>
    <s v="CUST-00828"/>
    <n v="40"/>
    <s v="No"/>
    <s v="No"/>
    <s v="No"/>
    <n v="58"/>
    <s v="No"/>
    <s v="No phone service"/>
    <s v="DSL"/>
    <x v="2"/>
    <s v="No"/>
    <s v="Bank Transfer"/>
    <n v="69.34"/>
    <n v="4129.68"/>
    <s v="Peshawar"/>
    <s v="No"/>
    <n v="0"/>
    <s v="0-12 months"/>
    <x v="0"/>
  </r>
  <r>
    <s v="CUST-00829"/>
    <n v="50"/>
    <s v="No"/>
    <s v="Yes"/>
    <s v="Yes"/>
    <n v="1"/>
    <s v="No"/>
    <s v="No phone service"/>
    <s v="DSL"/>
    <x v="0"/>
    <s v="No"/>
    <s v="Credit card"/>
    <n v="57.54"/>
    <n v="57.6"/>
    <s v="Peshawar"/>
    <s v="No"/>
    <n v="0"/>
    <s v="0-12 months"/>
    <x v="0"/>
  </r>
  <r>
    <s v="CUST-00830"/>
    <n v="24"/>
    <s v="No"/>
    <s v="Yes"/>
    <s v="No"/>
    <n v="64"/>
    <s v="No"/>
    <s v="No phone service"/>
    <s v="Fiber optic"/>
    <x v="2"/>
    <s v="No"/>
    <s v="Electronic check"/>
    <n v="78.92"/>
    <n v="4834.62"/>
    <s v="Multan"/>
    <s v="No"/>
    <n v="0"/>
    <s v="0-12 months"/>
    <x v="1"/>
  </r>
  <r>
    <s v="CUST-00831"/>
    <n v="74"/>
    <s v="Yes"/>
    <s v="Yes"/>
    <s v="No"/>
    <n v="67"/>
    <s v="No"/>
    <s v="No phone service"/>
    <s v="Fiber optic"/>
    <x v="2"/>
    <s v="No"/>
    <s v="Electronic check"/>
    <n v="84.39"/>
    <n v="5645.06"/>
    <s v="Karachi"/>
    <s v="Yes"/>
    <n v="1"/>
    <s v="0-12 months"/>
    <x v="1"/>
  </r>
  <r>
    <s v="CUST-00832"/>
    <n v="36"/>
    <s v="No"/>
    <s v="No"/>
    <s v="Yes"/>
    <n v="30"/>
    <s v="Yes"/>
    <s v="Yes"/>
    <s v="DSL"/>
    <x v="0"/>
    <s v="Yes"/>
    <s v="Electronic check"/>
    <n v="76.099999999999994"/>
    <n v="2408.98"/>
    <s v="Peshawar"/>
    <s v="No"/>
    <n v="0"/>
    <s v="0-12 months"/>
    <x v="1"/>
  </r>
  <r>
    <s v="CUST-00833"/>
    <n v="30"/>
    <s v="No"/>
    <s v="Yes"/>
    <s v="No"/>
    <n v="4"/>
    <s v="No"/>
    <s v="No phone service"/>
    <s v="Fiber optic"/>
    <x v="1"/>
    <s v="No"/>
    <s v="Bank Transfer"/>
    <n v="96.04"/>
    <n v="399.42"/>
    <s v="Lahore"/>
    <s v="Yes"/>
    <n v="1"/>
    <s v="0-12 months"/>
    <x v="1"/>
  </r>
  <r>
    <s v="CUST-00834"/>
    <n v="63"/>
    <s v="Yes"/>
    <s v="Yes"/>
    <s v="No"/>
    <n v="56"/>
    <s v="Yes"/>
    <s v="No"/>
    <s v="DSL"/>
    <x v="1"/>
    <s v="Yes"/>
    <s v="Mailed check"/>
    <n v="72.150000000000006"/>
    <n v="4158.84"/>
    <s v="Lahore"/>
    <s v="No"/>
    <n v="0"/>
    <s v="0-12 months"/>
    <x v="0"/>
  </r>
  <r>
    <s v="CUST-00835"/>
    <n v="38"/>
    <s v="No"/>
    <s v="Yes"/>
    <s v="No"/>
    <n v="36"/>
    <s v="Yes"/>
    <s v="No"/>
    <s v="DSL"/>
    <x v="2"/>
    <s v="Yes"/>
    <s v="Credit card"/>
    <n v="77.290000000000006"/>
    <n v="2880.67"/>
    <s v="Peshawar"/>
    <s v="No"/>
    <n v="0"/>
    <s v="0-12 months"/>
    <x v="1"/>
  </r>
  <r>
    <s v="CUST-00836"/>
    <n v="53"/>
    <s v="No"/>
    <s v="Yes"/>
    <s v="Yes"/>
    <n v="32"/>
    <s v="No"/>
    <s v="No phone service"/>
    <s v="Fiber optic"/>
    <x v="1"/>
    <s v="Yes"/>
    <s v="Bank Transfer"/>
    <n v="83.26"/>
    <n v="2552.88"/>
    <s v="Multan"/>
    <s v="No"/>
    <n v="0"/>
    <s v="0-12 months"/>
    <x v="1"/>
  </r>
  <r>
    <s v="CUST-00837"/>
    <n v="49"/>
    <s v="No"/>
    <s v="No"/>
    <s v="Yes"/>
    <n v="26"/>
    <s v="Yes"/>
    <s v="No"/>
    <s v="DSL"/>
    <x v="1"/>
    <s v="Yes"/>
    <s v="Electronic check"/>
    <n v="42.69"/>
    <n v="1117.6300000000001"/>
    <s v="Karachi"/>
    <s v="No"/>
    <n v="0"/>
    <s v="0-12 months"/>
    <x v="3"/>
  </r>
  <r>
    <s v="CUST-00838"/>
    <n v="20"/>
    <s v="No"/>
    <s v="No"/>
    <s v="No"/>
    <n v="49"/>
    <s v="Yes"/>
    <s v="No"/>
    <s v="DSL"/>
    <x v="2"/>
    <s v="Yes"/>
    <s v="Mailed check"/>
    <n v="73.63"/>
    <n v="3770.24"/>
    <s v="Rawalpindi"/>
    <s v="No"/>
    <n v="0"/>
    <s v="0-12 months"/>
    <x v="0"/>
  </r>
  <r>
    <s v="CUST-00839"/>
    <n v="68"/>
    <s v="Yes"/>
    <s v="No"/>
    <s v="No"/>
    <n v="70"/>
    <s v="Yes"/>
    <s v="Yes"/>
    <s v="DSL"/>
    <x v="1"/>
    <s v="No"/>
    <s v="Credit card"/>
    <n v="57.89"/>
    <n v="3929.46"/>
    <s v="Karachi"/>
    <s v="No"/>
    <n v="0"/>
    <s v="0-12 months"/>
    <x v="0"/>
  </r>
  <r>
    <s v="CUST-00840"/>
    <n v="47"/>
    <s v="No"/>
    <s v="No"/>
    <s v="Yes"/>
    <n v="45"/>
    <s v="Yes"/>
    <s v="No"/>
    <s v="DSL"/>
    <x v="2"/>
    <s v="No"/>
    <s v="Bank Transfer"/>
    <n v="67.489999999999995"/>
    <n v="2865.38"/>
    <s v="Karachi"/>
    <s v="Yes"/>
    <n v="1"/>
    <s v="0-12 months"/>
    <x v="0"/>
  </r>
  <r>
    <s v="CUST-00841"/>
    <n v="74"/>
    <s v="Yes"/>
    <s v="No"/>
    <s v="Yes"/>
    <n v="72"/>
    <s v="No"/>
    <s v="No phone service"/>
    <s v="DSL"/>
    <x v="0"/>
    <s v="No"/>
    <s v="Credit card"/>
    <n v="57.68"/>
    <n v="4102.47"/>
    <s v="Islamabad"/>
    <s v="No"/>
    <n v="0"/>
    <s v="0-12 months"/>
    <x v="0"/>
  </r>
  <r>
    <s v="CUST-00842"/>
    <n v="49"/>
    <s v="No"/>
    <s v="Yes"/>
    <s v="No"/>
    <n v="6"/>
    <s v="No"/>
    <s v="No phone service"/>
    <s v="Fiber optic"/>
    <x v="2"/>
    <s v="Yes"/>
    <s v="Credit card"/>
    <n v="108.98"/>
    <n v="623.29999999999995"/>
    <s v="Faisalabad"/>
    <s v="No"/>
    <n v="0"/>
    <s v="0-12 months"/>
    <x v="2"/>
  </r>
  <r>
    <s v="CUST-00843"/>
    <n v="39"/>
    <s v="No"/>
    <s v="Yes"/>
    <s v="Yes"/>
    <n v="3"/>
    <s v="Yes"/>
    <s v="No"/>
    <s v="No internet"/>
    <x v="2"/>
    <s v="No"/>
    <s v="Bank Transfer"/>
    <n v="24.63"/>
    <n v="75.260000000000005"/>
    <s v="Islamabad"/>
    <s v="No"/>
    <n v="0"/>
    <s v="0-12 months"/>
    <x v="3"/>
  </r>
  <r>
    <s v="CUST-00844"/>
    <n v="52"/>
    <s v="No"/>
    <s v="Yes"/>
    <s v="Yes"/>
    <n v="69"/>
    <s v="Yes"/>
    <s v="Yes"/>
    <s v="Fiber optic"/>
    <x v="2"/>
    <s v="No"/>
    <s v="Electronic check"/>
    <n v="80.78"/>
    <n v="5729.89"/>
    <s v="Lahore"/>
    <s v="No"/>
    <n v="0"/>
    <s v="0-12 months"/>
    <x v="1"/>
  </r>
  <r>
    <s v="CUST-00845"/>
    <n v="72"/>
    <s v="Yes"/>
    <s v="Yes"/>
    <s v="Yes"/>
    <n v="65"/>
    <s v="No"/>
    <s v="No phone service"/>
    <s v="Fiber optic"/>
    <x v="2"/>
    <s v="No"/>
    <s v="Electronic check"/>
    <n v="81.5"/>
    <n v="5470.67"/>
    <s v="Islamabad"/>
    <s v="Yes"/>
    <n v="1"/>
    <s v="0-12 months"/>
    <x v="1"/>
  </r>
  <r>
    <s v="CUST-00846"/>
    <n v="65"/>
    <s v="Yes"/>
    <s v="Yes"/>
    <s v="No"/>
    <n v="52"/>
    <s v="No"/>
    <s v="No phone service"/>
    <s v="Fiber optic"/>
    <x v="1"/>
    <s v="Yes"/>
    <s v="Electronic check"/>
    <n v="106.11"/>
    <n v="5691.45"/>
    <s v="Lahore"/>
    <s v="No"/>
    <n v="0"/>
    <s v="0-12 months"/>
    <x v="2"/>
  </r>
  <r>
    <s v="CUST-00847"/>
    <n v="65"/>
    <s v="Yes"/>
    <s v="Yes"/>
    <s v="Yes"/>
    <n v="51"/>
    <s v="No"/>
    <s v="No phone service"/>
    <s v="Fiber optic"/>
    <x v="0"/>
    <s v="No"/>
    <s v="Credit card"/>
    <n v="71.17"/>
    <n v="3531.26"/>
    <s v="Islamabad"/>
    <s v="Yes"/>
    <n v="1"/>
    <s v="0-12 months"/>
    <x v="0"/>
  </r>
  <r>
    <s v="CUST-00848"/>
    <n v="59"/>
    <s v="No"/>
    <s v="No"/>
    <s v="No"/>
    <n v="38"/>
    <s v="Yes"/>
    <s v="No"/>
    <s v="Fiber optic"/>
    <x v="0"/>
    <s v="No"/>
    <s v="Electronic check"/>
    <n v="105.14"/>
    <n v="3998.48"/>
    <s v="Rawalpindi"/>
    <s v="No"/>
    <n v="0"/>
    <s v="0-12 months"/>
    <x v="2"/>
  </r>
  <r>
    <s v="CUST-00849"/>
    <n v="64"/>
    <s v="Yes"/>
    <s v="No"/>
    <s v="No"/>
    <n v="70"/>
    <s v="No"/>
    <s v="No phone service"/>
    <s v="DSL"/>
    <x v="2"/>
    <s v="Yes"/>
    <s v="Credit card"/>
    <n v="49.28"/>
    <n v="3395.71"/>
    <s v="Multan"/>
    <s v="No"/>
    <n v="0"/>
    <s v="0-12 months"/>
    <x v="3"/>
  </r>
  <r>
    <s v="CUST-00850"/>
    <n v="37"/>
    <s v="No"/>
    <s v="No"/>
    <s v="Yes"/>
    <n v="11"/>
    <s v="Yes"/>
    <s v="Yes"/>
    <s v="Fiber optic"/>
    <x v="1"/>
    <s v="Yes"/>
    <s v="Electronic check"/>
    <n v="90.16"/>
    <n v="1031.99"/>
    <s v="Peshawar"/>
    <s v="No"/>
    <n v="0"/>
    <s v="0-12 months"/>
    <x v="1"/>
  </r>
  <r>
    <s v="CUST-00851"/>
    <n v="54"/>
    <s v="No"/>
    <s v="Yes"/>
    <s v="Yes"/>
    <n v="64"/>
    <s v="No"/>
    <s v="No phone service"/>
    <s v="Fiber optic"/>
    <x v="0"/>
    <s v="Yes"/>
    <s v="Electronic check"/>
    <n v="104.45"/>
    <n v="6764"/>
    <s v="Islamabad"/>
    <s v="No"/>
    <n v="0"/>
    <s v="0-12 months"/>
    <x v="2"/>
  </r>
  <r>
    <s v="CUST-00852"/>
    <n v="62"/>
    <s v="Yes"/>
    <s v="Yes"/>
    <s v="No"/>
    <n v="70"/>
    <s v="Yes"/>
    <s v="Yes"/>
    <s v="DSL"/>
    <x v="0"/>
    <s v="Yes"/>
    <s v="Mailed check"/>
    <n v="57.03"/>
    <n v="3789.7"/>
    <s v="Lahore"/>
    <s v="Yes"/>
    <n v="1"/>
    <s v="0-12 months"/>
    <x v="0"/>
  </r>
  <r>
    <s v="CUST-00853"/>
    <n v="28"/>
    <s v="No"/>
    <s v="Yes"/>
    <s v="Yes"/>
    <n v="26"/>
    <s v="Yes"/>
    <s v="Yes"/>
    <s v="Fiber optic"/>
    <x v="2"/>
    <s v="Yes"/>
    <s v="Bank Transfer"/>
    <n v="96.23"/>
    <n v="2393.85"/>
    <s v="Rawalpindi"/>
    <s v="No"/>
    <n v="0"/>
    <s v="0-12 months"/>
    <x v="1"/>
  </r>
  <r>
    <s v="CUST-00854"/>
    <n v="43"/>
    <s v="No"/>
    <s v="Yes"/>
    <s v="No"/>
    <n v="16"/>
    <s v="No"/>
    <s v="No phone service"/>
    <s v="Fiber optic"/>
    <x v="0"/>
    <s v="No"/>
    <s v="Credit card"/>
    <n v="100.76"/>
    <n v="1587.33"/>
    <s v="Karachi"/>
    <s v="No"/>
    <n v="0"/>
    <s v="0-12 months"/>
    <x v="2"/>
  </r>
  <r>
    <s v="CUST-00855"/>
    <n v="36"/>
    <s v="No"/>
    <s v="Yes"/>
    <s v="No"/>
    <n v="67"/>
    <s v="No"/>
    <s v="No phone service"/>
    <s v="DSL"/>
    <x v="2"/>
    <s v="No"/>
    <s v="Mailed check"/>
    <n v="68.81"/>
    <n v="4805.2299999999996"/>
    <s v="Faisalabad"/>
    <s v="Yes"/>
    <n v="1"/>
    <s v="0-12 months"/>
    <x v="0"/>
  </r>
  <r>
    <s v="CUST-00856"/>
    <n v="63"/>
    <s v="Yes"/>
    <s v="No"/>
    <s v="Yes"/>
    <n v="41"/>
    <s v="Yes"/>
    <s v="No"/>
    <s v="Fiber optic"/>
    <x v="1"/>
    <s v="Yes"/>
    <s v="Electronic check"/>
    <n v="79.38"/>
    <n v="3330.36"/>
    <s v="Islamabad"/>
    <s v="No"/>
    <n v="0"/>
    <s v="0-12 months"/>
    <x v="1"/>
  </r>
  <r>
    <s v="CUST-00857"/>
    <n v="24"/>
    <s v="No"/>
    <s v="Yes"/>
    <s v="No"/>
    <n v="21"/>
    <s v="Yes"/>
    <s v="Yes"/>
    <s v="Fiber optic"/>
    <x v="2"/>
    <s v="Yes"/>
    <s v="Electronic check"/>
    <n v="111.04"/>
    <n v="2434.84"/>
    <s v="Islamabad"/>
    <s v="No"/>
    <n v="0"/>
    <s v="0-12 months"/>
    <x v="2"/>
  </r>
  <r>
    <s v="CUST-00858"/>
    <n v="41"/>
    <s v="No"/>
    <s v="No"/>
    <s v="No"/>
    <n v="72"/>
    <s v="Yes"/>
    <s v="Yes"/>
    <s v="DSL"/>
    <x v="2"/>
    <s v="Yes"/>
    <s v="Electronic check"/>
    <n v="50.52"/>
    <n v="3463.86"/>
    <s v="Faisalabad"/>
    <s v="No"/>
    <n v="0"/>
    <s v="0-12 months"/>
    <x v="0"/>
  </r>
  <r>
    <s v="CUST-00859"/>
    <n v="59"/>
    <s v="No"/>
    <s v="No"/>
    <s v="No"/>
    <n v="36"/>
    <s v="No"/>
    <s v="No phone service"/>
    <s v="No internet"/>
    <x v="2"/>
    <s v="Yes"/>
    <s v="Bank Transfer"/>
    <n v="29.87"/>
    <n v="1022.59"/>
    <s v="Karachi"/>
    <s v="No"/>
    <n v="0"/>
    <s v="0-12 months"/>
    <x v="3"/>
  </r>
  <r>
    <s v="CUST-00860"/>
    <n v="27"/>
    <s v="No"/>
    <s v="Yes"/>
    <s v="No"/>
    <n v="1"/>
    <s v="Yes"/>
    <s v="Yes"/>
    <s v="Fiber optic"/>
    <x v="1"/>
    <s v="No"/>
    <s v="Bank Transfer"/>
    <n v="86.35"/>
    <n v="86.35"/>
    <s v="Faisalabad"/>
    <s v="Yes"/>
    <n v="1"/>
    <s v="0-12 months"/>
    <x v="1"/>
  </r>
  <r>
    <s v="CUST-00861"/>
    <n v="43"/>
    <s v="No"/>
    <s v="No"/>
    <s v="No"/>
    <n v="61"/>
    <s v="No"/>
    <s v="No phone service"/>
    <s v="Fiber optic"/>
    <x v="2"/>
    <s v="Yes"/>
    <s v="Mailed check"/>
    <n v="117.27"/>
    <n v="7439.84"/>
    <s v="Peshawar"/>
    <s v="No"/>
    <n v="0"/>
    <s v="0-12 months"/>
    <x v="2"/>
  </r>
  <r>
    <s v="CUST-00862"/>
    <n v="45"/>
    <s v="No"/>
    <s v="No"/>
    <s v="No"/>
    <n v="33"/>
    <s v="No"/>
    <s v="No phone service"/>
    <s v="DSL"/>
    <x v="0"/>
    <s v="Yes"/>
    <s v="Electronic check"/>
    <n v="54.63"/>
    <n v="1795.45"/>
    <s v="Multan"/>
    <s v="No"/>
    <n v="0"/>
    <s v="0-12 months"/>
    <x v="0"/>
  </r>
  <r>
    <s v="CUST-00863"/>
    <n v="45"/>
    <s v="No"/>
    <s v="Yes"/>
    <s v="Yes"/>
    <n v="49"/>
    <s v="Yes"/>
    <s v="Yes"/>
    <s v="Fiber optic"/>
    <x v="2"/>
    <s v="Yes"/>
    <s v="Electronic check"/>
    <n v="85.52"/>
    <n v="3986.37"/>
    <s v="Islamabad"/>
    <s v="Yes"/>
    <n v="1"/>
    <s v="0-12 months"/>
    <x v="1"/>
  </r>
  <r>
    <s v="CUST-00864"/>
    <n v="50"/>
    <s v="No"/>
    <s v="Yes"/>
    <s v="No"/>
    <n v="5"/>
    <s v="No"/>
    <s v="No phone service"/>
    <s v="DSL"/>
    <x v="2"/>
    <s v="No"/>
    <s v="Electronic check"/>
    <n v="42.29"/>
    <n v="213.28"/>
    <s v="Multan"/>
    <s v="Yes"/>
    <n v="1"/>
    <s v="0-12 months"/>
    <x v="3"/>
  </r>
  <r>
    <s v="CUST-00865"/>
    <n v="48"/>
    <s v="No"/>
    <s v="No"/>
    <s v="No"/>
    <n v="23"/>
    <s v="Yes"/>
    <s v="Yes"/>
    <s v="DSL"/>
    <x v="2"/>
    <s v="Yes"/>
    <s v="Bank Transfer"/>
    <n v="47.08"/>
    <n v="1128.44"/>
    <s v="Peshawar"/>
    <s v="Yes"/>
    <n v="1"/>
    <s v="0-12 months"/>
    <x v="3"/>
  </r>
  <r>
    <s v="CUST-00866"/>
    <n v="72"/>
    <s v="Yes"/>
    <s v="Yes"/>
    <s v="Yes"/>
    <n v="57"/>
    <s v="Yes"/>
    <s v="Yes"/>
    <s v="DSL"/>
    <x v="1"/>
    <s v="No"/>
    <s v="Mailed check"/>
    <n v="47.77"/>
    <n v="2760.14"/>
    <s v="Peshawar"/>
    <s v="Yes"/>
    <n v="1"/>
    <s v="0-12 months"/>
    <x v="3"/>
  </r>
  <r>
    <s v="CUST-00867"/>
    <n v="61"/>
    <s v="Yes"/>
    <s v="No"/>
    <s v="Yes"/>
    <n v="47"/>
    <s v="No"/>
    <s v="No phone service"/>
    <s v="DSL"/>
    <x v="2"/>
    <s v="Yes"/>
    <s v="Electronic check"/>
    <n v="73"/>
    <n v="3431.63"/>
    <s v="Lahore"/>
    <s v="No"/>
    <n v="0"/>
    <s v="0-12 months"/>
    <x v="0"/>
  </r>
  <r>
    <s v="CUST-00868"/>
    <n v="29"/>
    <s v="No"/>
    <s v="No"/>
    <s v="Yes"/>
    <n v="36"/>
    <s v="No"/>
    <s v="No phone service"/>
    <s v="DSL"/>
    <x v="2"/>
    <s v="Yes"/>
    <s v="Electronic check"/>
    <n v="62.42"/>
    <n v="2144.04"/>
    <s v="Peshawar"/>
    <s v="No"/>
    <n v="0"/>
    <s v="0-12 months"/>
    <x v="0"/>
  </r>
  <r>
    <s v="CUST-00869"/>
    <n v="62"/>
    <s v="Yes"/>
    <s v="Yes"/>
    <s v="No"/>
    <n v="12"/>
    <s v="Yes"/>
    <s v="Yes"/>
    <s v="Fiber optic"/>
    <x v="2"/>
    <s v="No"/>
    <s v="Credit card"/>
    <n v="118.29"/>
    <n v="1464.91"/>
    <s v="Karachi"/>
    <s v="No"/>
    <n v="0"/>
    <s v="0-12 months"/>
    <x v="2"/>
  </r>
  <r>
    <s v="CUST-00870"/>
    <n v="58"/>
    <s v="No"/>
    <s v="No"/>
    <s v="No"/>
    <n v="11"/>
    <s v="Yes"/>
    <s v="Yes"/>
    <s v="No internet"/>
    <x v="0"/>
    <s v="Yes"/>
    <s v="Bank Transfer"/>
    <n v="26.86"/>
    <n v="288.74"/>
    <s v="Islamabad"/>
    <s v="No"/>
    <n v="0"/>
    <s v="0-12 months"/>
    <x v="3"/>
  </r>
  <r>
    <s v="CUST-00871"/>
    <n v="29"/>
    <s v="No"/>
    <s v="No"/>
    <s v="Yes"/>
    <n v="41"/>
    <s v="Yes"/>
    <s v="Yes"/>
    <s v="Fiber optic"/>
    <x v="2"/>
    <s v="No"/>
    <s v="Electronic check"/>
    <n v="91.98"/>
    <n v="3586.73"/>
    <s v="Islamabad"/>
    <s v="Yes"/>
    <n v="1"/>
    <s v="0-12 months"/>
    <x v="1"/>
  </r>
  <r>
    <s v="CUST-00872"/>
    <n v="40"/>
    <s v="No"/>
    <s v="No"/>
    <s v="Yes"/>
    <n v="5"/>
    <s v="No"/>
    <s v="No phone service"/>
    <s v="No internet"/>
    <x v="2"/>
    <s v="Yes"/>
    <s v="Mailed check"/>
    <n v="23.21"/>
    <n v="118.08"/>
    <s v="Islamabad"/>
    <s v="No"/>
    <n v="0"/>
    <s v="0-12 months"/>
    <x v="3"/>
  </r>
  <r>
    <s v="CUST-00873"/>
    <n v="31"/>
    <s v="No"/>
    <s v="No"/>
    <s v="No"/>
    <n v="12"/>
    <s v="Yes"/>
    <s v="Yes"/>
    <s v="DSL"/>
    <x v="2"/>
    <s v="Yes"/>
    <s v="Mailed check"/>
    <n v="60.68"/>
    <n v="739.62"/>
    <s v="Rawalpindi"/>
    <s v="No"/>
    <n v="0"/>
    <s v="0-12 months"/>
    <x v="0"/>
  </r>
  <r>
    <s v="CUST-00874"/>
    <n v="55"/>
    <s v="No"/>
    <s v="No"/>
    <s v="No"/>
    <n v="49"/>
    <s v="Yes"/>
    <s v="Yes"/>
    <s v="DSL"/>
    <x v="2"/>
    <s v="No"/>
    <s v="Mailed check"/>
    <n v="40.32"/>
    <n v="1957.05"/>
    <s v="Multan"/>
    <s v="No"/>
    <n v="0"/>
    <s v="0-12 months"/>
    <x v="3"/>
  </r>
  <r>
    <s v="CUST-00875"/>
    <n v="75"/>
    <s v="Yes"/>
    <s v="Yes"/>
    <s v="Yes"/>
    <n v="46"/>
    <s v="No"/>
    <s v="No phone service"/>
    <s v="Fiber optic"/>
    <x v="2"/>
    <s v="Yes"/>
    <s v="Credit card"/>
    <n v="100.83"/>
    <n v="4690.26"/>
    <s v="Multan"/>
    <s v="No"/>
    <n v="0"/>
    <s v="0-12 months"/>
    <x v="2"/>
  </r>
  <r>
    <s v="CUST-00876"/>
    <n v="43"/>
    <s v="No"/>
    <s v="No"/>
    <s v="Yes"/>
    <n v="33"/>
    <s v="No"/>
    <s v="No phone service"/>
    <s v="DSL"/>
    <x v="2"/>
    <s v="No"/>
    <s v="Electronic check"/>
    <n v="78.83"/>
    <n v="2719.21"/>
    <s v="Faisalabad"/>
    <s v="No"/>
    <n v="0"/>
    <s v="0-12 months"/>
    <x v="1"/>
  </r>
  <r>
    <s v="CUST-00877"/>
    <n v="24"/>
    <s v="No"/>
    <s v="No"/>
    <s v="No"/>
    <n v="35"/>
    <s v="No"/>
    <s v="No phone service"/>
    <s v="No internet"/>
    <x v="0"/>
    <s v="Yes"/>
    <s v="Credit card"/>
    <n v="29.07"/>
    <n v="1064.6500000000001"/>
    <s v="Faisalabad"/>
    <s v="No"/>
    <n v="0"/>
    <s v="0-12 months"/>
    <x v="3"/>
  </r>
  <r>
    <s v="CUST-00878"/>
    <n v="30"/>
    <s v="No"/>
    <s v="Yes"/>
    <s v="Yes"/>
    <n v="43"/>
    <s v="Yes"/>
    <s v="No"/>
    <s v="DSL"/>
    <x v="2"/>
    <s v="Yes"/>
    <s v="Bank Transfer"/>
    <n v="58.35"/>
    <n v="2408.29"/>
    <s v="Karachi"/>
    <s v="Yes"/>
    <n v="1"/>
    <s v="0-12 months"/>
    <x v="0"/>
  </r>
  <r>
    <s v="CUST-00879"/>
    <n v="30"/>
    <s v="No"/>
    <s v="Yes"/>
    <s v="No"/>
    <n v="40"/>
    <s v="Yes"/>
    <s v="No"/>
    <s v="Fiber optic"/>
    <x v="2"/>
    <s v="Yes"/>
    <s v="Electronic check"/>
    <n v="97.77"/>
    <n v="4040.14"/>
    <s v="Karachi"/>
    <s v="Yes"/>
    <n v="1"/>
    <s v="0-12 months"/>
    <x v="1"/>
  </r>
  <r>
    <s v="CUST-00880"/>
    <n v="40"/>
    <s v="No"/>
    <s v="Yes"/>
    <s v="No"/>
    <n v="71"/>
    <s v="Yes"/>
    <s v="No"/>
    <s v="DSL"/>
    <x v="0"/>
    <s v="No"/>
    <s v="Bank Transfer"/>
    <n v="70.52"/>
    <n v="4764.08"/>
    <s v="Peshawar"/>
    <s v="Yes"/>
    <n v="1"/>
    <s v="0-12 months"/>
    <x v="0"/>
  </r>
  <r>
    <s v="CUST-00881"/>
    <n v="26"/>
    <s v="No"/>
    <s v="No"/>
    <s v="No"/>
    <n v="37"/>
    <s v="No"/>
    <s v="No phone service"/>
    <s v="No internet"/>
    <x v="0"/>
    <s v="Yes"/>
    <s v="Electronic check"/>
    <n v="26.04"/>
    <n v="1017.85"/>
    <s v="Faisalabad"/>
    <s v="Yes"/>
    <n v="1"/>
    <s v="0-12 months"/>
    <x v="3"/>
  </r>
  <r>
    <s v="CUST-00882"/>
    <n v="29"/>
    <s v="No"/>
    <s v="Yes"/>
    <s v="No"/>
    <n v="47"/>
    <s v="Yes"/>
    <s v="No"/>
    <s v="Fiber optic"/>
    <x v="0"/>
    <s v="Yes"/>
    <s v="Bank Transfer"/>
    <n v="76.900000000000006"/>
    <n v="3478.97"/>
    <s v="Rawalpindi"/>
    <s v="Yes"/>
    <n v="1"/>
    <s v="0-12 months"/>
    <x v="1"/>
  </r>
  <r>
    <s v="CUST-00883"/>
    <n v="23"/>
    <s v="No"/>
    <s v="No"/>
    <s v="No"/>
    <n v="24"/>
    <s v="No"/>
    <s v="No phone service"/>
    <s v="Fiber optic"/>
    <x v="2"/>
    <s v="No"/>
    <s v="Electronic check"/>
    <n v="117.93"/>
    <n v="2803.74"/>
    <s v="Multan"/>
    <s v="Yes"/>
    <n v="1"/>
    <s v="0-12 months"/>
    <x v="2"/>
  </r>
  <r>
    <s v="CUST-00884"/>
    <n v="51"/>
    <s v="No"/>
    <s v="Yes"/>
    <s v="No"/>
    <n v="11"/>
    <s v="Yes"/>
    <s v="No"/>
    <s v="Fiber optic"/>
    <x v="2"/>
    <s v="Yes"/>
    <s v="Electronic check"/>
    <n v="76.44"/>
    <n v="841.54"/>
    <s v="Lahore"/>
    <s v="No"/>
    <n v="0"/>
    <s v="0-12 months"/>
    <x v="1"/>
  </r>
  <r>
    <s v="CUST-00885"/>
    <n v="49"/>
    <s v="No"/>
    <s v="No"/>
    <s v="No"/>
    <n v="7"/>
    <s v="No"/>
    <s v="No phone service"/>
    <s v="Fiber optic"/>
    <x v="0"/>
    <s v="Yes"/>
    <s v="Bank Transfer"/>
    <n v="110.12"/>
    <n v="766.24"/>
    <s v="Rawalpindi"/>
    <s v="No"/>
    <n v="0"/>
    <s v="0-12 months"/>
    <x v="2"/>
  </r>
  <r>
    <s v="CUST-00886"/>
    <n v="63"/>
    <s v="Yes"/>
    <s v="No"/>
    <s v="No"/>
    <n v="15"/>
    <s v="No"/>
    <s v="No phone service"/>
    <s v="DSL"/>
    <x v="2"/>
    <s v="No"/>
    <s v="Mailed check"/>
    <n v="43.2"/>
    <n v="609.66"/>
    <s v="Multan"/>
    <s v="No"/>
    <n v="0"/>
    <s v="0-12 months"/>
    <x v="3"/>
  </r>
  <r>
    <s v="CUST-00887"/>
    <n v="55"/>
    <s v="No"/>
    <s v="No"/>
    <s v="Yes"/>
    <n v="66"/>
    <s v="No"/>
    <s v="No phone service"/>
    <s v="No internet"/>
    <x v="2"/>
    <s v="No"/>
    <s v="Electronic check"/>
    <n v="19.46"/>
    <n v="1282.76"/>
    <s v="Faisalabad"/>
    <s v="No"/>
    <n v="0"/>
    <s v="0-12 months"/>
    <x v="3"/>
  </r>
  <r>
    <s v="CUST-00888"/>
    <n v="61"/>
    <s v="Yes"/>
    <s v="No"/>
    <s v="No"/>
    <n v="55"/>
    <s v="No"/>
    <s v="No phone service"/>
    <s v="Fiber optic"/>
    <x v="0"/>
    <s v="Yes"/>
    <s v="Credit card"/>
    <n v="78.94"/>
    <n v="4267.1400000000003"/>
    <s v="Islamabad"/>
    <s v="Yes"/>
    <n v="1"/>
    <s v="0-12 months"/>
    <x v="1"/>
  </r>
  <r>
    <s v="CUST-00889"/>
    <n v="37"/>
    <s v="No"/>
    <s v="Yes"/>
    <s v="Yes"/>
    <n v="46"/>
    <s v="No"/>
    <s v="No phone service"/>
    <s v="DSL"/>
    <x v="2"/>
    <s v="Yes"/>
    <s v="Credit card"/>
    <n v="45.04"/>
    <n v="1983.49"/>
    <s v="Islamabad"/>
    <s v="No"/>
    <n v="0"/>
    <s v="0-12 months"/>
    <x v="3"/>
  </r>
  <r>
    <s v="CUST-00890"/>
    <n v="40"/>
    <s v="No"/>
    <s v="No"/>
    <s v="Yes"/>
    <n v="68"/>
    <s v="Yes"/>
    <s v="Yes"/>
    <s v="DSL"/>
    <x v="2"/>
    <s v="Yes"/>
    <s v="Bank Transfer"/>
    <n v="68.95"/>
    <n v="4864.41"/>
    <s v="Faisalabad"/>
    <s v="Yes"/>
    <n v="1"/>
    <s v="0-12 months"/>
    <x v="0"/>
  </r>
  <r>
    <s v="CUST-00891"/>
    <n v="64"/>
    <s v="Yes"/>
    <s v="Yes"/>
    <s v="No"/>
    <n v="39"/>
    <s v="Yes"/>
    <s v="Yes"/>
    <s v="Fiber optic"/>
    <x v="0"/>
    <s v="Yes"/>
    <s v="Bank Transfer"/>
    <n v="91.67"/>
    <n v="3410.57"/>
    <s v="Islamabad"/>
    <s v="Yes"/>
    <n v="1"/>
    <s v="0-12 months"/>
    <x v="1"/>
  </r>
  <r>
    <s v="CUST-00892"/>
    <n v="37"/>
    <s v="No"/>
    <s v="Yes"/>
    <s v="Yes"/>
    <n v="48"/>
    <s v="Yes"/>
    <s v="No"/>
    <s v="DSL"/>
    <x v="2"/>
    <s v="Yes"/>
    <s v="Electronic check"/>
    <n v="66.86"/>
    <n v="3249.57"/>
    <s v="Multan"/>
    <s v="No"/>
    <n v="0"/>
    <s v="0-12 months"/>
    <x v="0"/>
  </r>
  <r>
    <s v="CUST-00893"/>
    <n v="36"/>
    <s v="No"/>
    <s v="No"/>
    <s v="Yes"/>
    <n v="53"/>
    <s v="No"/>
    <s v="No phone service"/>
    <s v="Fiber optic"/>
    <x v="0"/>
    <s v="No"/>
    <s v="Electronic check"/>
    <n v="99.95"/>
    <n v="5599.87"/>
    <s v="Karachi"/>
    <s v="Yes"/>
    <n v="1"/>
    <s v="0-12 months"/>
    <x v="1"/>
  </r>
  <r>
    <s v="CUST-00894"/>
    <n v="32"/>
    <s v="No"/>
    <s v="Yes"/>
    <s v="No"/>
    <n v="29"/>
    <s v="No"/>
    <s v="No phone service"/>
    <s v="Fiber optic"/>
    <x v="0"/>
    <s v="No"/>
    <s v="Credit card"/>
    <n v="101.74"/>
    <n v="2889.83"/>
    <s v="Faisalabad"/>
    <s v="No"/>
    <n v="0"/>
    <s v="0-12 months"/>
    <x v="2"/>
  </r>
  <r>
    <s v="CUST-00895"/>
    <n v="18"/>
    <s v="No"/>
    <s v="No"/>
    <s v="No"/>
    <n v="41"/>
    <s v="No"/>
    <s v="No phone service"/>
    <s v="Fiber optic"/>
    <x v="2"/>
    <s v="No"/>
    <s v="Electronic check"/>
    <n v="104.89"/>
    <n v="4389.76"/>
    <s v="Lahore"/>
    <s v="Yes"/>
    <n v="1"/>
    <s v="0-12 months"/>
    <x v="2"/>
  </r>
  <r>
    <s v="CUST-00896"/>
    <n v="60"/>
    <s v="Yes"/>
    <s v="Yes"/>
    <s v="No"/>
    <n v="72"/>
    <s v="Yes"/>
    <s v="Yes"/>
    <s v="No internet"/>
    <x v="1"/>
    <s v="No"/>
    <s v="Electronic check"/>
    <n v="27.01"/>
    <n v="1933.4"/>
    <s v="Karachi"/>
    <s v="No"/>
    <n v="0"/>
    <s v="0-12 months"/>
    <x v="3"/>
  </r>
  <r>
    <s v="CUST-00897"/>
    <n v="57"/>
    <s v="No"/>
    <s v="Yes"/>
    <s v="No"/>
    <n v="56"/>
    <s v="Yes"/>
    <s v="No"/>
    <s v="Fiber optic"/>
    <x v="2"/>
    <s v="No"/>
    <s v="Mailed check"/>
    <n v="88.76"/>
    <n v="4992.9799999999996"/>
    <s v="Peshawar"/>
    <s v="Yes"/>
    <n v="1"/>
    <s v="0-12 months"/>
    <x v="1"/>
  </r>
  <r>
    <s v="CUST-00898"/>
    <n v="25"/>
    <s v="No"/>
    <s v="Yes"/>
    <s v="No"/>
    <n v="28"/>
    <s v="Yes"/>
    <s v="No"/>
    <s v="Fiber optic"/>
    <x v="2"/>
    <s v="Yes"/>
    <s v="Bank Transfer"/>
    <n v="119.22"/>
    <n v="3530"/>
    <s v="Islamabad"/>
    <s v="No"/>
    <n v="0"/>
    <s v="0-12 months"/>
    <x v="2"/>
  </r>
  <r>
    <s v="CUST-00899"/>
    <n v="66"/>
    <s v="Yes"/>
    <s v="Yes"/>
    <s v="No"/>
    <n v="36"/>
    <s v="No"/>
    <s v="No phone service"/>
    <s v="Fiber optic"/>
    <x v="0"/>
    <s v="No"/>
    <s v="Credit card"/>
    <n v="96.63"/>
    <n v="3363.92"/>
    <s v="Peshawar"/>
    <s v="No"/>
    <n v="0"/>
    <s v="0-12 months"/>
    <x v="1"/>
  </r>
  <r>
    <s v="CUST-00900"/>
    <n v="47"/>
    <s v="No"/>
    <s v="No"/>
    <s v="No"/>
    <n v="21"/>
    <s v="Yes"/>
    <s v="No"/>
    <s v="No internet"/>
    <x v="2"/>
    <s v="No"/>
    <s v="Bank Transfer"/>
    <n v="25.87"/>
    <n v="555.22"/>
    <s v="Faisalabad"/>
    <s v="Yes"/>
    <n v="1"/>
    <s v="0-12 months"/>
    <x v="3"/>
  </r>
  <r>
    <s v="CUST-00901"/>
    <n v="59"/>
    <s v="No"/>
    <s v="No"/>
    <s v="No"/>
    <n v="53"/>
    <s v="Yes"/>
    <s v="No"/>
    <s v="Fiber optic"/>
    <x v="2"/>
    <s v="Yes"/>
    <s v="Credit card"/>
    <n v="106.61"/>
    <n v="5952.39"/>
    <s v="Karachi"/>
    <s v="Yes"/>
    <n v="1"/>
    <s v="0-12 months"/>
    <x v="2"/>
  </r>
  <r>
    <s v="CUST-00902"/>
    <n v="28"/>
    <s v="No"/>
    <s v="No"/>
    <s v="Yes"/>
    <n v="48"/>
    <s v="No"/>
    <s v="No phone service"/>
    <s v="Fiber optic"/>
    <x v="0"/>
    <s v="Yes"/>
    <s v="Mailed check"/>
    <n v="78.069999999999993"/>
    <n v="3688.48"/>
    <s v="Karachi"/>
    <s v="No"/>
    <n v="0"/>
    <s v="0-12 months"/>
    <x v="1"/>
  </r>
  <r>
    <s v="CUST-00903"/>
    <n v="48"/>
    <s v="No"/>
    <s v="Yes"/>
    <s v="No"/>
    <n v="17"/>
    <s v="Yes"/>
    <s v="Yes"/>
    <s v="Fiber optic"/>
    <x v="2"/>
    <s v="Yes"/>
    <s v="Bank Transfer"/>
    <n v="92.18"/>
    <n v="1518.52"/>
    <s v="Rawalpindi"/>
    <s v="Yes"/>
    <n v="1"/>
    <s v="0-12 months"/>
    <x v="1"/>
  </r>
  <r>
    <s v="CUST-00904"/>
    <n v="50"/>
    <s v="No"/>
    <s v="Yes"/>
    <s v="No"/>
    <n v="21"/>
    <s v="Yes"/>
    <s v="Yes"/>
    <s v="Fiber optic"/>
    <x v="2"/>
    <s v="No"/>
    <s v="Mailed check"/>
    <n v="119.78"/>
    <n v="2624.7"/>
    <s v="Rawalpindi"/>
    <s v="Yes"/>
    <n v="1"/>
    <s v="0-12 months"/>
    <x v="2"/>
  </r>
  <r>
    <s v="CUST-00905"/>
    <n v="34"/>
    <s v="No"/>
    <s v="Yes"/>
    <s v="Yes"/>
    <n v="57"/>
    <s v="Yes"/>
    <s v="Yes"/>
    <s v="DSL"/>
    <x v="2"/>
    <s v="Yes"/>
    <s v="Credit card"/>
    <n v="68.66"/>
    <n v="3919.05"/>
    <s v="Rawalpindi"/>
    <s v="No"/>
    <n v="0"/>
    <s v="0-12 months"/>
    <x v="0"/>
  </r>
  <r>
    <s v="CUST-00906"/>
    <n v="68"/>
    <s v="Yes"/>
    <s v="Yes"/>
    <s v="Yes"/>
    <n v="19"/>
    <s v="Yes"/>
    <s v="No"/>
    <s v="No internet"/>
    <x v="2"/>
    <s v="No"/>
    <s v="Electronic check"/>
    <n v="20.92"/>
    <n v="396.65"/>
    <s v="Islamabad"/>
    <s v="Yes"/>
    <n v="1"/>
    <s v="0-12 months"/>
    <x v="3"/>
  </r>
  <r>
    <s v="CUST-00907"/>
    <n v="59"/>
    <s v="No"/>
    <s v="Yes"/>
    <s v="No"/>
    <n v="63"/>
    <s v="No"/>
    <s v="No phone service"/>
    <s v="DSL"/>
    <x v="2"/>
    <s v="No"/>
    <s v="Electronic check"/>
    <n v="58.02"/>
    <n v="3549.08"/>
    <s v="Lahore"/>
    <s v="Yes"/>
    <n v="1"/>
    <s v="0-12 months"/>
    <x v="0"/>
  </r>
  <r>
    <s v="CUST-00908"/>
    <n v="66"/>
    <s v="Yes"/>
    <s v="Yes"/>
    <s v="Yes"/>
    <n v="67"/>
    <s v="Yes"/>
    <s v="No"/>
    <s v="Fiber optic"/>
    <x v="0"/>
    <s v="No"/>
    <s v="Electronic check"/>
    <n v="105.79"/>
    <n v="7145.46"/>
    <s v="Multan"/>
    <s v="Yes"/>
    <n v="1"/>
    <s v="0-12 months"/>
    <x v="2"/>
  </r>
  <r>
    <s v="CUST-00909"/>
    <n v="46"/>
    <s v="No"/>
    <s v="No"/>
    <s v="Yes"/>
    <n v="17"/>
    <s v="No"/>
    <s v="No phone service"/>
    <s v="Fiber optic"/>
    <x v="1"/>
    <s v="No"/>
    <s v="Bank Transfer"/>
    <n v="71.400000000000006"/>
    <n v="1171.8"/>
    <s v="Faisalabad"/>
    <s v="No"/>
    <n v="0"/>
    <s v="0-12 months"/>
    <x v="0"/>
  </r>
  <r>
    <s v="CUST-00910"/>
    <n v="18"/>
    <s v="No"/>
    <s v="No"/>
    <s v="No"/>
    <n v="66"/>
    <s v="No"/>
    <s v="No phone service"/>
    <s v="DSL"/>
    <x v="2"/>
    <s v="Yes"/>
    <s v="Mailed check"/>
    <n v="65.75"/>
    <n v="4384.87"/>
    <s v="Faisalabad"/>
    <s v="No"/>
    <n v="0"/>
    <s v="0-12 months"/>
    <x v="0"/>
  </r>
  <r>
    <s v="CUST-00911"/>
    <n v="41"/>
    <s v="No"/>
    <s v="No"/>
    <s v="No"/>
    <n v="22"/>
    <s v="No"/>
    <s v="No phone service"/>
    <s v="No internet"/>
    <x v="2"/>
    <s v="No"/>
    <s v="Electronic check"/>
    <n v="29.36"/>
    <n v="633.70000000000005"/>
    <s v="Karachi"/>
    <s v="Yes"/>
    <n v="1"/>
    <s v="0-12 months"/>
    <x v="3"/>
  </r>
  <r>
    <s v="CUST-00912"/>
    <n v="27"/>
    <s v="No"/>
    <s v="No"/>
    <s v="Yes"/>
    <n v="26"/>
    <s v="No"/>
    <s v="No phone service"/>
    <s v="Fiber optic"/>
    <x v="0"/>
    <s v="Yes"/>
    <s v="Bank Transfer"/>
    <n v="112.29"/>
    <n v="3018.72"/>
    <s v="Karachi"/>
    <s v="No"/>
    <n v="0"/>
    <s v="0-12 months"/>
    <x v="2"/>
  </r>
  <r>
    <s v="CUST-00913"/>
    <n v="65"/>
    <s v="Yes"/>
    <s v="Yes"/>
    <s v="No"/>
    <n v="5"/>
    <s v="Yes"/>
    <s v="No"/>
    <s v="Fiber optic"/>
    <x v="2"/>
    <s v="No"/>
    <s v="Credit card"/>
    <n v="96.74"/>
    <n v="497.7"/>
    <s v="Peshawar"/>
    <s v="No"/>
    <n v="0"/>
    <s v="0-12 months"/>
    <x v="1"/>
  </r>
  <r>
    <s v="CUST-00914"/>
    <n v="21"/>
    <s v="No"/>
    <s v="No"/>
    <s v="Yes"/>
    <n v="32"/>
    <s v="Yes"/>
    <s v="No"/>
    <s v="Fiber optic"/>
    <x v="0"/>
    <s v="Yes"/>
    <s v="Electronic check"/>
    <n v="105.87"/>
    <n v="3256.7"/>
    <s v="Islamabad"/>
    <s v="No"/>
    <n v="0"/>
    <s v="0-12 months"/>
    <x v="2"/>
  </r>
  <r>
    <s v="CUST-00915"/>
    <n v="53"/>
    <s v="No"/>
    <s v="No"/>
    <s v="Yes"/>
    <n v="25"/>
    <s v="Yes"/>
    <s v="No"/>
    <s v="DSL"/>
    <x v="2"/>
    <s v="No"/>
    <s v="Electronic check"/>
    <n v="49.1"/>
    <n v="1240.1199999999999"/>
    <s v="Rawalpindi"/>
    <s v="No"/>
    <n v="0"/>
    <s v="0-12 months"/>
    <x v="3"/>
  </r>
  <r>
    <s v="CUST-00916"/>
    <n v="24"/>
    <s v="No"/>
    <s v="Yes"/>
    <s v="No"/>
    <n v="10"/>
    <s v="Yes"/>
    <s v="No"/>
    <s v="Fiber optic"/>
    <x v="2"/>
    <s v="Yes"/>
    <s v="Credit card"/>
    <n v="80.75"/>
    <n v="806.26"/>
    <s v="Faisalabad"/>
    <s v="No"/>
    <n v="0"/>
    <s v="0-12 months"/>
    <x v="1"/>
  </r>
  <r>
    <s v="CUST-00917"/>
    <n v="45"/>
    <s v="No"/>
    <s v="Yes"/>
    <s v="No"/>
    <n v="25"/>
    <s v="No"/>
    <s v="No phone service"/>
    <s v="DSL"/>
    <x v="1"/>
    <s v="No"/>
    <s v="Bank Transfer"/>
    <n v="64.05"/>
    <n v="1599.83"/>
    <s v="Faisalabad"/>
    <s v="No"/>
    <n v="0"/>
    <s v="0-12 months"/>
    <x v="0"/>
  </r>
  <r>
    <s v="CUST-00918"/>
    <n v="48"/>
    <s v="No"/>
    <s v="No"/>
    <s v="No"/>
    <n v="34"/>
    <s v="Yes"/>
    <s v="Yes"/>
    <s v="No internet"/>
    <x v="0"/>
    <s v="No"/>
    <s v="Bank Transfer"/>
    <n v="19.34"/>
    <n v="677.81"/>
    <s v="Lahore"/>
    <s v="No"/>
    <n v="0"/>
    <s v="0-12 months"/>
    <x v="3"/>
  </r>
  <r>
    <s v="CUST-00919"/>
    <n v="38"/>
    <s v="No"/>
    <s v="No"/>
    <s v="No"/>
    <n v="21"/>
    <s v="No"/>
    <s v="No phone service"/>
    <s v="Fiber optic"/>
    <x v="0"/>
    <s v="Yes"/>
    <s v="Mailed check"/>
    <n v="92.16"/>
    <n v="1967.38"/>
    <s v="Karachi"/>
    <s v="No"/>
    <n v="0"/>
    <s v="0-12 months"/>
    <x v="1"/>
  </r>
  <r>
    <s v="CUST-00920"/>
    <n v="30"/>
    <s v="No"/>
    <s v="Yes"/>
    <s v="Yes"/>
    <n v="28"/>
    <s v="No"/>
    <s v="No phone service"/>
    <s v="Fiber optic"/>
    <x v="2"/>
    <s v="No"/>
    <s v="Electronic check"/>
    <n v="85"/>
    <n v="2411.2800000000002"/>
    <s v="Karachi"/>
    <s v="No"/>
    <n v="0"/>
    <s v="0-12 months"/>
    <x v="1"/>
  </r>
  <r>
    <s v="CUST-00921"/>
    <n v="38"/>
    <s v="No"/>
    <s v="Yes"/>
    <s v="Yes"/>
    <n v="51"/>
    <s v="Yes"/>
    <s v="No"/>
    <s v="DSL"/>
    <x v="2"/>
    <s v="No"/>
    <s v="Bank Transfer"/>
    <n v="71.55"/>
    <n v="3771.55"/>
    <s v="Islamabad"/>
    <s v="Yes"/>
    <n v="1"/>
    <s v="0-12 months"/>
    <x v="0"/>
  </r>
  <r>
    <s v="CUST-00922"/>
    <n v="48"/>
    <s v="No"/>
    <s v="No"/>
    <s v="No"/>
    <n v="19"/>
    <s v="No"/>
    <s v="No phone service"/>
    <s v="Fiber optic"/>
    <x v="1"/>
    <s v="No"/>
    <s v="Credit card"/>
    <n v="91.26"/>
    <n v="1711.79"/>
    <s v="Peshawar"/>
    <s v="No"/>
    <n v="0"/>
    <s v="0-12 months"/>
    <x v="1"/>
  </r>
  <r>
    <s v="CUST-00923"/>
    <n v="43"/>
    <s v="No"/>
    <s v="Yes"/>
    <s v="No"/>
    <n v="46"/>
    <s v="Yes"/>
    <s v="No"/>
    <s v="DSL"/>
    <x v="0"/>
    <s v="Yes"/>
    <s v="Bank Transfer"/>
    <n v="48.09"/>
    <n v="2255.16"/>
    <s v="Peshawar"/>
    <s v="No"/>
    <n v="0"/>
    <s v="0-12 months"/>
    <x v="3"/>
  </r>
  <r>
    <s v="CUST-00924"/>
    <n v="41"/>
    <s v="No"/>
    <s v="Yes"/>
    <s v="No"/>
    <n v="55"/>
    <s v="No"/>
    <s v="No phone service"/>
    <s v="DSL"/>
    <x v="0"/>
    <s v="Yes"/>
    <s v="Bank Transfer"/>
    <n v="64.7"/>
    <n v="3532.92"/>
    <s v="Lahore"/>
    <s v="No"/>
    <n v="0"/>
    <s v="0-12 months"/>
    <x v="0"/>
  </r>
  <r>
    <s v="CUST-00925"/>
    <n v="33"/>
    <s v="No"/>
    <s v="Yes"/>
    <s v="No"/>
    <n v="62"/>
    <s v="No"/>
    <s v="No phone service"/>
    <s v="No internet"/>
    <x v="1"/>
    <s v="Yes"/>
    <s v="Bank Transfer"/>
    <n v="22.68"/>
    <n v="1483.73"/>
    <s v="Karachi"/>
    <s v="No"/>
    <n v="0"/>
    <s v="0-12 months"/>
    <x v="3"/>
  </r>
  <r>
    <s v="CUST-00926"/>
    <n v="35"/>
    <s v="No"/>
    <s v="No"/>
    <s v="Yes"/>
    <n v="13"/>
    <s v="No"/>
    <s v="No phone service"/>
    <s v="Fiber optic"/>
    <x v="2"/>
    <s v="No"/>
    <s v="Credit card"/>
    <n v="84.21"/>
    <n v="1091.03"/>
    <s v="Lahore"/>
    <s v="No"/>
    <n v="0"/>
    <s v="0-12 months"/>
    <x v="1"/>
  </r>
  <r>
    <s v="CUST-00927"/>
    <n v="38"/>
    <s v="No"/>
    <s v="No"/>
    <s v="Yes"/>
    <n v="20"/>
    <s v="Yes"/>
    <s v="No"/>
    <s v="DSL"/>
    <x v="2"/>
    <s v="No"/>
    <s v="Credit card"/>
    <n v="70.510000000000005"/>
    <n v="1369.71"/>
    <s v="Islamabad"/>
    <s v="No"/>
    <n v="0"/>
    <s v="0-12 months"/>
    <x v="0"/>
  </r>
  <r>
    <s v="CUST-00928"/>
    <n v="62"/>
    <s v="Yes"/>
    <s v="Yes"/>
    <s v="Yes"/>
    <n v="9"/>
    <s v="No"/>
    <s v="No phone service"/>
    <s v="No internet"/>
    <x v="1"/>
    <s v="No"/>
    <s v="Mailed check"/>
    <n v="23.35"/>
    <n v="219.85"/>
    <s v="Rawalpindi"/>
    <s v="Yes"/>
    <n v="1"/>
    <s v="0-12 months"/>
    <x v="3"/>
  </r>
  <r>
    <s v="CUST-00929"/>
    <n v="32"/>
    <s v="No"/>
    <s v="No"/>
    <s v="No"/>
    <n v="43"/>
    <s v="No"/>
    <s v="No phone service"/>
    <s v="Fiber optic"/>
    <x v="2"/>
    <s v="Yes"/>
    <s v="Electronic check"/>
    <n v="102.11"/>
    <n v="4352.4399999999996"/>
    <s v="Peshawar"/>
    <s v="No"/>
    <n v="0"/>
    <s v="0-12 months"/>
    <x v="2"/>
  </r>
  <r>
    <s v="CUST-00930"/>
    <n v="21"/>
    <s v="No"/>
    <s v="Yes"/>
    <s v="No"/>
    <n v="3"/>
    <s v="Yes"/>
    <s v="No"/>
    <s v="DSL"/>
    <x v="1"/>
    <s v="No"/>
    <s v="Bank Transfer"/>
    <n v="59.68"/>
    <n v="180.65"/>
    <s v="Multan"/>
    <s v="No"/>
    <n v="0"/>
    <s v="0-12 months"/>
    <x v="0"/>
  </r>
  <r>
    <s v="CUST-00931"/>
    <n v="22"/>
    <s v="No"/>
    <s v="Yes"/>
    <s v="Yes"/>
    <n v="69"/>
    <s v="Yes"/>
    <s v="No"/>
    <s v="Fiber optic"/>
    <x v="2"/>
    <s v="Yes"/>
    <s v="Bank Transfer"/>
    <n v="108.36"/>
    <n v="7414.88"/>
    <s v="Rawalpindi"/>
    <s v="Yes"/>
    <n v="1"/>
    <s v="0-12 months"/>
    <x v="2"/>
  </r>
  <r>
    <s v="CUST-00932"/>
    <n v="74"/>
    <s v="Yes"/>
    <s v="Yes"/>
    <s v="No"/>
    <n v="10"/>
    <s v="No"/>
    <s v="No phone service"/>
    <s v="Fiber optic"/>
    <x v="2"/>
    <s v="No"/>
    <s v="Mailed check"/>
    <n v="90.07"/>
    <n v="878.41"/>
    <s v="Rawalpindi"/>
    <s v="No"/>
    <n v="0"/>
    <s v="0-12 months"/>
    <x v="1"/>
  </r>
  <r>
    <s v="CUST-00933"/>
    <n v="19"/>
    <s v="No"/>
    <s v="Yes"/>
    <s v="Yes"/>
    <n v="42"/>
    <s v="No"/>
    <s v="No phone service"/>
    <s v="Fiber optic"/>
    <x v="1"/>
    <s v="No"/>
    <s v="Credit card"/>
    <n v="102.68"/>
    <n v="4157.4799999999996"/>
    <s v="Islamabad"/>
    <s v="No"/>
    <n v="0"/>
    <s v="0-12 months"/>
    <x v="2"/>
  </r>
  <r>
    <s v="CUST-00934"/>
    <n v="75"/>
    <s v="Yes"/>
    <s v="Yes"/>
    <s v="Yes"/>
    <n v="19"/>
    <s v="Yes"/>
    <s v="Yes"/>
    <s v="Fiber optic"/>
    <x v="2"/>
    <s v="Yes"/>
    <s v="Bank Transfer"/>
    <n v="97"/>
    <n v="1943.55"/>
    <s v="Islamabad"/>
    <s v="Yes"/>
    <n v="1"/>
    <s v="0-12 months"/>
    <x v="1"/>
  </r>
  <r>
    <s v="CUST-00935"/>
    <n v="32"/>
    <s v="No"/>
    <s v="Yes"/>
    <s v="Yes"/>
    <n v="39"/>
    <s v="No"/>
    <s v="No phone service"/>
    <s v="Fiber optic"/>
    <x v="2"/>
    <s v="Yes"/>
    <s v="Bank Transfer"/>
    <n v="71.36"/>
    <n v="2909.16"/>
    <s v="Lahore"/>
    <s v="No"/>
    <n v="0"/>
    <s v="0-12 months"/>
    <x v="0"/>
  </r>
  <r>
    <s v="CUST-00936"/>
    <n v="71"/>
    <s v="Yes"/>
    <s v="No"/>
    <s v="Yes"/>
    <n v="57"/>
    <s v="Yes"/>
    <s v="No"/>
    <s v="No internet"/>
    <x v="2"/>
    <s v="No"/>
    <s v="Electronic check"/>
    <n v="27.25"/>
    <n v="1570.07"/>
    <s v="Karachi"/>
    <s v="Yes"/>
    <n v="1"/>
    <s v="0-12 months"/>
    <x v="3"/>
  </r>
  <r>
    <s v="CUST-00937"/>
    <n v="50"/>
    <s v="No"/>
    <s v="Yes"/>
    <s v="Yes"/>
    <n v="27"/>
    <s v="No"/>
    <s v="No phone service"/>
    <s v="Fiber optic"/>
    <x v="0"/>
    <s v="No"/>
    <s v="Bank Transfer"/>
    <n v="85.84"/>
    <n v="2231.7399999999998"/>
    <s v="Peshawar"/>
    <s v="No"/>
    <n v="0"/>
    <s v="0-12 months"/>
    <x v="1"/>
  </r>
  <r>
    <s v="CUST-00938"/>
    <n v="50"/>
    <s v="No"/>
    <s v="No"/>
    <s v="No"/>
    <n v="33"/>
    <s v="No"/>
    <s v="No phone service"/>
    <s v="DSL"/>
    <x v="2"/>
    <s v="No"/>
    <s v="Bank Transfer"/>
    <n v="56.01"/>
    <n v="1927.62"/>
    <s v="Islamabad"/>
    <s v="No"/>
    <n v="0"/>
    <s v="0-12 months"/>
    <x v="0"/>
  </r>
  <r>
    <s v="CUST-00939"/>
    <n v="71"/>
    <s v="Yes"/>
    <s v="Yes"/>
    <s v="No"/>
    <n v="39"/>
    <s v="Yes"/>
    <s v="No"/>
    <s v="Fiber optic"/>
    <x v="1"/>
    <s v="No"/>
    <s v="Electronic check"/>
    <n v="118.21"/>
    <n v="4737.2299999999996"/>
    <s v="Lahore"/>
    <s v="No"/>
    <n v="0"/>
    <s v="0-12 months"/>
    <x v="2"/>
  </r>
  <r>
    <s v="CUST-00940"/>
    <n v="27"/>
    <s v="No"/>
    <s v="Yes"/>
    <s v="Yes"/>
    <n v="2"/>
    <s v="Yes"/>
    <s v="Yes"/>
    <s v="Fiber optic"/>
    <x v="2"/>
    <s v="Yes"/>
    <s v="Electronic check"/>
    <n v="110.12"/>
    <n v="229.92"/>
    <s v="Islamabad"/>
    <s v="Yes"/>
    <n v="1"/>
    <s v="0-12 months"/>
    <x v="2"/>
  </r>
  <r>
    <s v="CUST-00941"/>
    <n v="57"/>
    <s v="No"/>
    <s v="No"/>
    <s v="Yes"/>
    <n v="54"/>
    <s v="Yes"/>
    <s v="No"/>
    <s v="Fiber optic"/>
    <x v="1"/>
    <s v="Yes"/>
    <s v="Credit card"/>
    <n v="116.25"/>
    <n v="6493.36"/>
    <s v="Karachi"/>
    <s v="Yes"/>
    <n v="1"/>
    <s v="0-12 months"/>
    <x v="2"/>
  </r>
  <r>
    <s v="CUST-00942"/>
    <n v="37"/>
    <s v="No"/>
    <s v="No"/>
    <s v="No"/>
    <n v="34"/>
    <s v="Yes"/>
    <s v="No"/>
    <s v="DSL"/>
    <x v="2"/>
    <s v="No"/>
    <s v="Electronic check"/>
    <n v="74.88"/>
    <n v="2672.27"/>
    <s v="Rawalpindi"/>
    <s v="Yes"/>
    <n v="1"/>
    <s v="0-12 months"/>
    <x v="0"/>
  </r>
  <r>
    <s v="CUST-00943"/>
    <n v="66"/>
    <s v="Yes"/>
    <s v="Yes"/>
    <s v="Yes"/>
    <n v="13"/>
    <s v="Yes"/>
    <s v="Yes"/>
    <s v="Fiber optic"/>
    <x v="1"/>
    <s v="Yes"/>
    <s v="Mailed check"/>
    <n v="93.22"/>
    <n v="1199.51"/>
    <s v="Rawalpindi"/>
    <s v="No"/>
    <n v="0"/>
    <s v="0-12 months"/>
    <x v="1"/>
  </r>
  <r>
    <s v="CUST-00944"/>
    <n v="26"/>
    <s v="No"/>
    <s v="Yes"/>
    <s v="No"/>
    <n v="61"/>
    <s v="No"/>
    <s v="No phone service"/>
    <s v="DSL"/>
    <x v="2"/>
    <s v="No"/>
    <s v="Mailed check"/>
    <n v="66.739999999999995"/>
    <n v="3873.97"/>
    <s v="Peshawar"/>
    <s v="No"/>
    <n v="0"/>
    <s v="0-12 months"/>
    <x v="0"/>
  </r>
  <r>
    <s v="CUST-00945"/>
    <n v="72"/>
    <s v="Yes"/>
    <s v="Yes"/>
    <s v="Yes"/>
    <n v="29"/>
    <s v="Yes"/>
    <s v="Yes"/>
    <s v="DSL"/>
    <x v="2"/>
    <s v="Yes"/>
    <s v="Bank Transfer"/>
    <n v="51.29"/>
    <n v="1507.94"/>
    <s v="Islamabad"/>
    <s v="Yes"/>
    <n v="1"/>
    <s v="0-12 months"/>
    <x v="0"/>
  </r>
  <r>
    <s v="CUST-00946"/>
    <n v="29"/>
    <s v="No"/>
    <s v="No"/>
    <s v="No"/>
    <n v="60"/>
    <s v="No"/>
    <s v="No phone service"/>
    <s v="DSL"/>
    <x v="0"/>
    <s v="Yes"/>
    <s v="Electronic check"/>
    <n v="54.99"/>
    <n v="3158.93"/>
    <s v="Peshawar"/>
    <s v="No"/>
    <n v="0"/>
    <s v="0-12 months"/>
    <x v="0"/>
  </r>
  <r>
    <s v="CUST-00947"/>
    <n v="20"/>
    <s v="No"/>
    <s v="No"/>
    <s v="Yes"/>
    <n v="26"/>
    <s v="Yes"/>
    <s v="Yes"/>
    <s v="No internet"/>
    <x v="2"/>
    <s v="Yes"/>
    <s v="Electronic check"/>
    <n v="21.87"/>
    <n v="573.54"/>
    <s v="Islamabad"/>
    <s v="No"/>
    <n v="0"/>
    <s v="0-12 months"/>
    <x v="3"/>
  </r>
  <r>
    <s v="CUST-00948"/>
    <n v="30"/>
    <s v="No"/>
    <s v="No"/>
    <s v="No"/>
    <n v="28"/>
    <s v="No"/>
    <s v="No phone service"/>
    <s v="DSL"/>
    <x v="2"/>
    <s v="Yes"/>
    <s v="Bank Transfer"/>
    <n v="66.22"/>
    <n v="1857.38"/>
    <s v="Karachi"/>
    <s v="No"/>
    <n v="0"/>
    <s v="0-12 months"/>
    <x v="0"/>
  </r>
  <r>
    <s v="CUST-00949"/>
    <n v="34"/>
    <s v="No"/>
    <s v="No"/>
    <s v="No"/>
    <n v="71"/>
    <s v="Yes"/>
    <s v="No"/>
    <s v="DSL"/>
    <x v="2"/>
    <s v="No"/>
    <s v="Electronic check"/>
    <n v="54.62"/>
    <n v="3944.24"/>
    <s v="Karachi"/>
    <s v="No"/>
    <n v="0"/>
    <s v="0-12 months"/>
    <x v="0"/>
  </r>
  <r>
    <s v="CUST-00950"/>
    <n v="24"/>
    <s v="No"/>
    <s v="Yes"/>
    <s v="No"/>
    <n v="15"/>
    <s v="No"/>
    <s v="No phone service"/>
    <s v="Fiber optic"/>
    <x v="2"/>
    <s v="No"/>
    <s v="Electronic check"/>
    <n v="91.81"/>
    <n v="1457.19"/>
    <s v="Peshawar"/>
    <s v="Yes"/>
    <n v="1"/>
    <s v="0-12 months"/>
    <x v="1"/>
  </r>
  <r>
    <s v="CUST-00951"/>
    <n v="50"/>
    <s v="No"/>
    <s v="Yes"/>
    <s v="No"/>
    <n v="66"/>
    <s v="Yes"/>
    <s v="No"/>
    <s v="Fiber optic"/>
    <x v="2"/>
    <s v="No"/>
    <s v="Credit card"/>
    <n v="109"/>
    <n v="7248.29"/>
    <s v="Lahore"/>
    <s v="No"/>
    <n v="0"/>
    <s v="0-12 months"/>
    <x v="2"/>
  </r>
  <r>
    <s v="CUST-00952"/>
    <n v="69"/>
    <s v="Yes"/>
    <s v="No"/>
    <s v="Yes"/>
    <n v="68"/>
    <s v="Yes"/>
    <s v="Yes"/>
    <s v="Fiber optic"/>
    <x v="2"/>
    <s v="Yes"/>
    <s v="Bank Transfer"/>
    <n v="107.56"/>
    <n v="7008.69"/>
    <s v="Faisalabad"/>
    <s v="No"/>
    <n v="0"/>
    <s v="0-12 months"/>
    <x v="2"/>
  </r>
  <r>
    <s v="CUST-00953"/>
    <n v="45"/>
    <s v="No"/>
    <s v="Yes"/>
    <s v="No"/>
    <n v="7"/>
    <s v="No"/>
    <s v="No phone service"/>
    <s v="No internet"/>
    <x v="2"/>
    <s v="No"/>
    <s v="Mailed check"/>
    <n v="23.62"/>
    <n v="158.12"/>
    <s v="Lahore"/>
    <s v="No"/>
    <n v="0"/>
    <s v="0-12 months"/>
    <x v="3"/>
  </r>
  <r>
    <s v="CUST-00954"/>
    <n v="22"/>
    <s v="No"/>
    <s v="No"/>
    <s v="No"/>
    <n v="27"/>
    <s v="Yes"/>
    <s v="Yes"/>
    <s v="No internet"/>
    <x v="2"/>
    <s v="Yes"/>
    <s v="Credit card"/>
    <n v="19.920000000000002"/>
    <n v="568.30999999999995"/>
    <s v="Karachi"/>
    <s v="No"/>
    <n v="0"/>
    <s v="0-12 months"/>
    <x v="3"/>
  </r>
  <r>
    <s v="CUST-00955"/>
    <n v="43"/>
    <s v="No"/>
    <s v="Yes"/>
    <s v="No"/>
    <n v="51"/>
    <s v="Yes"/>
    <s v="No"/>
    <s v="DSL"/>
    <x v="2"/>
    <s v="No"/>
    <s v="Electronic check"/>
    <n v="56.06"/>
    <n v="2936.59"/>
    <s v="Multan"/>
    <s v="No"/>
    <n v="0"/>
    <s v="0-12 months"/>
    <x v="0"/>
  </r>
  <r>
    <s v="CUST-00956"/>
    <n v="27"/>
    <s v="No"/>
    <s v="Yes"/>
    <s v="No"/>
    <n v="19"/>
    <s v="No"/>
    <s v="No phone service"/>
    <s v="DSL"/>
    <x v="2"/>
    <s v="Yes"/>
    <s v="Credit card"/>
    <n v="60.97"/>
    <n v="1196.19"/>
    <s v="Karachi"/>
    <s v="No"/>
    <n v="0"/>
    <s v="0-12 months"/>
    <x v="0"/>
  </r>
  <r>
    <s v="CUST-00957"/>
    <n v="60"/>
    <s v="Yes"/>
    <s v="No"/>
    <s v="No"/>
    <n v="16"/>
    <s v="No"/>
    <s v="No phone service"/>
    <s v="DSL"/>
    <x v="2"/>
    <s v="No"/>
    <s v="Mailed check"/>
    <n v="77.98"/>
    <n v="1178.95"/>
    <s v="Islamabad"/>
    <s v="No"/>
    <n v="0"/>
    <s v="0-12 months"/>
    <x v="1"/>
  </r>
  <r>
    <s v="CUST-00958"/>
    <n v="25"/>
    <s v="No"/>
    <s v="No"/>
    <s v="No"/>
    <n v="22"/>
    <s v="No"/>
    <s v="No phone service"/>
    <s v="No internet"/>
    <x v="0"/>
    <s v="Yes"/>
    <s v="Credit card"/>
    <n v="19.059999999999999"/>
    <n v="430.98"/>
    <s v="Peshawar"/>
    <s v="No"/>
    <n v="0"/>
    <s v="0-12 months"/>
    <x v="3"/>
  </r>
  <r>
    <s v="CUST-00959"/>
    <n v="41"/>
    <s v="No"/>
    <s v="Yes"/>
    <s v="No"/>
    <n v="56"/>
    <s v="Yes"/>
    <s v="No"/>
    <s v="Fiber optic"/>
    <x v="2"/>
    <s v="No"/>
    <s v="Mailed check"/>
    <n v="102.01"/>
    <n v="5595.22"/>
    <s v="Islamabad"/>
    <s v="No"/>
    <n v="0"/>
    <s v="0-12 months"/>
    <x v="2"/>
  </r>
  <r>
    <s v="CUST-00960"/>
    <n v="40"/>
    <s v="No"/>
    <s v="Yes"/>
    <s v="Yes"/>
    <n v="13"/>
    <s v="No"/>
    <s v="No phone service"/>
    <s v="DSL"/>
    <x v="2"/>
    <s v="No"/>
    <s v="Electronic check"/>
    <n v="57.35"/>
    <n v="724.59"/>
    <s v="Peshawar"/>
    <s v="No"/>
    <n v="0"/>
    <s v="0-12 months"/>
    <x v="0"/>
  </r>
  <r>
    <s v="CUST-00961"/>
    <n v="63"/>
    <s v="Yes"/>
    <s v="No"/>
    <s v="No"/>
    <n v="67"/>
    <s v="No"/>
    <s v="No phone service"/>
    <s v="No internet"/>
    <x v="2"/>
    <s v="Yes"/>
    <s v="Credit card"/>
    <n v="27.52"/>
    <n v="1944.31"/>
    <s v="Lahore"/>
    <s v="No"/>
    <n v="0"/>
    <s v="0-12 months"/>
    <x v="3"/>
  </r>
  <r>
    <s v="CUST-00962"/>
    <n v="66"/>
    <s v="Yes"/>
    <s v="Yes"/>
    <s v="No"/>
    <n v="54"/>
    <s v="Yes"/>
    <s v="Yes"/>
    <s v="No internet"/>
    <x v="0"/>
    <s v="No"/>
    <s v="Credit card"/>
    <n v="24.27"/>
    <n v="1379.81"/>
    <s v="Multan"/>
    <s v="No"/>
    <n v="0"/>
    <s v="0-12 months"/>
    <x v="3"/>
  </r>
  <r>
    <s v="CUST-00963"/>
    <n v="65"/>
    <s v="Yes"/>
    <s v="No"/>
    <s v="Yes"/>
    <n v="28"/>
    <s v="Yes"/>
    <s v="No"/>
    <s v="DSL"/>
    <x v="2"/>
    <s v="No"/>
    <s v="Mailed check"/>
    <n v="72.08"/>
    <n v="2073.7199999999998"/>
    <s v="Islamabad"/>
    <s v="No"/>
    <n v="0"/>
    <s v="0-12 months"/>
    <x v="0"/>
  </r>
  <r>
    <s v="CUST-00964"/>
    <n v="40"/>
    <s v="No"/>
    <s v="No"/>
    <s v="No"/>
    <n v="32"/>
    <s v="Yes"/>
    <s v="Yes"/>
    <s v="Fiber optic"/>
    <x v="0"/>
    <s v="No"/>
    <s v="Bank Transfer"/>
    <n v="78.03"/>
    <n v="2514.48"/>
    <s v="Multan"/>
    <s v="No"/>
    <n v="0"/>
    <s v="0-12 months"/>
    <x v="1"/>
  </r>
  <r>
    <s v="CUST-00965"/>
    <n v="38"/>
    <s v="No"/>
    <s v="No"/>
    <s v="No"/>
    <n v="23"/>
    <s v="Yes"/>
    <s v="Yes"/>
    <s v="No internet"/>
    <x v="0"/>
    <s v="Yes"/>
    <s v="Electronic check"/>
    <n v="21.67"/>
    <n v="523.17999999999995"/>
    <s v="Rawalpindi"/>
    <s v="Yes"/>
    <n v="1"/>
    <s v="0-12 months"/>
    <x v="3"/>
  </r>
  <r>
    <s v="CUST-00966"/>
    <n v="38"/>
    <s v="No"/>
    <s v="No"/>
    <s v="Yes"/>
    <n v="49"/>
    <s v="No"/>
    <s v="No phone service"/>
    <s v="Fiber optic"/>
    <x v="2"/>
    <s v="No"/>
    <s v="Mailed check"/>
    <n v="107.74"/>
    <n v="5570.24"/>
    <s v="Lahore"/>
    <s v="Yes"/>
    <n v="1"/>
    <s v="0-12 months"/>
    <x v="2"/>
  </r>
  <r>
    <s v="CUST-00967"/>
    <n v="30"/>
    <s v="No"/>
    <s v="No"/>
    <s v="No"/>
    <n v="72"/>
    <s v="No"/>
    <s v="No phone service"/>
    <s v="DSL"/>
    <x v="0"/>
    <s v="Yes"/>
    <s v="Electronic check"/>
    <n v="43.62"/>
    <n v="3177.56"/>
    <s v="Rawalpindi"/>
    <s v="No"/>
    <n v="0"/>
    <s v="0-12 months"/>
    <x v="3"/>
  </r>
  <r>
    <s v="CUST-00968"/>
    <n v="72"/>
    <s v="Yes"/>
    <s v="No"/>
    <s v="Yes"/>
    <n v="44"/>
    <s v="No"/>
    <s v="No phone service"/>
    <s v="DSL"/>
    <x v="2"/>
    <s v="No"/>
    <s v="Electronic check"/>
    <n v="78.239999999999995"/>
    <n v="3572.51"/>
    <s v="Islamabad"/>
    <s v="No"/>
    <n v="0"/>
    <s v="0-12 months"/>
    <x v="1"/>
  </r>
  <r>
    <s v="CUST-00969"/>
    <n v="57"/>
    <s v="No"/>
    <s v="Yes"/>
    <s v="No"/>
    <n v="29"/>
    <s v="Yes"/>
    <s v="Yes"/>
    <s v="Fiber optic"/>
    <x v="2"/>
    <s v="No"/>
    <s v="Electronic check"/>
    <n v="81.22"/>
    <n v="2410.52"/>
    <s v="Karachi"/>
    <s v="Yes"/>
    <n v="1"/>
    <s v="0-12 months"/>
    <x v="1"/>
  </r>
  <r>
    <s v="CUST-00970"/>
    <n v="46"/>
    <s v="No"/>
    <s v="Yes"/>
    <s v="Yes"/>
    <n v="2"/>
    <s v="Yes"/>
    <s v="No"/>
    <s v="Fiber optic"/>
    <x v="2"/>
    <s v="No"/>
    <s v="Credit card"/>
    <n v="97.56"/>
    <n v="196.71"/>
    <s v="Peshawar"/>
    <s v="Yes"/>
    <n v="1"/>
    <s v="0-12 months"/>
    <x v="1"/>
  </r>
  <r>
    <s v="CUST-00971"/>
    <n v="51"/>
    <s v="No"/>
    <s v="No"/>
    <s v="No"/>
    <n v="34"/>
    <s v="No"/>
    <s v="No phone service"/>
    <s v="DSL"/>
    <x v="1"/>
    <s v="No"/>
    <s v="Credit card"/>
    <n v="54.58"/>
    <n v="1950.47"/>
    <s v="Faisalabad"/>
    <s v="No"/>
    <n v="0"/>
    <s v="0-12 months"/>
    <x v="0"/>
  </r>
  <r>
    <s v="CUST-00972"/>
    <n v="40"/>
    <s v="No"/>
    <s v="Yes"/>
    <s v="Yes"/>
    <n v="42"/>
    <s v="Yes"/>
    <s v="No"/>
    <s v="No internet"/>
    <x v="0"/>
    <s v="Yes"/>
    <s v="Mailed check"/>
    <n v="27.41"/>
    <n v="1152.25"/>
    <s v="Islamabad"/>
    <s v="No"/>
    <n v="0"/>
    <s v="0-12 months"/>
    <x v="3"/>
  </r>
  <r>
    <s v="CUST-00973"/>
    <n v="24"/>
    <s v="No"/>
    <s v="Yes"/>
    <s v="No"/>
    <n v="71"/>
    <s v="Yes"/>
    <s v="No"/>
    <s v="No internet"/>
    <x v="0"/>
    <s v="Yes"/>
    <s v="Credit card"/>
    <n v="23.25"/>
    <n v="1668.79"/>
    <s v="Karachi"/>
    <s v="Yes"/>
    <n v="1"/>
    <s v="0-12 months"/>
    <x v="3"/>
  </r>
  <r>
    <s v="CUST-00974"/>
    <n v="19"/>
    <s v="No"/>
    <s v="No"/>
    <s v="Yes"/>
    <n v="45"/>
    <s v="Yes"/>
    <s v="Yes"/>
    <s v="DSL"/>
    <x v="2"/>
    <s v="No"/>
    <s v="Credit card"/>
    <n v="77.89"/>
    <n v="3600.85"/>
    <s v="Rawalpindi"/>
    <s v="No"/>
    <n v="0"/>
    <s v="0-12 months"/>
    <x v="1"/>
  </r>
  <r>
    <s v="CUST-00975"/>
    <n v="45"/>
    <s v="No"/>
    <s v="Yes"/>
    <s v="No"/>
    <n v="28"/>
    <s v="No"/>
    <s v="No phone service"/>
    <s v="DSL"/>
    <x v="2"/>
    <s v="No"/>
    <s v="Electronic check"/>
    <n v="62.79"/>
    <n v="1837.44"/>
    <s v="Karachi"/>
    <s v="No"/>
    <n v="0"/>
    <s v="0-12 months"/>
    <x v="0"/>
  </r>
  <r>
    <s v="CUST-00976"/>
    <n v="67"/>
    <s v="Yes"/>
    <s v="No"/>
    <s v="Yes"/>
    <n v="7"/>
    <s v="No"/>
    <s v="No phone service"/>
    <s v="DSL"/>
    <x v="0"/>
    <s v="Yes"/>
    <s v="Bank Transfer"/>
    <n v="61.19"/>
    <n v="440.17"/>
    <s v="Karachi"/>
    <s v="No"/>
    <n v="0"/>
    <s v="0-12 months"/>
    <x v="0"/>
  </r>
  <r>
    <s v="CUST-00977"/>
    <n v="56"/>
    <s v="No"/>
    <s v="Yes"/>
    <s v="Yes"/>
    <n v="4"/>
    <s v="No"/>
    <s v="No phone service"/>
    <s v="DSL"/>
    <x v="0"/>
    <s v="No"/>
    <s v="Electronic check"/>
    <n v="77.849999999999994"/>
    <n v="314.17"/>
    <s v="Rawalpindi"/>
    <s v="No"/>
    <n v="0"/>
    <s v="0-12 months"/>
    <x v="1"/>
  </r>
  <r>
    <s v="CUST-00978"/>
    <n v="69"/>
    <s v="Yes"/>
    <s v="No"/>
    <s v="No"/>
    <n v="61"/>
    <s v="No"/>
    <s v="No phone service"/>
    <s v="Fiber optic"/>
    <x v="2"/>
    <s v="No"/>
    <s v="Credit card"/>
    <n v="105.36"/>
    <n v="6719.31"/>
    <s v="Karachi"/>
    <s v="No"/>
    <n v="0"/>
    <s v="0-12 months"/>
    <x v="2"/>
  </r>
  <r>
    <s v="CUST-00979"/>
    <n v="34"/>
    <s v="No"/>
    <s v="No"/>
    <s v="Yes"/>
    <n v="30"/>
    <s v="Yes"/>
    <s v="Yes"/>
    <s v="Fiber optic"/>
    <x v="0"/>
    <s v="No"/>
    <s v="Electronic check"/>
    <n v="100.31"/>
    <n v="3183.36"/>
    <s v="Islamabad"/>
    <s v="Yes"/>
    <n v="1"/>
    <s v="0-12 months"/>
    <x v="2"/>
  </r>
  <r>
    <s v="CUST-00980"/>
    <n v="24"/>
    <s v="No"/>
    <s v="Yes"/>
    <s v="Yes"/>
    <n v="68"/>
    <s v="No"/>
    <s v="No phone service"/>
    <s v="Fiber optic"/>
    <x v="2"/>
    <s v="Yes"/>
    <s v="Bank Transfer"/>
    <n v="98.4"/>
    <n v="6590.7"/>
    <s v="Karachi"/>
    <s v="Yes"/>
    <n v="1"/>
    <s v="0-12 months"/>
    <x v="1"/>
  </r>
  <r>
    <s v="CUST-00981"/>
    <n v="30"/>
    <s v="No"/>
    <s v="No"/>
    <s v="Yes"/>
    <n v="69"/>
    <s v="No"/>
    <s v="No phone service"/>
    <s v="Fiber optic"/>
    <x v="2"/>
    <s v="Yes"/>
    <s v="Credit card"/>
    <n v="98.7"/>
    <n v="7130.2"/>
    <s v="Peshawar"/>
    <s v="No"/>
    <n v="0"/>
    <s v="0-12 months"/>
    <x v="1"/>
  </r>
  <r>
    <s v="CUST-00982"/>
    <n v="29"/>
    <s v="No"/>
    <s v="Yes"/>
    <s v="No"/>
    <n v="4"/>
    <s v="Yes"/>
    <s v="No"/>
    <s v="DSL"/>
    <x v="2"/>
    <s v="No"/>
    <s v="Electronic check"/>
    <n v="67.319999999999993"/>
    <n v="272.19"/>
    <s v="Lahore"/>
    <s v="Yes"/>
    <n v="1"/>
    <s v="0-12 months"/>
    <x v="0"/>
  </r>
  <r>
    <s v="CUST-00983"/>
    <n v="49"/>
    <s v="No"/>
    <s v="Yes"/>
    <s v="Yes"/>
    <n v="44"/>
    <s v="No"/>
    <s v="No phone service"/>
    <s v="No internet"/>
    <x v="0"/>
    <s v="Yes"/>
    <s v="Bank Transfer"/>
    <n v="18.79"/>
    <n v="801.58"/>
    <s v="Peshawar"/>
    <s v="No"/>
    <n v="0"/>
    <s v="0-12 months"/>
    <x v="3"/>
  </r>
  <r>
    <s v="CUST-00984"/>
    <n v="49"/>
    <s v="No"/>
    <s v="Yes"/>
    <s v="No"/>
    <n v="6"/>
    <s v="No"/>
    <s v="No phone service"/>
    <s v="Fiber optic"/>
    <x v="1"/>
    <s v="Yes"/>
    <s v="Bank Transfer"/>
    <n v="74.55"/>
    <n v="455.61"/>
    <s v="Faisalabad"/>
    <s v="No"/>
    <n v="0"/>
    <s v="0-12 months"/>
    <x v="0"/>
  </r>
  <r>
    <s v="CUST-00985"/>
    <n v="54"/>
    <s v="No"/>
    <s v="No"/>
    <s v="Yes"/>
    <n v="37"/>
    <s v="No"/>
    <s v="No phone service"/>
    <s v="Fiber optic"/>
    <x v="0"/>
    <s v="No"/>
    <s v="Mailed check"/>
    <n v="91.32"/>
    <n v="3352.54"/>
    <s v="Lahore"/>
    <s v="Yes"/>
    <n v="1"/>
    <s v="0-12 months"/>
    <x v="1"/>
  </r>
  <r>
    <s v="CUST-00986"/>
    <n v="49"/>
    <s v="No"/>
    <s v="Yes"/>
    <s v="No"/>
    <n v="72"/>
    <s v="No"/>
    <s v="No phone service"/>
    <s v="DSL"/>
    <x v="2"/>
    <s v="No"/>
    <s v="Bank Transfer"/>
    <n v="67.959999999999994"/>
    <n v="4909.3"/>
    <s v="Lahore"/>
    <s v="Yes"/>
    <n v="1"/>
    <s v="0-12 months"/>
    <x v="0"/>
  </r>
  <r>
    <s v="CUST-00987"/>
    <n v="37"/>
    <s v="No"/>
    <s v="Yes"/>
    <s v="No"/>
    <n v="7"/>
    <s v="Yes"/>
    <s v="No"/>
    <s v="DSL"/>
    <x v="2"/>
    <s v="No"/>
    <s v="Mailed check"/>
    <n v="42.1"/>
    <n v="306.20999999999998"/>
    <s v="Multan"/>
    <s v="No"/>
    <n v="0"/>
    <s v="0-12 months"/>
    <x v="3"/>
  </r>
  <r>
    <s v="CUST-00988"/>
    <n v="50"/>
    <s v="No"/>
    <s v="Yes"/>
    <s v="No"/>
    <n v="6"/>
    <s v="Yes"/>
    <s v="No"/>
    <s v="No internet"/>
    <x v="2"/>
    <s v="Yes"/>
    <s v="Bank Transfer"/>
    <n v="18.88"/>
    <n v="109.25"/>
    <s v="Multan"/>
    <s v="Yes"/>
    <n v="1"/>
    <s v="0-12 months"/>
    <x v="3"/>
  </r>
  <r>
    <s v="CUST-00989"/>
    <n v="57"/>
    <s v="No"/>
    <s v="Yes"/>
    <s v="Yes"/>
    <n v="49"/>
    <s v="Yes"/>
    <s v="No"/>
    <s v="Fiber optic"/>
    <x v="2"/>
    <s v="Yes"/>
    <s v="Bank Transfer"/>
    <n v="115.76"/>
    <n v="5557.04"/>
    <s v="Rawalpindi"/>
    <s v="Yes"/>
    <n v="1"/>
    <s v="0-12 months"/>
    <x v="2"/>
  </r>
  <r>
    <s v="CUST-00990"/>
    <n v="70"/>
    <s v="Yes"/>
    <s v="Yes"/>
    <s v="No"/>
    <n v="52"/>
    <s v="Yes"/>
    <s v="No"/>
    <s v="Fiber optic"/>
    <x v="0"/>
    <s v="No"/>
    <s v="Mailed check"/>
    <n v="91.14"/>
    <n v="4779.3999999999996"/>
    <s v="Multan"/>
    <s v="No"/>
    <n v="0"/>
    <s v="0-12 months"/>
    <x v="1"/>
  </r>
  <r>
    <s v="CUST-00991"/>
    <n v="37"/>
    <s v="No"/>
    <s v="Yes"/>
    <s v="No"/>
    <n v="53"/>
    <s v="No"/>
    <s v="No phone service"/>
    <s v="DSL"/>
    <x v="1"/>
    <s v="No"/>
    <s v="Electronic check"/>
    <n v="76.040000000000006"/>
    <n v="4183.29"/>
    <s v="Faisalabad"/>
    <s v="No"/>
    <n v="0"/>
    <s v="0-12 months"/>
    <x v="1"/>
  </r>
  <r>
    <s v="CUST-00992"/>
    <n v="18"/>
    <s v="No"/>
    <s v="No"/>
    <s v="Yes"/>
    <n v="58"/>
    <s v="Yes"/>
    <s v="Yes"/>
    <s v="Fiber optic"/>
    <x v="2"/>
    <s v="Yes"/>
    <s v="Mailed check"/>
    <n v="94.43"/>
    <n v="5268.83"/>
    <s v="Multan"/>
    <s v="Yes"/>
    <n v="1"/>
    <s v="0-12 months"/>
    <x v="1"/>
  </r>
  <r>
    <s v="CUST-00993"/>
    <n v="34"/>
    <s v="No"/>
    <s v="No"/>
    <s v="No"/>
    <n v="69"/>
    <s v="No"/>
    <s v="No phone service"/>
    <s v="Fiber optic"/>
    <x v="2"/>
    <s v="Yes"/>
    <s v="Credit card"/>
    <n v="114.28"/>
    <n v="7603.46"/>
    <s v="Peshawar"/>
    <s v="Yes"/>
    <n v="1"/>
    <s v="0-12 months"/>
    <x v="2"/>
  </r>
  <r>
    <s v="CUST-00994"/>
    <n v="49"/>
    <s v="No"/>
    <s v="Yes"/>
    <s v="Yes"/>
    <n v="67"/>
    <s v="No"/>
    <s v="No phone service"/>
    <s v="No internet"/>
    <x v="2"/>
    <s v="Yes"/>
    <s v="Electronic check"/>
    <n v="28"/>
    <n v="1804.97"/>
    <s v="Peshawar"/>
    <s v="No"/>
    <n v="0"/>
    <s v="0-12 months"/>
    <x v="3"/>
  </r>
  <r>
    <s v="CUST-00995"/>
    <n v="22"/>
    <s v="No"/>
    <s v="Yes"/>
    <s v="No"/>
    <n v="48"/>
    <s v="Yes"/>
    <s v="No"/>
    <s v="Fiber optic"/>
    <x v="0"/>
    <s v="Yes"/>
    <s v="Bank Transfer"/>
    <n v="106.25"/>
    <n v="4820.78"/>
    <s v="Karachi"/>
    <s v="Yes"/>
    <n v="1"/>
    <s v="0-12 months"/>
    <x v="2"/>
  </r>
  <r>
    <s v="CUST-00996"/>
    <n v="39"/>
    <s v="No"/>
    <s v="No"/>
    <s v="Yes"/>
    <n v="45"/>
    <s v="Yes"/>
    <s v="No"/>
    <s v="DSL"/>
    <x v="2"/>
    <s v="No"/>
    <s v="Credit card"/>
    <n v="49.01"/>
    <n v="2239.12"/>
    <s v="Multan"/>
    <s v="No"/>
    <n v="0"/>
    <s v="0-12 months"/>
    <x v="3"/>
  </r>
  <r>
    <s v="CUST-00997"/>
    <n v="46"/>
    <s v="No"/>
    <s v="Yes"/>
    <s v="No"/>
    <n v="9"/>
    <s v="No"/>
    <s v="No phone service"/>
    <s v="No internet"/>
    <x v="0"/>
    <s v="Yes"/>
    <s v="Credit card"/>
    <n v="21.81"/>
    <n v="187.14"/>
    <s v="Faisalabad"/>
    <s v="Yes"/>
    <n v="1"/>
    <s v="0-12 months"/>
    <x v="3"/>
  </r>
  <r>
    <s v="CUST-00998"/>
    <n v="52"/>
    <s v="No"/>
    <s v="Yes"/>
    <s v="Yes"/>
    <n v="42"/>
    <s v="Yes"/>
    <s v="No"/>
    <s v="Fiber optic"/>
    <x v="0"/>
    <s v="Yes"/>
    <s v="Credit card"/>
    <n v="98.14"/>
    <n v="4277.05"/>
    <s v="Lahore"/>
    <s v="No"/>
    <n v="0"/>
    <s v="0-12 months"/>
    <x v="1"/>
  </r>
  <r>
    <s v="CUST-00999"/>
    <n v="72"/>
    <s v="Yes"/>
    <s v="Yes"/>
    <s v="Yes"/>
    <n v="70"/>
    <s v="No"/>
    <s v="No phone service"/>
    <s v="Fiber optic"/>
    <x v="1"/>
    <s v="No"/>
    <s v="Electronic check"/>
    <n v="100.8"/>
    <n v="7013.39"/>
    <s v="Multan"/>
    <s v="No"/>
    <n v="0"/>
    <s v="0-12 months"/>
    <x v="2"/>
  </r>
  <r>
    <s v="CUST-01000"/>
    <n v="49"/>
    <s v="No"/>
    <s v="No"/>
    <s v="No"/>
    <n v="59"/>
    <s v="Yes"/>
    <s v="No"/>
    <s v="DSL"/>
    <x v="1"/>
    <s v="Yes"/>
    <s v="Electronic check"/>
    <n v="65.48"/>
    <n v="3712.35"/>
    <s v="Islamabad"/>
    <s v="No"/>
    <n v="0"/>
    <s v="0-12 month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BFBF1-EBB3-42C9-8D9F-DE0A2EAE61D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I31" firstHeaderRow="1" firstDataRow="3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1"/>
        <item x="0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2">
    <field x="17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customer_id" fld="0" subtotal="count" baseField="0" baseItem="0"/>
    <dataField name="Sum of Churn_Flag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EA399-BE7C-4277-8046-F1076DB8365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L19" firstHeaderRow="1" firstDataRow="3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2">
    <field x="1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customer_id" fld="0" subtotal="count" baseField="0" baseItem="0"/>
    <dataField name="Sum of Churn_Flag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2441F-96F5-4E3C-819B-E4F3C187A8F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9" firstHeaderRow="1" firstDataRow="3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2">
    <field x="8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customer_id" fld="0" subtotal="count" baseField="0" baseItem="0"/>
    <dataField name="Sum of Churn_Flag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92CD0-C512-4FE2-A9BD-3B44343FB8F4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I49" firstHeaderRow="1" firstDataRow="3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2">
    <field x="9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customer_id" fld="0" subtotal="count" baseField="0" baseItem="0"/>
    <dataField name="Sum of Churn_Flag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54468-AA15-451A-821E-9C81CD1AC656}" name="Table2" displayName="Table2" ref="A15:E19" totalsRowShown="0" headerRowDxfId="6" dataDxfId="5">
  <autoFilter ref="A15:E19" xr:uid="{37354468-AA15-451A-821E-9C81CD1AC656}"/>
  <tableColumns count="5">
    <tableColumn id="1" xr3:uid="{32CB6FA1-CDD6-4F77-9E8D-00ADFF34970C}" name="Tenure Group" dataDxfId="4"/>
    <tableColumn id="2" xr3:uid="{529115B7-384F-4CBE-BF93-A18F9B3D780E}" name="Total Customers" dataDxfId="3"/>
    <tableColumn id="3" xr3:uid="{4F9F5E07-7C7F-4996-8772-6DC9B2319227}" name="Churned" dataDxfId="2"/>
    <tableColumn id="4" xr3:uid="{47CA4770-B20C-4491-ADCE-C5532156490F}" name="Stayed" dataDxfId="1"/>
    <tableColumn id="5" xr3:uid="{D4B7BE0F-56B0-4300-A803-C74137232B85}" name="Churn Rate" dataDxfId="0">
      <calculatedColumnFormula>C16/B16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5" customWidth="1"/>
    <col min="3" max="3" width="16" customWidth="1"/>
    <col min="4" max="4" width="9" customWidth="1"/>
    <col min="5" max="5" width="12" customWidth="1"/>
    <col min="6" max="7" width="15" customWidth="1"/>
    <col min="8" max="9" width="18" customWidth="1"/>
    <col min="10" max="10" width="16" customWidth="1"/>
    <col min="11" max="11" width="19" customWidth="1"/>
    <col min="12" max="12" width="27" customWidth="1"/>
    <col min="13" max="13" width="17" customWidth="1"/>
    <col min="14" max="14" width="15" customWidth="1"/>
    <col min="15" max="15" width="12" customWidth="1"/>
    <col min="16" max="16" width="7" customWidth="1"/>
  </cols>
  <sheetData>
    <row r="1" spans="1:16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</row>
    <row r="2" spans="1:16" x14ac:dyDescent="0.35">
      <c r="A2" t="s">
        <v>54</v>
      </c>
      <c r="B2">
        <v>58</v>
      </c>
      <c r="C2" t="s">
        <v>55</v>
      </c>
      <c r="D2" t="s">
        <v>56</v>
      </c>
      <c r="E2" t="s">
        <v>56</v>
      </c>
      <c r="F2">
        <v>36</v>
      </c>
      <c r="G2" t="s">
        <v>56</v>
      </c>
      <c r="H2" t="s">
        <v>55</v>
      </c>
      <c r="I2" t="s">
        <v>30</v>
      </c>
      <c r="J2" t="s">
        <v>13</v>
      </c>
      <c r="K2" t="s">
        <v>56</v>
      </c>
      <c r="L2" t="s">
        <v>57</v>
      </c>
      <c r="M2">
        <v>71.59</v>
      </c>
      <c r="N2">
        <v>2451.58</v>
      </c>
      <c r="O2" t="s">
        <v>58</v>
      </c>
      <c r="P2" t="s">
        <v>55</v>
      </c>
    </row>
    <row r="3" spans="1:16" x14ac:dyDescent="0.35">
      <c r="A3" t="s">
        <v>59</v>
      </c>
      <c r="B3">
        <v>19</v>
      </c>
      <c r="C3" t="s">
        <v>55</v>
      </c>
      <c r="D3" t="s">
        <v>56</v>
      </c>
      <c r="E3" t="s">
        <v>55</v>
      </c>
      <c r="F3">
        <v>29</v>
      </c>
      <c r="G3" t="s">
        <v>55</v>
      </c>
      <c r="H3" t="s">
        <v>60</v>
      </c>
      <c r="I3" t="s">
        <v>30</v>
      </c>
      <c r="J3" t="s">
        <v>14</v>
      </c>
      <c r="K3" t="s">
        <v>56</v>
      </c>
      <c r="L3" t="s">
        <v>61</v>
      </c>
      <c r="M3">
        <v>77.98</v>
      </c>
      <c r="N3">
        <v>2240.42</v>
      </c>
      <c r="O3" t="s">
        <v>62</v>
      </c>
      <c r="P3" t="s">
        <v>55</v>
      </c>
    </row>
    <row r="4" spans="1:16" x14ac:dyDescent="0.35">
      <c r="A4" t="s">
        <v>63</v>
      </c>
      <c r="B4">
        <v>66</v>
      </c>
      <c r="C4" t="s">
        <v>56</v>
      </c>
      <c r="D4" t="s">
        <v>55</v>
      </c>
      <c r="E4" t="s">
        <v>56</v>
      </c>
      <c r="F4">
        <v>12</v>
      </c>
      <c r="G4" t="s">
        <v>55</v>
      </c>
      <c r="H4" t="s">
        <v>60</v>
      </c>
      <c r="I4" t="s">
        <v>30</v>
      </c>
      <c r="J4" t="s">
        <v>14</v>
      </c>
      <c r="K4" t="s">
        <v>55</v>
      </c>
      <c r="L4" t="s">
        <v>61</v>
      </c>
      <c r="M4">
        <v>106.49</v>
      </c>
      <c r="N4">
        <v>1283.44</v>
      </c>
      <c r="O4" t="s">
        <v>64</v>
      </c>
      <c r="P4" t="s">
        <v>55</v>
      </c>
    </row>
    <row r="5" spans="1:16" x14ac:dyDescent="0.35">
      <c r="A5" t="s">
        <v>65</v>
      </c>
      <c r="B5">
        <v>23</v>
      </c>
      <c r="C5" t="s">
        <v>55</v>
      </c>
      <c r="D5" t="s">
        <v>55</v>
      </c>
      <c r="E5" t="s">
        <v>55</v>
      </c>
      <c r="F5">
        <v>25</v>
      </c>
      <c r="G5" t="s">
        <v>56</v>
      </c>
      <c r="H5" t="s">
        <v>55</v>
      </c>
      <c r="I5" t="s">
        <v>29</v>
      </c>
      <c r="J5" t="s">
        <v>13</v>
      </c>
      <c r="K5" t="s">
        <v>56</v>
      </c>
      <c r="L5" t="s">
        <v>25</v>
      </c>
      <c r="M5">
        <v>74.66</v>
      </c>
      <c r="N5">
        <v>1839.65</v>
      </c>
      <c r="O5" t="s">
        <v>66</v>
      </c>
      <c r="P5" t="s">
        <v>55</v>
      </c>
    </row>
    <row r="6" spans="1:16" x14ac:dyDescent="0.35">
      <c r="A6" t="s">
        <v>67</v>
      </c>
      <c r="B6">
        <v>41</v>
      </c>
      <c r="C6" t="s">
        <v>55</v>
      </c>
      <c r="D6" t="s">
        <v>56</v>
      </c>
      <c r="E6" t="s">
        <v>55</v>
      </c>
      <c r="F6">
        <v>46</v>
      </c>
      <c r="G6" t="s">
        <v>55</v>
      </c>
      <c r="H6" t="s">
        <v>60</v>
      </c>
      <c r="I6" t="s">
        <v>30</v>
      </c>
      <c r="J6" t="s">
        <v>13</v>
      </c>
      <c r="K6" t="s">
        <v>56</v>
      </c>
      <c r="L6" t="s">
        <v>61</v>
      </c>
      <c r="M6">
        <v>78.56</v>
      </c>
      <c r="N6">
        <v>3713.12</v>
      </c>
      <c r="O6" t="s">
        <v>64</v>
      </c>
      <c r="P6" t="s">
        <v>56</v>
      </c>
    </row>
    <row r="7" spans="1:16" x14ac:dyDescent="0.35">
      <c r="A7" t="s">
        <v>68</v>
      </c>
      <c r="B7">
        <v>35</v>
      </c>
      <c r="C7" t="s">
        <v>55</v>
      </c>
      <c r="D7" t="s">
        <v>56</v>
      </c>
      <c r="E7" t="s">
        <v>55</v>
      </c>
      <c r="F7">
        <v>8</v>
      </c>
      <c r="G7" t="s">
        <v>56</v>
      </c>
      <c r="H7" t="s">
        <v>55</v>
      </c>
      <c r="I7" t="s">
        <v>30</v>
      </c>
      <c r="J7" t="s">
        <v>12</v>
      </c>
      <c r="K7" t="s">
        <v>56</v>
      </c>
      <c r="L7" t="s">
        <v>26</v>
      </c>
      <c r="M7">
        <v>117.15</v>
      </c>
      <c r="N7">
        <v>979.53</v>
      </c>
      <c r="O7" t="s">
        <v>69</v>
      </c>
      <c r="P7" t="s">
        <v>56</v>
      </c>
    </row>
    <row r="8" spans="1:16" x14ac:dyDescent="0.35">
      <c r="A8" t="s">
        <v>70</v>
      </c>
      <c r="B8">
        <v>49</v>
      </c>
      <c r="C8" t="s">
        <v>55</v>
      </c>
      <c r="D8" t="s">
        <v>55</v>
      </c>
      <c r="E8" t="s">
        <v>55</v>
      </c>
      <c r="F8">
        <v>19</v>
      </c>
      <c r="G8" t="s">
        <v>56</v>
      </c>
      <c r="H8" t="s">
        <v>55</v>
      </c>
      <c r="I8" t="s">
        <v>30</v>
      </c>
      <c r="J8" t="s">
        <v>12</v>
      </c>
      <c r="K8" t="s">
        <v>55</v>
      </c>
      <c r="L8" t="s">
        <v>25</v>
      </c>
      <c r="M8">
        <v>89.97</v>
      </c>
      <c r="N8">
        <v>1651.85</v>
      </c>
      <c r="O8" t="s">
        <v>58</v>
      </c>
      <c r="P8" t="s">
        <v>55</v>
      </c>
    </row>
    <row r="9" spans="1:16" x14ac:dyDescent="0.35">
      <c r="A9" t="s">
        <v>71</v>
      </c>
      <c r="B9">
        <v>49</v>
      </c>
      <c r="C9" t="s">
        <v>55</v>
      </c>
      <c r="D9" t="s">
        <v>56</v>
      </c>
      <c r="E9" t="s">
        <v>56</v>
      </c>
      <c r="F9">
        <v>15</v>
      </c>
      <c r="G9" t="s">
        <v>56</v>
      </c>
      <c r="H9" t="s">
        <v>55</v>
      </c>
      <c r="I9" t="s">
        <v>30</v>
      </c>
      <c r="J9" t="s">
        <v>12</v>
      </c>
      <c r="K9" t="s">
        <v>56</v>
      </c>
      <c r="L9" t="s">
        <v>57</v>
      </c>
      <c r="M9">
        <v>99.79</v>
      </c>
      <c r="N9">
        <v>1491.11</v>
      </c>
      <c r="O9" t="s">
        <v>58</v>
      </c>
      <c r="P9" t="s">
        <v>56</v>
      </c>
    </row>
    <row r="10" spans="1:16" x14ac:dyDescent="0.35">
      <c r="A10" t="s">
        <v>72</v>
      </c>
      <c r="B10">
        <v>73</v>
      </c>
      <c r="C10" t="s">
        <v>56</v>
      </c>
      <c r="D10" t="s">
        <v>56</v>
      </c>
      <c r="E10" t="s">
        <v>56</v>
      </c>
      <c r="F10">
        <v>69</v>
      </c>
      <c r="G10" t="s">
        <v>55</v>
      </c>
      <c r="H10" t="s">
        <v>60</v>
      </c>
      <c r="I10" t="s">
        <v>29</v>
      </c>
      <c r="J10" t="s">
        <v>12</v>
      </c>
      <c r="K10" t="s">
        <v>55</v>
      </c>
      <c r="L10" t="s">
        <v>26</v>
      </c>
      <c r="M10">
        <v>40.130000000000003</v>
      </c>
      <c r="N10">
        <v>2842.77</v>
      </c>
      <c r="O10" t="s">
        <v>58</v>
      </c>
      <c r="P10" t="s">
        <v>55</v>
      </c>
    </row>
    <row r="11" spans="1:16" x14ac:dyDescent="0.35">
      <c r="A11" t="s">
        <v>73</v>
      </c>
      <c r="B11">
        <v>66</v>
      </c>
      <c r="C11" t="s">
        <v>56</v>
      </c>
      <c r="D11" t="s">
        <v>56</v>
      </c>
      <c r="E11" t="s">
        <v>56</v>
      </c>
      <c r="F11">
        <v>39</v>
      </c>
      <c r="G11" t="s">
        <v>56</v>
      </c>
      <c r="H11" t="s">
        <v>56</v>
      </c>
      <c r="I11" t="s">
        <v>55</v>
      </c>
      <c r="J11" t="s">
        <v>13</v>
      </c>
      <c r="K11" t="s">
        <v>56</v>
      </c>
      <c r="L11" t="s">
        <v>57</v>
      </c>
      <c r="M11">
        <v>23.86</v>
      </c>
      <c r="N11">
        <v>887.2</v>
      </c>
      <c r="O11" t="s">
        <v>66</v>
      </c>
      <c r="P11" t="s">
        <v>55</v>
      </c>
    </row>
    <row r="12" spans="1:16" x14ac:dyDescent="0.35">
      <c r="A12" t="s">
        <v>74</v>
      </c>
      <c r="B12">
        <v>69</v>
      </c>
      <c r="C12" t="s">
        <v>56</v>
      </c>
      <c r="D12" t="s">
        <v>55</v>
      </c>
      <c r="E12" t="s">
        <v>56</v>
      </c>
      <c r="F12">
        <v>8</v>
      </c>
      <c r="G12" t="s">
        <v>56</v>
      </c>
      <c r="H12" t="s">
        <v>56</v>
      </c>
      <c r="I12" t="s">
        <v>30</v>
      </c>
      <c r="J12" t="s">
        <v>12</v>
      </c>
      <c r="K12" t="s">
        <v>56</v>
      </c>
      <c r="L12" t="s">
        <v>25</v>
      </c>
      <c r="M12">
        <v>96.64</v>
      </c>
      <c r="N12">
        <v>738.4</v>
      </c>
      <c r="O12" t="s">
        <v>58</v>
      </c>
      <c r="P12" t="s">
        <v>55</v>
      </c>
    </row>
    <row r="13" spans="1:16" x14ac:dyDescent="0.35">
      <c r="A13" t="s">
        <v>75</v>
      </c>
      <c r="B13">
        <v>28</v>
      </c>
      <c r="C13" t="s">
        <v>55</v>
      </c>
      <c r="D13" t="s">
        <v>55</v>
      </c>
      <c r="E13" t="s">
        <v>55</v>
      </c>
      <c r="F13">
        <v>28</v>
      </c>
      <c r="G13" t="s">
        <v>56</v>
      </c>
      <c r="H13" t="s">
        <v>55</v>
      </c>
      <c r="I13" t="s">
        <v>55</v>
      </c>
      <c r="J13" t="s">
        <v>12</v>
      </c>
      <c r="K13" t="s">
        <v>55</v>
      </c>
      <c r="L13" t="s">
        <v>57</v>
      </c>
      <c r="M13">
        <v>24.21</v>
      </c>
      <c r="N13">
        <v>647.04999999999995</v>
      </c>
      <c r="O13" t="s">
        <v>76</v>
      </c>
      <c r="P13" t="s">
        <v>56</v>
      </c>
    </row>
    <row r="14" spans="1:16" x14ac:dyDescent="0.35">
      <c r="A14" t="s">
        <v>77</v>
      </c>
      <c r="B14">
        <v>19</v>
      </c>
      <c r="C14" t="s">
        <v>55</v>
      </c>
      <c r="D14" t="s">
        <v>56</v>
      </c>
      <c r="E14" t="s">
        <v>56</v>
      </c>
      <c r="F14">
        <v>1</v>
      </c>
      <c r="G14" t="s">
        <v>56</v>
      </c>
      <c r="H14" t="s">
        <v>56</v>
      </c>
      <c r="I14" t="s">
        <v>30</v>
      </c>
      <c r="J14" t="s">
        <v>14</v>
      </c>
      <c r="K14" t="s">
        <v>55</v>
      </c>
      <c r="L14" t="s">
        <v>26</v>
      </c>
      <c r="M14">
        <v>81.900000000000006</v>
      </c>
      <c r="N14">
        <v>83.56</v>
      </c>
      <c r="O14" t="s">
        <v>62</v>
      </c>
      <c r="P14" t="s">
        <v>56</v>
      </c>
    </row>
    <row r="15" spans="1:16" x14ac:dyDescent="0.35">
      <c r="A15" t="s">
        <v>78</v>
      </c>
      <c r="B15">
        <v>64</v>
      </c>
      <c r="C15" t="s">
        <v>56</v>
      </c>
      <c r="D15" t="s">
        <v>55</v>
      </c>
      <c r="E15" t="s">
        <v>56</v>
      </c>
      <c r="F15">
        <v>61</v>
      </c>
      <c r="G15" t="s">
        <v>56</v>
      </c>
      <c r="H15" t="s">
        <v>56</v>
      </c>
      <c r="I15" t="s">
        <v>55</v>
      </c>
      <c r="J15" t="s">
        <v>13</v>
      </c>
      <c r="K15" t="s">
        <v>55</v>
      </c>
      <c r="L15" t="s">
        <v>57</v>
      </c>
      <c r="M15">
        <v>23.6</v>
      </c>
      <c r="N15">
        <v>1479.17</v>
      </c>
      <c r="O15" t="s">
        <v>69</v>
      </c>
      <c r="P15" t="s">
        <v>55</v>
      </c>
    </row>
    <row r="16" spans="1:16" x14ac:dyDescent="0.35">
      <c r="A16" t="s">
        <v>79</v>
      </c>
      <c r="B16">
        <v>24</v>
      </c>
      <c r="C16" t="s">
        <v>55</v>
      </c>
      <c r="D16" t="s">
        <v>56</v>
      </c>
      <c r="E16" t="s">
        <v>55</v>
      </c>
      <c r="F16">
        <v>44</v>
      </c>
      <c r="G16" t="s">
        <v>56</v>
      </c>
      <c r="H16" t="s">
        <v>56</v>
      </c>
      <c r="I16" t="s">
        <v>55</v>
      </c>
      <c r="J16" t="s">
        <v>12</v>
      </c>
      <c r="K16" t="s">
        <v>55</v>
      </c>
      <c r="L16" t="s">
        <v>26</v>
      </c>
      <c r="M16">
        <v>20.2</v>
      </c>
      <c r="N16">
        <v>884.81</v>
      </c>
      <c r="O16" t="s">
        <v>80</v>
      </c>
      <c r="P16" t="s">
        <v>55</v>
      </c>
    </row>
    <row r="17" spans="1:16" x14ac:dyDescent="0.35">
      <c r="A17" t="s">
        <v>81</v>
      </c>
      <c r="B17">
        <v>46</v>
      </c>
      <c r="C17" t="s">
        <v>55</v>
      </c>
      <c r="D17" t="s">
        <v>56</v>
      </c>
      <c r="E17" t="s">
        <v>56</v>
      </c>
      <c r="F17">
        <v>70</v>
      </c>
      <c r="G17" t="s">
        <v>56</v>
      </c>
      <c r="H17" t="s">
        <v>55</v>
      </c>
      <c r="I17" t="s">
        <v>55</v>
      </c>
      <c r="J17" t="s">
        <v>14</v>
      </c>
      <c r="K17" t="s">
        <v>56</v>
      </c>
      <c r="L17" t="s">
        <v>57</v>
      </c>
      <c r="M17">
        <v>23.78</v>
      </c>
      <c r="N17">
        <v>1737.44</v>
      </c>
      <c r="O17" t="s">
        <v>62</v>
      </c>
      <c r="P17" t="s">
        <v>55</v>
      </c>
    </row>
    <row r="18" spans="1:16" x14ac:dyDescent="0.35">
      <c r="A18" t="s">
        <v>82</v>
      </c>
      <c r="B18">
        <v>42</v>
      </c>
      <c r="C18" t="s">
        <v>55</v>
      </c>
      <c r="D18" t="s">
        <v>56</v>
      </c>
      <c r="E18" t="s">
        <v>55</v>
      </c>
      <c r="F18">
        <v>34</v>
      </c>
      <c r="G18" t="s">
        <v>55</v>
      </c>
      <c r="H18" t="s">
        <v>60</v>
      </c>
      <c r="I18" t="s">
        <v>55</v>
      </c>
      <c r="J18" t="s">
        <v>12</v>
      </c>
      <c r="K18" t="s">
        <v>55</v>
      </c>
      <c r="L18" t="s">
        <v>26</v>
      </c>
      <c r="M18">
        <v>21.56</v>
      </c>
      <c r="N18">
        <v>774.27</v>
      </c>
      <c r="O18" t="s">
        <v>58</v>
      </c>
      <c r="P18" t="s">
        <v>55</v>
      </c>
    </row>
    <row r="19" spans="1:16" x14ac:dyDescent="0.35">
      <c r="A19" t="s">
        <v>83</v>
      </c>
      <c r="B19">
        <v>21</v>
      </c>
      <c r="C19" t="s">
        <v>55</v>
      </c>
      <c r="D19" t="s">
        <v>55</v>
      </c>
      <c r="E19" t="s">
        <v>56</v>
      </c>
      <c r="F19">
        <v>7</v>
      </c>
      <c r="G19" t="s">
        <v>56</v>
      </c>
      <c r="H19" t="s">
        <v>56</v>
      </c>
      <c r="I19" t="s">
        <v>29</v>
      </c>
      <c r="J19" t="s">
        <v>12</v>
      </c>
      <c r="K19" t="s">
        <v>56</v>
      </c>
      <c r="L19" t="s">
        <v>26</v>
      </c>
      <c r="M19">
        <v>42.72</v>
      </c>
      <c r="N19">
        <v>312.02</v>
      </c>
      <c r="O19" t="s">
        <v>58</v>
      </c>
      <c r="P19" t="s">
        <v>56</v>
      </c>
    </row>
    <row r="20" spans="1:16" x14ac:dyDescent="0.35">
      <c r="A20" t="s">
        <v>84</v>
      </c>
      <c r="B20">
        <v>33</v>
      </c>
      <c r="C20" t="s">
        <v>55</v>
      </c>
      <c r="D20" t="s">
        <v>56</v>
      </c>
      <c r="E20" t="s">
        <v>56</v>
      </c>
      <c r="F20">
        <v>54</v>
      </c>
      <c r="G20" t="s">
        <v>55</v>
      </c>
      <c r="H20" t="s">
        <v>60</v>
      </c>
      <c r="I20" t="s">
        <v>29</v>
      </c>
      <c r="J20" t="s">
        <v>14</v>
      </c>
      <c r="K20" t="s">
        <v>56</v>
      </c>
      <c r="L20" t="s">
        <v>61</v>
      </c>
      <c r="M20">
        <v>52.57</v>
      </c>
      <c r="N20">
        <v>2758.94</v>
      </c>
      <c r="O20" t="s">
        <v>69</v>
      </c>
      <c r="P20" t="s">
        <v>55</v>
      </c>
    </row>
    <row r="21" spans="1:16" x14ac:dyDescent="0.35">
      <c r="A21" t="s">
        <v>85</v>
      </c>
      <c r="B21">
        <v>37</v>
      </c>
      <c r="C21" t="s">
        <v>55</v>
      </c>
      <c r="D21" t="s">
        <v>55</v>
      </c>
      <c r="E21" t="s">
        <v>55</v>
      </c>
      <c r="F21">
        <v>10</v>
      </c>
      <c r="G21" t="s">
        <v>56</v>
      </c>
      <c r="H21" t="s">
        <v>56</v>
      </c>
      <c r="I21" t="s">
        <v>30</v>
      </c>
      <c r="J21" t="s">
        <v>12</v>
      </c>
      <c r="K21" t="s">
        <v>55</v>
      </c>
      <c r="L21" t="s">
        <v>26</v>
      </c>
      <c r="M21">
        <v>87.45</v>
      </c>
      <c r="N21">
        <v>829.25</v>
      </c>
      <c r="O21" t="s">
        <v>76</v>
      </c>
      <c r="P21" t="s">
        <v>56</v>
      </c>
    </row>
    <row r="22" spans="1:16" x14ac:dyDescent="0.35">
      <c r="A22" t="s">
        <v>86</v>
      </c>
      <c r="B22">
        <v>28</v>
      </c>
      <c r="C22" t="s">
        <v>55</v>
      </c>
      <c r="D22" t="s">
        <v>55</v>
      </c>
      <c r="E22" t="s">
        <v>55</v>
      </c>
      <c r="F22">
        <v>68</v>
      </c>
      <c r="G22" t="s">
        <v>55</v>
      </c>
      <c r="H22" t="s">
        <v>60</v>
      </c>
      <c r="I22" t="s">
        <v>30</v>
      </c>
      <c r="J22" t="s">
        <v>14</v>
      </c>
      <c r="K22" t="s">
        <v>56</v>
      </c>
      <c r="L22" t="s">
        <v>25</v>
      </c>
      <c r="M22">
        <v>76.709999999999994</v>
      </c>
      <c r="N22">
        <v>4975.5600000000004</v>
      </c>
      <c r="O22" t="s">
        <v>58</v>
      </c>
      <c r="P22" t="s">
        <v>56</v>
      </c>
    </row>
    <row r="23" spans="1:16" x14ac:dyDescent="0.35">
      <c r="A23" t="s">
        <v>87</v>
      </c>
      <c r="B23">
        <v>27</v>
      </c>
      <c r="C23" t="s">
        <v>55</v>
      </c>
      <c r="D23" t="s">
        <v>55</v>
      </c>
      <c r="E23" t="s">
        <v>55</v>
      </c>
      <c r="F23">
        <v>27</v>
      </c>
      <c r="G23" t="s">
        <v>56</v>
      </c>
      <c r="H23" t="s">
        <v>55</v>
      </c>
      <c r="I23" t="s">
        <v>29</v>
      </c>
      <c r="J23" t="s">
        <v>14</v>
      </c>
      <c r="K23" t="s">
        <v>55</v>
      </c>
      <c r="L23" t="s">
        <v>26</v>
      </c>
      <c r="M23">
        <v>76.33</v>
      </c>
      <c r="N23">
        <v>1949.82</v>
      </c>
      <c r="O23" t="s">
        <v>66</v>
      </c>
      <c r="P23" t="s">
        <v>55</v>
      </c>
    </row>
    <row r="24" spans="1:16" x14ac:dyDescent="0.35">
      <c r="A24" t="s">
        <v>88</v>
      </c>
      <c r="B24">
        <v>35</v>
      </c>
      <c r="C24" t="s">
        <v>55</v>
      </c>
      <c r="D24" t="s">
        <v>56</v>
      </c>
      <c r="E24" t="s">
        <v>56</v>
      </c>
      <c r="F24">
        <v>43</v>
      </c>
      <c r="G24" t="s">
        <v>55</v>
      </c>
      <c r="H24" t="s">
        <v>60</v>
      </c>
      <c r="I24" t="s">
        <v>29</v>
      </c>
      <c r="J24" t="s">
        <v>12</v>
      </c>
      <c r="K24" t="s">
        <v>55</v>
      </c>
      <c r="L24" t="s">
        <v>57</v>
      </c>
      <c r="M24">
        <v>57.11</v>
      </c>
      <c r="N24">
        <v>2311.2399999999998</v>
      </c>
      <c r="O24" t="s">
        <v>69</v>
      </c>
      <c r="P24" t="s">
        <v>56</v>
      </c>
    </row>
    <row r="25" spans="1:16" x14ac:dyDescent="0.35">
      <c r="A25" t="s">
        <v>89</v>
      </c>
      <c r="B25">
        <v>75</v>
      </c>
      <c r="C25" t="s">
        <v>56</v>
      </c>
      <c r="D25" t="s">
        <v>56</v>
      </c>
      <c r="E25" t="s">
        <v>56</v>
      </c>
      <c r="F25">
        <v>48</v>
      </c>
      <c r="G25" t="s">
        <v>56</v>
      </c>
      <c r="H25" t="s">
        <v>55</v>
      </c>
      <c r="I25" t="s">
        <v>29</v>
      </c>
      <c r="J25" t="s">
        <v>12</v>
      </c>
      <c r="K25" t="s">
        <v>55</v>
      </c>
      <c r="L25" t="s">
        <v>25</v>
      </c>
      <c r="M25">
        <v>71.84</v>
      </c>
      <c r="N25">
        <v>3597.58</v>
      </c>
      <c r="O25" t="s">
        <v>62</v>
      </c>
      <c r="P25" t="s">
        <v>55</v>
      </c>
    </row>
    <row r="26" spans="1:16" x14ac:dyDescent="0.35">
      <c r="A26" t="s">
        <v>90</v>
      </c>
      <c r="B26">
        <v>61</v>
      </c>
      <c r="C26" t="s">
        <v>56</v>
      </c>
      <c r="D26" t="s">
        <v>56</v>
      </c>
      <c r="E26" t="s">
        <v>56</v>
      </c>
      <c r="F26">
        <v>46</v>
      </c>
      <c r="G26" t="s">
        <v>55</v>
      </c>
      <c r="H26" t="s">
        <v>60</v>
      </c>
      <c r="I26" t="s">
        <v>29</v>
      </c>
      <c r="J26" t="s">
        <v>14</v>
      </c>
      <c r="K26" t="s">
        <v>56</v>
      </c>
      <c r="L26" t="s">
        <v>25</v>
      </c>
      <c r="M26">
        <v>49.47</v>
      </c>
      <c r="N26">
        <v>2183.46</v>
      </c>
      <c r="O26" t="s">
        <v>62</v>
      </c>
      <c r="P26" t="s">
        <v>55</v>
      </c>
    </row>
    <row r="27" spans="1:16" x14ac:dyDescent="0.35">
      <c r="A27" t="s">
        <v>91</v>
      </c>
      <c r="B27">
        <v>74</v>
      </c>
      <c r="C27" t="s">
        <v>56</v>
      </c>
      <c r="D27" t="s">
        <v>55</v>
      </c>
      <c r="E27" t="s">
        <v>56</v>
      </c>
      <c r="F27">
        <v>23</v>
      </c>
      <c r="G27" t="s">
        <v>55</v>
      </c>
      <c r="H27" t="s">
        <v>60</v>
      </c>
      <c r="I27" t="s">
        <v>29</v>
      </c>
      <c r="J27" t="s">
        <v>13</v>
      </c>
      <c r="K27" t="s">
        <v>55</v>
      </c>
      <c r="L27" t="s">
        <v>61</v>
      </c>
      <c r="M27">
        <v>74.56</v>
      </c>
      <c r="N27">
        <v>1778.83</v>
      </c>
      <c r="O27" t="s">
        <v>66</v>
      </c>
      <c r="P27" t="s">
        <v>55</v>
      </c>
    </row>
    <row r="28" spans="1:16" x14ac:dyDescent="0.35">
      <c r="A28" t="s">
        <v>92</v>
      </c>
      <c r="B28">
        <v>62</v>
      </c>
      <c r="C28" t="s">
        <v>56</v>
      </c>
      <c r="D28" t="s">
        <v>56</v>
      </c>
      <c r="E28" t="s">
        <v>55</v>
      </c>
      <c r="F28">
        <v>5</v>
      </c>
      <c r="G28" t="s">
        <v>56</v>
      </c>
      <c r="H28" t="s">
        <v>56</v>
      </c>
      <c r="I28" t="s">
        <v>55</v>
      </c>
      <c r="J28" t="s">
        <v>14</v>
      </c>
      <c r="K28" t="s">
        <v>55</v>
      </c>
      <c r="L28" t="s">
        <v>26</v>
      </c>
      <c r="M28">
        <v>27.54</v>
      </c>
      <c r="N28">
        <v>133.19999999999999</v>
      </c>
      <c r="O28" t="s">
        <v>62</v>
      </c>
      <c r="P28" t="s">
        <v>56</v>
      </c>
    </row>
    <row r="29" spans="1:16" x14ac:dyDescent="0.35">
      <c r="A29" t="s">
        <v>93</v>
      </c>
      <c r="B29">
        <v>43</v>
      </c>
      <c r="C29" t="s">
        <v>55</v>
      </c>
      <c r="D29" t="s">
        <v>55</v>
      </c>
      <c r="E29" t="s">
        <v>55</v>
      </c>
      <c r="F29">
        <v>9</v>
      </c>
      <c r="G29" t="s">
        <v>55</v>
      </c>
      <c r="H29" t="s">
        <v>60</v>
      </c>
      <c r="I29" t="s">
        <v>55</v>
      </c>
      <c r="J29" t="s">
        <v>12</v>
      </c>
      <c r="K29" t="s">
        <v>55</v>
      </c>
      <c r="L29" t="s">
        <v>61</v>
      </c>
      <c r="M29">
        <v>28.12</v>
      </c>
      <c r="N29">
        <v>247.95</v>
      </c>
      <c r="O29" t="s">
        <v>76</v>
      </c>
      <c r="P29" t="s">
        <v>56</v>
      </c>
    </row>
    <row r="30" spans="1:16" x14ac:dyDescent="0.35">
      <c r="A30" t="s">
        <v>94</v>
      </c>
      <c r="B30">
        <v>29</v>
      </c>
      <c r="C30" t="s">
        <v>55</v>
      </c>
      <c r="D30" t="s">
        <v>55</v>
      </c>
      <c r="E30" t="s">
        <v>56</v>
      </c>
      <c r="F30">
        <v>14</v>
      </c>
      <c r="G30" t="s">
        <v>55</v>
      </c>
      <c r="H30" t="s">
        <v>60</v>
      </c>
      <c r="I30" t="s">
        <v>29</v>
      </c>
      <c r="J30" t="s">
        <v>13</v>
      </c>
      <c r="K30" t="s">
        <v>55</v>
      </c>
      <c r="L30" t="s">
        <v>57</v>
      </c>
      <c r="M30">
        <v>79.37</v>
      </c>
      <c r="N30">
        <v>1059.93</v>
      </c>
      <c r="O30" t="s">
        <v>62</v>
      </c>
      <c r="P30" t="s">
        <v>55</v>
      </c>
    </row>
    <row r="31" spans="1:16" x14ac:dyDescent="0.35">
      <c r="A31" t="s">
        <v>95</v>
      </c>
      <c r="B31">
        <v>34</v>
      </c>
      <c r="C31" t="s">
        <v>55</v>
      </c>
      <c r="D31" t="s">
        <v>56</v>
      </c>
      <c r="E31" t="s">
        <v>55</v>
      </c>
      <c r="F31">
        <v>1</v>
      </c>
      <c r="G31" t="s">
        <v>56</v>
      </c>
      <c r="H31" t="s">
        <v>55</v>
      </c>
      <c r="I31" t="s">
        <v>29</v>
      </c>
      <c r="J31" t="s">
        <v>12</v>
      </c>
      <c r="K31" t="s">
        <v>55</v>
      </c>
      <c r="L31" t="s">
        <v>61</v>
      </c>
      <c r="M31">
        <v>66.540000000000006</v>
      </c>
      <c r="N31">
        <v>63.54</v>
      </c>
      <c r="O31" t="s">
        <v>58</v>
      </c>
      <c r="P31" t="s">
        <v>55</v>
      </c>
    </row>
    <row r="32" spans="1:16" x14ac:dyDescent="0.35">
      <c r="A32" t="s">
        <v>96</v>
      </c>
      <c r="B32">
        <v>37</v>
      </c>
      <c r="C32" t="s">
        <v>55</v>
      </c>
      <c r="D32" t="s">
        <v>55</v>
      </c>
      <c r="E32" t="s">
        <v>55</v>
      </c>
      <c r="F32">
        <v>52</v>
      </c>
      <c r="G32" t="s">
        <v>56</v>
      </c>
      <c r="H32" t="s">
        <v>56</v>
      </c>
      <c r="I32" t="s">
        <v>29</v>
      </c>
      <c r="J32" t="s">
        <v>13</v>
      </c>
      <c r="K32" t="s">
        <v>55</v>
      </c>
      <c r="L32" t="s">
        <v>61</v>
      </c>
      <c r="M32">
        <v>76.11</v>
      </c>
      <c r="N32">
        <v>4012.58</v>
      </c>
      <c r="O32" t="s">
        <v>58</v>
      </c>
      <c r="P32" t="s">
        <v>55</v>
      </c>
    </row>
    <row r="33" spans="1:16" x14ac:dyDescent="0.35">
      <c r="A33" t="s">
        <v>97</v>
      </c>
      <c r="B33">
        <v>71</v>
      </c>
      <c r="C33" t="s">
        <v>56</v>
      </c>
      <c r="D33" t="s">
        <v>56</v>
      </c>
      <c r="E33" t="s">
        <v>55</v>
      </c>
      <c r="F33">
        <v>37</v>
      </c>
      <c r="G33" t="s">
        <v>55</v>
      </c>
      <c r="H33" t="s">
        <v>60</v>
      </c>
      <c r="I33" t="s">
        <v>30</v>
      </c>
      <c r="J33" t="s">
        <v>12</v>
      </c>
      <c r="K33" t="s">
        <v>55</v>
      </c>
      <c r="L33" t="s">
        <v>61</v>
      </c>
      <c r="M33">
        <v>95.56</v>
      </c>
      <c r="N33">
        <v>3660.35</v>
      </c>
      <c r="O33" t="s">
        <v>69</v>
      </c>
      <c r="P33" t="s">
        <v>55</v>
      </c>
    </row>
    <row r="34" spans="1:16" x14ac:dyDescent="0.35">
      <c r="A34" t="s">
        <v>98</v>
      </c>
      <c r="B34">
        <v>28</v>
      </c>
      <c r="C34" t="s">
        <v>55</v>
      </c>
      <c r="D34" t="s">
        <v>56</v>
      </c>
      <c r="E34" t="s">
        <v>55</v>
      </c>
      <c r="F34">
        <v>66</v>
      </c>
      <c r="G34" t="s">
        <v>55</v>
      </c>
      <c r="H34" t="s">
        <v>60</v>
      </c>
      <c r="I34" t="s">
        <v>29</v>
      </c>
      <c r="J34" t="s">
        <v>12</v>
      </c>
      <c r="K34" t="s">
        <v>56</v>
      </c>
      <c r="L34" t="s">
        <v>61</v>
      </c>
      <c r="M34">
        <v>48.99</v>
      </c>
      <c r="N34">
        <v>3116.6</v>
      </c>
      <c r="O34" t="s">
        <v>62</v>
      </c>
      <c r="P34" t="s">
        <v>56</v>
      </c>
    </row>
    <row r="35" spans="1:16" x14ac:dyDescent="0.35">
      <c r="A35" t="s">
        <v>99</v>
      </c>
      <c r="B35">
        <v>48</v>
      </c>
      <c r="C35" t="s">
        <v>55</v>
      </c>
      <c r="D35" t="s">
        <v>56</v>
      </c>
      <c r="E35" t="s">
        <v>55</v>
      </c>
      <c r="F35">
        <v>54</v>
      </c>
      <c r="G35" t="s">
        <v>56</v>
      </c>
      <c r="H35" t="s">
        <v>55</v>
      </c>
      <c r="I35" t="s">
        <v>55</v>
      </c>
      <c r="J35" t="s">
        <v>12</v>
      </c>
      <c r="K35" t="s">
        <v>55</v>
      </c>
      <c r="L35" t="s">
        <v>26</v>
      </c>
      <c r="M35">
        <v>25.87</v>
      </c>
      <c r="N35">
        <v>1314.09</v>
      </c>
      <c r="O35" t="s">
        <v>66</v>
      </c>
      <c r="P35" t="s">
        <v>55</v>
      </c>
    </row>
    <row r="36" spans="1:16" x14ac:dyDescent="0.35">
      <c r="A36" t="s">
        <v>100</v>
      </c>
      <c r="B36">
        <v>74</v>
      </c>
      <c r="C36" t="s">
        <v>56</v>
      </c>
      <c r="D36" t="s">
        <v>56</v>
      </c>
      <c r="E36" t="s">
        <v>55</v>
      </c>
      <c r="F36">
        <v>29</v>
      </c>
      <c r="G36" t="s">
        <v>55</v>
      </c>
      <c r="H36" t="s">
        <v>60</v>
      </c>
      <c r="I36" t="s">
        <v>30</v>
      </c>
      <c r="J36" t="s">
        <v>12</v>
      </c>
      <c r="K36" t="s">
        <v>56</v>
      </c>
      <c r="L36" t="s">
        <v>25</v>
      </c>
      <c r="M36">
        <v>76.069999999999993</v>
      </c>
      <c r="N36">
        <v>2108.9699999999998</v>
      </c>
      <c r="O36" t="s">
        <v>58</v>
      </c>
      <c r="P36" t="s">
        <v>55</v>
      </c>
    </row>
    <row r="37" spans="1:16" x14ac:dyDescent="0.35">
      <c r="A37" t="s">
        <v>101</v>
      </c>
      <c r="B37">
        <v>53</v>
      </c>
      <c r="C37" t="s">
        <v>55</v>
      </c>
      <c r="D37" t="s">
        <v>55</v>
      </c>
      <c r="E37" t="s">
        <v>55</v>
      </c>
      <c r="F37">
        <v>65</v>
      </c>
      <c r="G37" t="s">
        <v>55</v>
      </c>
      <c r="H37" t="s">
        <v>60</v>
      </c>
      <c r="I37" t="s">
        <v>30</v>
      </c>
      <c r="J37" t="s">
        <v>14</v>
      </c>
      <c r="K37" t="s">
        <v>55</v>
      </c>
      <c r="L37" t="s">
        <v>57</v>
      </c>
      <c r="M37">
        <v>107.59</v>
      </c>
      <c r="N37">
        <v>7278.56</v>
      </c>
      <c r="O37" t="s">
        <v>66</v>
      </c>
      <c r="P37" t="s">
        <v>55</v>
      </c>
    </row>
    <row r="38" spans="1:16" x14ac:dyDescent="0.35">
      <c r="A38" t="s">
        <v>102</v>
      </c>
      <c r="B38">
        <v>51</v>
      </c>
      <c r="C38" t="s">
        <v>55</v>
      </c>
      <c r="D38" t="s">
        <v>55</v>
      </c>
      <c r="E38" t="s">
        <v>56</v>
      </c>
      <c r="F38">
        <v>36</v>
      </c>
      <c r="G38" t="s">
        <v>55</v>
      </c>
      <c r="H38" t="s">
        <v>60</v>
      </c>
      <c r="I38" t="s">
        <v>30</v>
      </c>
      <c r="J38" t="s">
        <v>12</v>
      </c>
      <c r="K38" t="s">
        <v>55</v>
      </c>
      <c r="L38" t="s">
        <v>26</v>
      </c>
      <c r="M38">
        <v>97.01</v>
      </c>
      <c r="N38">
        <v>3340.81</v>
      </c>
      <c r="O38" t="s">
        <v>69</v>
      </c>
      <c r="P38" t="s">
        <v>56</v>
      </c>
    </row>
    <row r="39" spans="1:16" x14ac:dyDescent="0.35">
      <c r="A39" t="s">
        <v>103</v>
      </c>
      <c r="B39">
        <v>27</v>
      </c>
      <c r="C39" t="s">
        <v>55</v>
      </c>
      <c r="D39" t="s">
        <v>56</v>
      </c>
      <c r="E39" t="s">
        <v>56</v>
      </c>
      <c r="F39">
        <v>54</v>
      </c>
      <c r="G39" t="s">
        <v>55</v>
      </c>
      <c r="H39" t="s">
        <v>60</v>
      </c>
      <c r="I39" t="s">
        <v>30</v>
      </c>
      <c r="J39" t="s">
        <v>12</v>
      </c>
      <c r="K39" t="s">
        <v>56</v>
      </c>
      <c r="L39" t="s">
        <v>61</v>
      </c>
      <c r="M39">
        <v>89.47</v>
      </c>
      <c r="N39">
        <v>4987.8</v>
      </c>
      <c r="O39" t="s">
        <v>80</v>
      </c>
      <c r="P39" t="s">
        <v>55</v>
      </c>
    </row>
    <row r="40" spans="1:16" x14ac:dyDescent="0.35">
      <c r="A40" t="s">
        <v>104</v>
      </c>
      <c r="B40">
        <v>72</v>
      </c>
      <c r="C40" t="s">
        <v>56</v>
      </c>
      <c r="D40" t="s">
        <v>55</v>
      </c>
      <c r="E40" t="s">
        <v>55</v>
      </c>
      <c r="F40">
        <v>1</v>
      </c>
      <c r="G40" t="s">
        <v>55</v>
      </c>
      <c r="H40" t="s">
        <v>60</v>
      </c>
      <c r="I40" t="s">
        <v>55</v>
      </c>
      <c r="J40" t="s">
        <v>13</v>
      </c>
      <c r="K40" t="s">
        <v>55</v>
      </c>
      <c r="L40" t="s">
        <v>57</v>
      </c>
      <c r="M40">
        <v>26.82</v>
      </c>
      <c r="N40">
        <v>27.79</v>
      </c>
      <c r="O40" t="s">
        <v>64</v>
      </c>
      <c r="P40" t="s">
        <v>55</v>
      </c>
    </row>
    <row r="41" spans="1:16" x14ac:dyDescent="0.35">
      <c r="A41" t="s">
        <v>105</v>
      </c>
      <c r="B41">
        <v>32</v>
      </c>
      <c r="C41" t="s">
        <v>55</v>
      </c>
      <c r="D41" t="s">
        <v>55</v>
      </c>
      <c r="E41" t="s">
        <v>55</v>
      </c>
      <c r="F41">
        <v>63</v>
      </c>
      <c r="G41" t="s">
        <v>55</v>
      </c>
      <c r="H41" t="s">
        <v>60</v>
      </c>
      <c r="I41" t="s">
        <v>30</v>
      </c>
      <c r="J41" t="s">
        <v>13</v>
      </c>
      <c r="K41" t="s">
        <v>55</v>
      </c>
      <c r="L41" t="s">
        <v>61</v>
      </c>
      <c r="M41">
        <v>112.03</v>
      </c>
      <c r="N41">
        <v>7413.22</v>
      </c>
      <c r="O41" t="s">
        <v>58</v>
      </c>
      <c r="P41" t="s">
        <v>55</v>
      </c>
    </row>
    <row r="42" spans="1:16" x14ac:dyDescent="0.35">
      <c r="A42" t="s">
        <v>106</v>
      </c>
      <c r="B42">
        <v>19</v>
      </c>
      <c r="C42" t="s">
        <v>55</v>
      </c>
      <c r="D42" t="s">
        <v>55</v>
      </c>
      <c r="E42" t="s">
        <v>56</v>
      </c>
      <c r="F42">
        <v>11</v>
      </c>
      <c r="G42" t="s">
        <v>56</v>
      </c>
      <c r="H42" t="s">
        <v>55</v>
      </c>
      <c r="I42" t="s">
        <v>29</v>
      </c>
      <c r="J42" t="s">
        <v>12</v>
      </c>
      <c r="K42" t="s">
        <v>55</v>
      </c>
      <c r="L42" t="s">
        <v>57</v>
      </c>
      <c r="M42">
        <v>48.47</v>
      </c>
      <c r="N42">
        <v>522.09</v>
      </c>
      <c r="O42" t="s">
        <v>64</v>
      </c>
      <c r="P42" t="s">
        <v>55</v>
      </c>
    </row>
    <row r="43" spans="1:16" x14ac:dyDescent="0.35">
      <c r="A43" t="s">
        <v>107</v>
      </c>
      <c r="B43">
        <v>35</v>
      </c>
      <c r="C43" t="s">
        <v>55</v>
      </c>
      <c r="D43" t="s">
        <v>55</v>
      </c>
      <c r="E43" t="s">
        <v>55</v>
      </c>
      <c r="F43">
        <v>11</v>
      </c>
      <c r="G43" t="s">
        <v>56</v>
      </c>
      <c r="H43" t="s">
        <v>55</v>
      </c>
      <c r="I43" t="s">
        <v>29</v>
      </c>
      <c r="J43" t="s">
        <v>12</v>
      </c>
      <c r="K43" t="s">
        <v>56</v>
      </c>
      <c r="L43" t="s">
        <v>61</v>
      </c>
      <c r="M43">
        <v>66.069999999999993</v>
      </c>
      <c r="N43">
        <v>748.94</v>
      </c>
      <c r="O43" t="s">
        <v>62</v>
      </c>
      <c r="P43" t="s">
        <v>55</v>
      </c>
    </row>
    <row r="44" spans="1:16" x14ac:dyDescent="0.35">
      <c r="A44" t="s">
        <v>108</v>
      </c>
      <c r="B44">
        <v>71</v>
      </c>
      <c r="C44" t="s">
        <v>56</v>
      </c>
      <c r="D44" t="s">
        <v>56</v>
      </c>
      <c r="E44" t="s">
        <v>56</v>
      </c>
      <c r="F44">
        <v>31</v>
      </c>
      <c r="G44" t="s">
        <v>56</v>
      </c>
      <c r="H44" t="s">
        <v>55</v>
      </c>
      <c r="I44" t="s">
        <v>30</v>
      </c>
      <c r="J44" t="s">
        <v>12</v>
      </c>
      <c r="K44" t="s">
        <v>55</v>
      </c>
      <c r="L44" t="s">
        <v>61</v>
      </c>
      <c r="M44">
        <v>78.39</v>
      </c>
      <c r="N44">
        <v>2461.36</v>
      </c>
      <c r="O44" t="s">
        <v>80</v>
      </c>
      <c r="P44" t="s">
        <v>55</v>
      </c>
    </row>
    <row r="45" spans="1:16" x14ac:dyDescent="0.35">
      <c r="A45" t="s">
        <v>109</v>
      </c>
      <c r="B45">
        <v>67</v>
      </c>
      <c r="C45" t="s">
        <v>56</v>
      </c>
      <c r="D45" t="s">
        <v>56</v>
      </c>
      <c r="E45" t="s">
        <v>55</v>
      </c>
      <c r="F45">
        <v>14</v>
      </c>
      <c r="G45" t="s">
        <v>55</v>
      </c>
      <c r="H45" t="s">
        <v>60</v>
      </c>
      <c r="I45" t="s">
        <v>29</v>
      </c>
      <c r="J45" t="s">
        <v>13</v>
      </c>
      <c r="K45" t="s">
        <v>55</v>
      </c>
      <c r="L45" t="s">
        <v>57</v>
      </c>
      <c r="M45">
        <v>68.599999999999994</v>
      </c>
      <c r="N45">
        <v>911.53</v>
      </c>
      <c r="O45" t="s">
        <v>69</v>
      </c>
      <c r="P45" t="s">
        <v>55</v>
      </c>
    </row>
    <row r="46" spans="1:16" x14ac:dyDescent="0.35">
      <c r="A46" t="s">
        <v>110</v>
      </c>
      <c r="B46">
        <v>33</v>
      </c>
      <c r="C46" t="s">
        <v>55</v>
      </c>
      <c r="D46" t="s">
        <v>56</v>
      </c>
      <c r="E46" t="s">
        <v>55</v>
      </c>
      <c r="F46">
        <v>16</v>
      </c>
      <c r="G46" t="s">
        <v>56</v>
      </c>
      <c r="H46" t="s">
        <v>56</v>
      </c>
      <c r="I46" t="s">
        <v>29</v>
      </c>
      <c r="J46" t="s">
        <v>12</v>
      </c>
      <c r="K46" t="s">
        <v>55</v>
      </c>
      <c r="L46" t="s">
        <v>26</v>
      </c>
      <c r="M46">
        <v>65.900000000000006</v>
      </c>
      <c r="N46">
        <v>992.74</v>
      </c>
      <c r="O46" t="s">
        <v>64</v>
      </c>
      <c r="P46" t="s">
        <v>55</v>
      </c>
    </row>
    <row r="47" spans="1:16" x14ac:dyDescent="0.35">
      <c r="A47" t="s">
        <v>111</v>
      </c>
      <c r="B47">
        <v>24</v>
      </c>
      <c r="C47" t="s">
        <v>55</v>
      </c>
      <c r="D47" t="s">
        <v>55</v>
      </c>
      <c r="E47" t="s">
        <v>55</v>
      </c>
      <c r="F47">
        <v>59</v>
      </c>
      <c r="G47" t="s">
        <v>55</v>
      </c>
      <c r="H47" t="s">
        <v>60</v>
      </c>
      <c r="I47" t="s">
        <v>29</v>
      </c>
      <c r="J47" t="s">
        <v>12</v>
      </c>
      <c r="K47" t="s">
        <v>55</v>
      </c>
      <c r="L47" t="s">
        <v>61</v>
      </c>
      <c r="M47">
        <v>76.78</v>
      </c>
      <c r="N47">
        <v>4679.32</v>
      </c>
      <c r="O47" t="s">
        <v>66</v>
      </c>
      <c r="P47" t="s">
        <v>55</v>
      </c>
    </row>
    <row r="48" spans="1:16" x14ac:dyDescent="0.35">
      <c r="A48" t="s">
        <v>112</v>
      </c>
      <c r="B48">
        <v>64</v>
      </c>
      <c r="C48" t="s">
        <v>56</v>
      </c>
      <c r="D48" t="s">
        <v>55</v>
      </c>
      <c r="E48" t="s">
        <v>55</v>
      </c>
      <c r="F48">
        <v>32</v>
      </c>
      <c r="G48" t="s">
        <v>56</v>
      </c>
      <c r="H48" t="s">
        <v>56</v>
      </c>
      <c r="I48" t="s">
        <v>55</v>
      </c>
      <c r="J48" t="s">
        <v>12</v>
      </c>
      <c r="K48" t="s">
        <v>55</v>
      </c>
      <c r="L48" t="s">
        <v>57</v>
      </c>
      <c r="M48">
        <v>26.02</v>
      </c>
      <c r="N48">
        <v>816.29</v>
      </c>
      <c r="O48" t="s">
        <v>76</v>
      </c>
      <c r="P48" t="s">
        <v>55</v>
      </c>
    </row>
    <row r="49" spans="1:16" x14ac:dyDescent="0.35">
      <c r="A49" t="s">
        <v>113</v>
      </c>
      <c r="B49">
        <v>29</v>
      </c>
      <c r="C49" t="s">
        <v>55</v>
      </c>
      <c r="D49" t="s">
        <v>55</v>
      </c>
      <c r="E49" t="s">
        <v>56</v>
      </c>
      <c r="F49">
        <v>46</v>
      </c>
      <c r="G49" t="s">
        <v>55</v>
      </c>
      <c r="H49" t="s">
        <v>60</v>
      </c>
      <c r="I49" t="s">
        <v>29</v>
      </c>
      <c r="J49" t="s">
        <v>12</v>
      </c>
      <c r="K49" t="s">
        <v>55</v>
      </c>
      <c r="L49" t="s">
        <v>57</v>
      </c>
      <c r="M49">
        <v>60.67</v>
      </c>
      <c r="N49">
        <v>2687.36</v>
      </c>
      <c r="O49" t="s">
        <v>64</v>
      </c>
      <c r="P49" t="s">
        <v>56</v>
      </c>
    </row>
    <row r="50" spans="1:16" x14ac:dyDescent="0.35">
      <c r="A50" t="s">
        <v>114</v>
      </c>
      <c r="B50">
        <v>49</v>
      </c>
      <c r="C50" t="s">
        <v>55</v>
      </c>
      <c r="D50" t="s">
        <v>56</v>
      </c>
      <c r="E50" t="s">
        <v>55</v>
      </c>
      <c r="F50">
        <v>63</v>
      </c>
      <c r="G50" t="s">
        <v>56</v>
      </c>
      <c r="H50" t="s">
        <v>56</v>
      </c>
      <c r="I50" t="s">
        <v>30</v>
      </c>
      <c r="J50" t="s">
        <v>12</v>
      </c>
      <c r="K50" t="s">
        <v>56</v>
      </c>
      <c r="L50" t="s">
        <v>26</v>
      </c>
      <c r="M50">
        <v>99.08</v>
      </c>
      <c r="N50">
        <v>6222.01</v>
      </c>
      <c r="O50" t="s">
        <v>64</v>
      </c>
      <c r="P50" t="s">
        <v>55</v>
      </c>
    </row>
    <row r="51" spans="1:16" x14ac:dyDescent="0.35">
      <c r="A51" t="s">
        <v>115</v>
      </c>
      <c r="B51">
        <v>65</v>
      </c>
      <c r="C51" t="s">
        <v>56</v>
      </c>
      <c r="D51" t="s">
        <v>55</v>
      </c>
      <c r="E51" t="s">
        <v>55</v>
      </c>
      <c r="F51">
        <v>59</v>
      </c>
      <c r="G51" t="s">
        <v>55</v>
      </c>
      <c r="H51" t="s">
        <v>60</v>
      </c>
      <c r="I51" t="s">
        <v>30</v>
      </c>
      <c r="J51" t="s">
        <v>12</v>
      </c>
      <c r="K51" t="s">
        <v>56</v>
      </c>
      <c r="L51" t="s">
        <v>26</v>
      </c>
      <c r="M51">
        <v>107.14</v>
      </c>
      <c r="N51">
        <v>6663.27</v>
      </c>
      <c r="O51" t="s">
        <v>62</v>
      </c>
      <c r="P51" t="s">
        <v>55</v>
      </c>
    </row>
    <row r="52" spans="1:16" x14ac:dyDescent="0.35">
      <c r="A52" t="s">
        <v>116</v>
      </c>
      <c r="B52">
        <v>31</v>
      </c>
      <c r="C52" t="s">
        <v>55</v>
      </c>
      <c r="D52" t="s">
        <v>55</v>
      </c>
      <c r="E52" t="s">
        <v>55</v>
      </c>
      <c r="F52">
        <v>68</v>
      </c>
      <c r="G52" t="s">
        <v>56</v>
      </c>
      <c r="H52" t="s">
        <v>55</v>
      </c>
      <c r="I52" t="s">
        <v>29</v>
      </c>
      <c r="J52" t="s">
        <v>12</v>
      </c>
      <c r="K52" t="s">
        <v>55</v>
      </c>
      <c r="L52" t="s">
        <v>26</v>
      </c>
      <c r="M52">
        <v>40.57</v>
      </c>
      <c r="N52">
        <v>2770.06</v>
      </c>
      <c r="O52" t="s">
        <v>80</v>
      </c>
      <c r="P52" t="s">
        <v>56</v>
      </c>
    </row>
    <row r="53" spans="1:16" x14ac:dyDescent="0.35">
      <c r="A53" t="s">
        <v>117</v>
      </c>
      <c r="B53">
        <v>53</v>
      </c>
      <c r="C53" t="s">
        <v>55</v>
      </c>
      <c r="D53" t="s">
        <v>55</v>
      </c>
      <c r="E53" t="s">
        <v>56</v>
      </c>
      <c r="F53">
        <v>63</v>
      </c>
      <c r="G53" t="s">
        <v>56</v>
      </c>
      <c r="H53" t="s">
        <v>55</v>
      </c>
      <c r="I53" t="s">
        <v>30</v>
      </c>
      <c r="J53" t="s">
        <v>12</v>
      </c>
      <c r="K53" t="s">
        <v>55</v>
      </c>
      <c r="L53" t="s">
        <v>26</v>
      </c>
      <c r="M53">
        <v>118.27</v>
      </c>
      <c r="N53">
        <v>7229.7</v>
      </c>
      <c r="O53" t="s">
        <v>80</v>
      </c>
      <c r="P53" t="s">
        <v>55</v>
      </c>
    </row>
    <row r="54" spans="1:16" x14ac:dyDescent="0.35">
      <c r="A54" t="s">
        <v>118</v>
      </c>
      <c r="B54">
        <v>70</v>
      </c>
      <c r="C54" t="s">
        <v>56</v>
      </c>
      <c r="D54" t="s">
        <v>56</v>
      </c>
      <c r="E54" t="s">
        <v>55</v>
      </c>
      <c r="F54">
        <v>63</v>
      </c>
      <c r="G54" t="s">
        <v>56</v>
      </c>
      <c r="H54" t="s">
        <v>56</v>
      </c>
      <c r="I54" t="s">
        <v>30</v>
      </c>
      <c r="J54" t="s">
        <v>14</v>
      </c>
      <c r="K54" t="s">
        <v>55</v>
      </c>
      <c r="L54" t="s">
        <v>26</v>
      </c>
      <c r="M54">
        <v>82.41</v>
      </c>
      <c r="N54">
        <v>5228.01</v>
      </c>
      <c r="O54" t="s">
        <v>58</v>
      </c>
      <c r="P54" t="s">
        <v>55</v>
      </c>
    </row>
    <row r="55" spans="1:16" x14ac:dyDescent="0.35">
      <c r="A55" t="s">
        <v>119</v>
      </c>
      <c r="B55">
        <v>68</v>
      </c>
      <c r="C55" t="s">
        <v>56</v>
      </c>
      <c r="D55" t="s">
        <v>56</v>
      </c>
      <c r="E55" t="s">
        <v>55</v>
      </c>
      <c r="F55">
        <v>58</v>
      </c>
      <c r="G55" t="s">
        <v>55</v>
      </c>
      <c r="H55" t="s">
        <v>60</v>
      </c>
      <c r="I55" t="s">
        <v>55</v>
      </c>
      <c r="J55" t="s">
        <v>14</v>
      </c>
      <c r="K55" t="s">
        <v>55</v>
      </c>
      <c r="L55" t="s">
        <v>26</v>
      </c>
      <c r="M55">
        <v>25.45</v>
      </c>
      <c r="N55">
        <v>1495.52</v>
      </c>
      <c r="O55" t="s">
        <v>66</v>
      </c>
      <c r="P55" t="s">
        <v>55</v>
      </c>
    </row>
    <row r="56" spans="1:16" x14ac:dyDescent="0.35">
      <c r="A56" t="s">
        <v>120</v>
      </c>
      <c r="B56">
        <v>31</v>
      </c>
      <c r="C56" t="s">
        <v>55</v>
      </c>
      <c r="D56" t="s">
        <v>56</v>
      </c>
      <c r="E56" t="s">
        <v>55</v>
      </c>
      <c r="F56">
        <v>11</v>
      </c>
      <c r="G56" t="s">
        <v>56</v>
      </c>
      <c r="H56" t="s">
        <v>55</v>
      </c>
      <c r="I56" t="s">
        <v>30</v>
      </c>
      <c r="J56" t="s">
        <v>12</v>
      </c>
      <c r="K56" t="s">
        <v>55</v>
      </c>
      <c r="L56" t="s">
        <v>57</v>
      </c>
      <c r="M56">
        <v>99.69</v>
      </c>
      <c r="N56">
        <v>1069.1199999999999</v>
      </c>
      <c r="O56" t="s">
        <v>69</v>
      </c>
      <c r="P56" t="s">
        <v>56</v>
      </c>
    </row>
    <row r="57" spans="1:16" x14ac:dyDescent="0.35">
      <c r="A57" t="s">
        <v>121</v>
      </c>
      <c r="B57">
        <v>36</v>
      </c>
      <c r="C57" t="s">
        <v>55</v>
      </c>
      <c r="D57" t="s">
        <v>55</v>
      </c>
      <c r="E57" t="s">
        <v>56</v>
      </c>
      <c r="F57">
        <v>30</v>
      </c>
      <c r="G57" t="s">
        <v>56</v>
      </c>
      <c r="H57" t="s">
        <v>55</v>
      </c>
      <c r="I57" t="s">
        <v>55</v>
      </c>
      <c r="J57" t="s">
        <v>12</v>
      </c>
      <c r="K57" t="s">
        <v>56</v>
      </c>
      <c r="L57" t="s">
        <v>25</v>
      </c>
      <c r="M57">
        <v>27.92</v>
      </c>
      <c r="N57">
        <v>794.52</v>
      </c>
      <c r="O57" t="s">
        <v>76</v>
      </c>
      <c r="P57" t="s">
        <v>56</v>
      </c>
    </row>
    <row r="58" spans="1:16" x14ac:dyDescent="0.35">
      <c r="A58" t="s">
        <v>122</v>
      </c>
      <c r="B58">
        <v>56</v>
      </c>
      <c r="C58" t="s">
        <v>55</v>
      </c>
      <c r="D58" t="s">
        <v>55</v>
      </c>
      <c r="E58" t="s">
        <v>55</v>
      </c>
      <c r="F58">
        <v>16</v>
      </c>
      <c r="G58" t="s">
        <v>55</v>
      </c>
      <c r="H58" t="s">
        <v>60</v>
      </c>
      <c r="I58" t="s">
        <v>29</v>
      </c>
      <c r="J58" t="s">
        <v>13</v>
      </c>
      <c r="K58" t="s">
        <v>55</v>
      </c>
      <c r="L58" t="s">
        <v>57</v>
      </c>
      <c r="M58">
        <v>59.75</v>
      </c>
      <c r="N58">
        <v>907.87</v>
      </c>
      <c r="O58" t="s">
        <v>64</v>
      </c>
      <c r="P58" t="s">
        <v>56</v>
      </c>
    </row>
    <row r="59" spans="1:16" x14ac:dyDescent="0.35">
      <c r="A59" t="s">
        <v>123</v>
      </c>
      <c r="B59">
        <v>65</v>
      </c>
      <c r="C59" t="s">
        <v>56</v>
      </c>
      <c r="D59" t="s">
        <v>55</v>
      </c>
      <c r="E59" t="s">
        <v>55</v>
      </c>
      <c r="F59">
        <v>4</v>
      </c>
      <c r="G59" t="s">
        <v>56</v>
      </c>
      <c r="H59" t="s">
        <v>55</v>
      </c>
      <c r="I59" t="s">
        <v>30</v>
      </c>
      <c r="J59" t="s">
        <v>13</v>
      </c>
      <c r="K59" t="s">
        <v>55</v>
      </c>
      <c r="L59" t="s">
        <v>57</v>
      </c>
      <c r="M59">
        <v>108.16</v>
      </c>
      <c r="N59">
        <v>415.78</v>
      </c>
      <c r="O59" t="s">
        <v>64</v>
      </c>
      <c r="P59" t="s">
        <v>55</v>
      </c>
    </row>
    <row r="60" spans="1:16" x14ac:dyDescent="0.35">
      <c r="A60" t="s">
        <v>124</v>
      </c>
      <c r="B60">
        <v>35</v>
      </c>
      <c r="C60" t="s">
        <v>55</v>
      </c>
      <c r="D60" t="s">
        <v>56</v>
      </c>
      <c r="E60" t="s">
        <v>55</v>
      </c>
      <c r="F60">
        <v>63</v>
      </c>
      <c r="G60" t="s">
        <v>55</v>
      </c>
      <c r="H60" t="s">
        <v>60</v>
      </c>
      <c r="I60" t="s">
        <v>55</v>
      </c>
      <c r="J60" t="s">
        <v>12</v>
      </c>
      <c r="K60" t="s">
        <v>55</v>
      </c>
      <c r="L60" t="s">
        <v>26</v>
      </c>
      <c r="M60">
        <v>19.260000000000002</v>
      </c>
      <c r="N60">
        <v>1163.99</v>
      </c>
      <c r="O60" t="s">
        <v>64</v>
      </c>
      <c r="P60" t="s">
        <v>55</v>
      </c>
    </row>
    <row r="61" spans="1:16" x14ac:dyDescent="0.35">
      <c r="A61" t="s">
        <v>125</v>
      </c>
      <c r="B61">
        <v>36</v>
      </c>
      <c r="C61" t="s">
        <v>55</v>
      </c>
      <c r="D61" t="s">
        <v>55</v>
      </c>
      <c r="E61" t="s">
        <v>56</v>
      </c>
      <c r="F61">
        <v>59</v>
      </c>
      <c r="G61" t="s">
        <v>55</v>
      </c>
      <c r="H61" t="s">
        <v>60</v>
      </c>
      <c r="I61" t="s">
        <v>30</v>
      </c>
      <c r="J61" t="s">
        <v>12</v>
      </c>
      <c r="K61" t="s">
        <v>55</v>
      </c>
      <c r="L61" t="s">
        <v>25</v>
      </c>
      <c r="M61">
        <v>111.25</v>
      </c>
      <c r="N61">
        <v>6170.83</v>
      </c>
      <c r="O61" t="s">
        <v>64</v>
      </c>
      <c r="P61" t="s">
        <v>55</v>
      </c>
    </row>
    <row r="62" spans="1:16" x14ac:dyDescent="0.35">
      <c r="A62" t="s">
        <v>126</v>
      </c>
      <c r="B62">
        <v>44</v>
      </c>
      <c r="C62" t="s">
        <v>55</v>
      </c>
      <c r="D62" t="s">
        <v>56</v>
      </c>
      <c r="E62" t="s">
        <v>56</v>
      </c>
      <c r="F62">
        <v>67</v>
      </c>
      <c r="G62" t="s">
        <v>55</v>
      </c>
      <c r="H62" t="s">
        <v>60</v>
      </c>
      <c r="I62" t="s">
        <v>30</v>
      </c>
      <c r="J62" t="s">
        <v>13</v>
      </c>
      <c r="K62" t="s">
        <v>56</v>
      </c>
      <c r="L62" t="s">
        <v>26</v>
      </c>
      <c r="M62">
        <v>97.46</v>
      </c>
      <c r="N62">
        <v>6864.94</v>
      </c>
      <c r="O62" t="s">
        <v>69</v>
      </c>
      <c r="P62" t="s">
        <v>55</v>
      </c>
    </row>
    <row r="63" spans="1:16" x14ac:dyDescent="0.35">
      <c r="A63" t="s">
        <v>127</v>
      </c>
      <c r="B63">
        <v>49</v>
      </c>
      <c r="C63" t="s">
        <v>55</v>
      </c>
      <c r="D63" t="s">
        <v>56</v>
      </c>
      <c r="E63" t="s">
        <v>56</v>
      </c>
      <c r="F63">
        <v>31</v>
      </c>
      <c r="G63" t="s">
        <v>55</v>
      </c>
      <c r="H63" t="s">
        <v>60</v>
      </c>
      <c r="I63" t="s">
        <v>29</v>
      </c>
      <c r="J63" t="s">
        <v>13</v>
      </c>
      <c r="K63" t="s">
        <v>55</v>
      </c>
      <c r="L63" t="s">
        <v>26</v>
      </c>
      <c r="M63">
        <v>79.69</v>
      </c>
      <c r="N63">
        <v>2592.8000000000002</v>
      </c>
      <c r="O63" t="s">
        <v>80</v>
      </c>
      <c r="P63" t="s">
        <v>55</v>
      </c>
    </row>
    <row r="64" spans="1:16" x14ac:dyDescent="0.35">
      <c r="A64" t="s">
        <v>128</v>
      </c>
      <c r="B64">
        <v>59</v>
      </c>
      <c r="C64" t="s">
        <v>55</v>
      </c>
      <c r="D64" t="s">
        <v>56</v>
      </c>
      <c r="E64" t="s">
        <v>55</v>
      </c>
      <c r="F64">
        <v>38</v>
      </c>
      <c r="G64" t="s">
        <v>55</v>
      </c>
      <c r="H64" t="s">
        <v>60</v>
      </c>
      <c r="I64" t="s">
        <v>29</v>
      </c>
      <c r="J64" t="s">
        <v>12</v>
      </c>
      <c r="K64" t="s">
        <v>55</v>
      </c>
      <c r="L64" t="s">
        <v>25</v>
      </c>
      <c r="M64">
        <v>49.75</v>
      </c>
      <c r="N64">
        <v>1902.13</v>
      </c>
      <c r="O64" t="s">
        <v>58</v>
      </c>
      <c r="P64" t="s">
        <v>55</v>
      </c>
    </row>
    <row r="65" spans="1:16" x14ac:dyDescent="0.35">
      <c r="A65" t="s">
        <v>129</v>
      </c>
      <c r="B65">
        <v>50</v>
      </c>
      <c r="C65" t="s">
        <v>55</v>
      </c>
      <c r="D65" t="s">
        <v>56</v>
      </c>
      <c r="E65" t="s">
        <v>56</v>
      </c>
      <c r="F65">
        <v>36</v>
      </c>
      <c r="G65" t="s">
        <v>55</v>
      </c>
      <c r="H65" t="s">
        <v>60</v>
      </c>
      <c r="I65" t="s">
        <v>29</v>
      </c>
      <c r="J65" t="s">
        <v>12</v>
      </c>
      <c r="K65" t="s">
        <v>55</v>
      </c>
      <c r="L65" t="s">
        <v>61</v>
      </c>
      <c r="M65">
        <v>51.31</v>
      </c>
      <c r="N65">
        <v>1802.51</v>
      </c>
      <c r="O65" t="s">
        <v>69</v>
      </c>
      <c r="P65" t="s">
        <v>55</v>
      </c>
    </row>
    <row r="66" spans="1:16" x14ac:dyDescent="0.35">
      <c r="A66" t="s">
        <v>130</v>
      </c>
      <c r="B66">
        <v>49</v>
      </c>
      <c r="C66" t="s">
        <v>55</v>
      </c>
      <c r="D66" t="s">
        <v>56</v>
      </c>
      <c r="E66" t="s">
        <v>55</v>
      </c>
      <c r="F66">
        <v>69</v>
      </c>
      <c r="G66" t="s">
        <v>55</v>
      </c>
      <c r="H66" t="s">
        <v>60</v>
      </c>
      <c r="I66" t="s">
        <v>29</v>
      </c>
      <c r="J66" t="s">
        <v>13</v>
      </c>
      <c r="K66" t="s">
        <v>55</v>
      </c>
      <c r="L66" t="s">
        <v>57</v>
      </c>
      <c r="M66">
        <v>52.87</v>
      </c>
      <c r="N66">
        <v>3511.73</v>
      </c>
      <c r="O66" t="s">
        <v>58</v>
      </c>
      <c r="P66" t="s">
        <v>55</v>
      </c>
    </row>
    <row r="67" spans="1:16" x14ac:dyDescent="0.35">
      <c r="A67" t="s">
        <v>131</v>
      </c>
      <c r="B67">
        <v>42</v>
      </c>
      <c r="C67" t="s">
        <v>55</v>
      </c>
      <c r="D67" t="s">
        <v>56</v>
      </c>
      <c r="E67" t="s">
        <v>55</v>
      </c>
      <c r="F67">
        <v>6</v>
      </c>
      <c r="G67" t="s">
        <v>55</v>
      </c>
      <c r="H67" t="s">
        <v>60</v>
      </c>
      <c r="I67" t="s">
        <v>30</v>
      </c>
      <c r="J67" t="s">
        <v>13</v>
      </c>
      <c r="K67" t="s">
        <v>55</v>
      </c>
      <c r="L67" t="s">
        <v>57</v>
      </c>
      <c r="M67">
        <v>103.18</v>
      </c>
      <c r="N67">
        <v>642.91</v>
      </c>
      <c r="O67" t="s">
        <v>64</v>
      </c>
      <c r="P67" t="s">
        <v>55</v>
      </c>
    </row>
    <row r="68" spans="1:16" x14ac:dyDescent="0.35">
      <c r="A68" t="s">
        <v>132</v>
      </c>
      <c r="B68">
        <v>20</v>
      </c>
      <c r="C68" t="s">
        <v>55</v>
      </c>
      <c r="D68" t="s">
        <v>56</v>
      </c>
      <c r="E68" t="s">
        <v>55</v>
      </c>
      <c r="F68">
        <v>13</v>
      </c>
      <c r="G68" t="s">
        <v>55</v>
      </c>
      <c r="H68" t="s">
        <v>60</v>
      </c>
      <c r="I68" t="s">
        <v>55</v>
      </c>
      <c r="J68" t="s">
        <v>12</v>
      </c>
      <c r="K68" t="s">
        <v>55</v>
      </c>
      <c r="L68" t="s">
        <v>26</v>
      </c>
      <c r="M68">
        <v>19.73</v>
      </c>
      <c r="N68">
        <v>267.91000000000003</v>
      </c>
      <c r="O68" t="s">
        <v>80</v>
      </c>
      <c r="P68" t="s">
        <v>55</v>
      </c>
    </row>
    <row r="69" spans="1:16" x14ac:dyDescent="0.35">
      <c r="A69" t="s">
        <v>133</v>
      </c>
      <c r="B69">
        <v>48</v>
      </c>
      <c r="C69" t="s">
        <v>55</v>
      </c>
      <c r="D69" t="s">
        <v>55</v>
      </c>
      <c r="E69" t="s">
        <v>55</v>
      </c>
      <c r="F69">
        <v>51</v>
      </c>
      <c r="G69" t="s">
        <v>55</v>
      </c>
      <c r="H69" t="s">
        <v>60</v>
      </c>
      <c r="I69" t="s">
        <v>29</v>
      </c>
      <c r="J69" t="s">
        <v>14</v>
      </c>
      <c r="K69" t="s">
        <v>55</v>
      </c>
      <c r="L69" t="s">
        <v>25</v>
      </c>
      <c r="M69">
        <v>65.069999999999993</v>
      </c>
      <c r="N69">
        <v>3472.86</v>
      </c>
      <c r="O69" t="s">
        <v>58</v>
      </c>
      <c r="P69" t="s">
        <v>55</v>
      </c>
    </row>
    <row r="70" spans="1:16" x14ac:dyDescent="0.35">
      <c r="A70" t="s">
        <v>134</v>
      </c>
      <c r="B70">
        <v>20</v>
      </c>
      <c r="C70" t="s">
        <v>55</v>
      </c>
      <c r="D70" t="s">
        <v>56</v>
      </c>
      <c r="E70" t="s">
        <v>56</v>
      </c>
      <c r="F70">
        <v>37</v>
      </c>
      <c r="G70" t="s">
        <v>56</v>
      </c>
      <c r="H70" t="s">
        <v>55</v>
      </c>
      <c r="I70" t="s">
        <v>55</v>
      </c>
      <c r="J70" t="s">
        <v>12</v>
      </c>
      <c r="K70" t="s">
        <v>56</v>
      </c>
      <c r="L70" t="s">
        <v>57</v>
      </c>
      <c r="M70">
        <v>26.33</v>
      </c>
      <c r="N70">
        <v>1021.37</v>
      </c>
      <c r="O70" t="s">
        <v>66</v>
      </c>
      <c r="P70" t="s">
        <v>56</v>
      </c>
    </row>
    <row r="71" spans="1:16" x14ac:dyDescent="0.35">
      <c r="A71" t="s">
        <v>135</v>
      </c>
      <c r="B71">
        <v>21</v>
      </c>
      <c r="C71" t="s">
        <v>55</v>
      </c>
      <c r="D71" t="s">
        <v>55</v>
      </c>
      <c r="E71" t="s">
        <v>55</v>
      </c>
      <c r="F71">
        <v>48</v>
      </c>
      <c r="G71" t="s">
        <v>56</v>
      </c>
      <c r="H71" t="s">
        <v>55</v>
      </c>
      <c r="I71" t="s">
        <v>30</v>
      </c>
      <c r="J71" t="s">
        <v>13</v>
      </c>
      <c r="K71" t="s">
        <v>56</v>
      </c>
      <c r="L71" t="s">
        <v>26</v>
      </c>
      <c r="M71">
        <v>73.95</v>
      </c>
      <c r="N71">
        <v>3707.56</v>
      </c>
      <c r="O71" t="s">
        <v>62</v>
      </c>
      <c r="P71" t="s">
        <v>55</v>
      </c>
    </row>
    <row r="72" spans="1:16" x14ac:dyDescent="0.35">
      <c r="A72" t="s">
        <v>136</v>
      </c>
      <c r="B72">
        <v>49</v>
      </c>
      <c r="C72" t="s">
        <v>55</v>
      </c>
      <c r="D72" t="s">
        <v>56</v>
      </c>
      <c r="E72" t="s">
        <v>56</v>
      </c>
      <c r="F72">
        <v>60</v>
      </c>
      <c r="G72" t="s">
        <v>55</v>
      </c>
      <c r="H72" t="s">
        <v>60</v>
      </c>
      <c r="I72" t="s">
        <v>29</v>
      </c>
      <c r="J72" t="s">
        <v>12</v>
      </c>
      <c r="K72" t="s">
        <v>56</v>
      </c>
      <c r="L72" t="s">
        <v>25</v>
      </c>
      <c r="M72">
        <v>58.61</v>
      </c>
      <c r="N72">
        <v>3426.98</v>
      </c>
      <c r="O72" t="s">
        <v>80</v>
      </c>
      <c r="P72" t="s">
        <v>55</v>
      </c>
    </row>
    <row r="73" spans="1:16" x14ac:dyDescent="0.35">
      <c r="A73" t="s">
        <v>137</v>
      </c>
      <c r="B73">
        <v>46</v>
      </c>
      <c r="C73" t="s">
        <v>55</v>
      </c>
      <c r="D73" t="s">
        <v>55</v>
      </c>
      <c r="E73" t="s">
        <v>55</v>
      </c>
      <c r="F73">
        <v>55</v>
      </c>
      <c r="G73" t="s">
        <v>55</v>
      </c>
      <c r="H73" t="s">
        <v>60</v>
      </c>
      <c r="I73" t="s">
        <v>29</v>
      </c>
      <c r="J73" t="s">
        <v>14</v>
      </c>
      <c r="K73" t="s">
        <v>56</v>
      </c>
      <c r="L73" t="s">
        <v>25</v>
      </c>
      <c r="M73">
        <v>74.13</v>
      </c>
      <c r="N73">
        <v>3884.7</v>
      </c>
      <c r="O73" t="s">
        <v>76</v>
      </c>
      <c r="P73" t="s">
        <v>55</v>
      </c>
    </row>
    <row r="74" spans="1:16" x14ac:dyDescent="0.35">
      <c r="A74" t="s">
        <v>138</v>
      </c>
      <c r="B74">
        <v>54</v>
      </c>
      <c r="C74" t="s">
        <v>55</v>
      </c>
      <c r="D74" t="s">
        <v>55</v>
      </c>
      <c r="E74" t="s">
        <v>55</v>
      </c>
      <c r="F74">
        <v>3</v>
      </c>
      <c r="G74" t="s">
        <v>55</v>
      </c>
      <c r="H74" t="s">
        <v>60</v>
      </c>
      <c r="I74" t="s">
        <v>55</v>
      </c>
      <c r="J74" t="s">
        <v>12</v>
      </c>
      <c r="K74" t="s">
        <v>56</v>
      </c>
      <c r="L74" t="s">
        <v>25</v>
      </c>
      <c r="M74">
        <v>26.94</v>
      </c>
      <c r="N74">
        <v>84.05</v>
      </c>
      <c r="O74" t="s">
        <v>66</v>
      </c>
      <c r="P74" t="s">
        <v>55</v>
      </c>
    </row>
    <row r="75" spans="1:16" x14ac:dyDescent="0.35">
      <c r="A75" t="s">
        <v>139</v>
      </c>
      <c r="B75">
        <v>69</v>
      </c>
      <c r="C75" t="s">
        <v>56</v>
      </c>
      <c r="D75" t="s">
        <v>56</v>
      </c>
      <c r="E75" t="s">
        <v>55</v>
      </c>
      <c r="F75">
        <v>29</v>
      </c>
      <c r="G75" t="s">
        <v>55</v>
      </c>
      <c r="H75" t="s">
        <v>60</v>
      </c>
      <c r="I75" t="s">
        <v>29</v>
      </c>
      <c r="J75" t="s">
        <v>13</v>
      </c>
      <c r="K75" t="s">
        <v>56</v>
      </c>
      <c r="L75" t="s">
        <v>61</v>
      </c>
      <c r="M75">
        <v>76.14</v>
      </c>
      <c r="N75">
        <v>2246.84</v>
      </c>
      <c r="O75" t="s">
        <v>64</v>
      </c>
      <c r="P75" t="s">
        <v>55</v>
      </c>
    </row>
    <row r="76" spans="1:16" x14ac:dyDescent="0.35">
      <c r="A76" t="s">
        <v>140</v>
      </c>
      <c r="B76">
        <v>20</v>
      </c>
      <c r="C76" t="s">
        <v>55</v>
      </c>
      <c r="D76" t="s">
        <v>55</v>
      </c>
      <c r="E76" t="s">
        <v>56</v>
      </c>
      <c r="F76">
        <v>12</v>
      </c>
      <c r="G76" t="s">
        <v>55</v>
      </c>
      <c r="H76" t="s">
        <v>60</v>
      </c>
      <c r="I76" t="s">
        <v>55</v>
      </c>
      <c r="J76" t="s">
        <v>13</v>
      </c>
      <c r="K76" t="s">
        <v>56</v>
      </c>
      <c r="L76" t="s">
        <v>26</v>
      </c>
      <c r="M76">
        <v>27.44</v>
      </c>
      <c r="N76">
        <v>344.16</v>
      </c>
      <c r="O76" t="s">
        <v>58</v>
      </c>
      <c r="P76" t="s">
        <v>55</v>
      </c>
    </row>
    <row r="77" spans="1:16" x14ac:dyDescent="0.35">
      <c r="A77" t="s">
        <v>141</v>
      </c>
      <c r="B77">
        <v>35</v>
      </c>
      <c r="C77" t="s">
        <v>55</v>
      </c>
      <c r="D77" t="s">
        <v>56</v>
      </c>
      <c r="E77" t="s">
        <v>55</v>
      </c>
      <c r="F77">
        <v>62</v>
      </c>
      <c r="G77" t="s">
        <v>55</v>
      </c>
      <c r="H77" t="s">
        <v>60</v>
      </c>
      <c r="I77" t="s">
        <v>55</v>
      </c>
      <c r="J77" t="s">
        <v>13</v>
      </c>
      <c r="K77" t="s">
        <v>55</v>
      </c>
      <c r="L77" t="s">
        <v>61</v>
      </c>
      <c r="M77">
        <v>23.62</v>
      </c>
      <c r="N77">
        <v>1389.81</v>
      </c>
      <c r="O77" t="s">
        <v>62</v>
      </c>
      <c r="P77" t="s">
        <v>55</v>
      </c>
    </row>
    <row r="78" spans="1:16" x14ac:dyDescent="0.35">
      <c r="A78" t="s">
        <v>142</v>
      </c>
      <c r="B78">
        <v>73</v>
      </c>
      <c r="C78" t="s">
        <v>56</v>
      </c>
      <c r="D78" t="s">
        <v>55</v>
      </c>
      <c r="E78" t="s">
        <v>55</v>
      </c>
      <c r="F78">
        <v>12</v>
      </c>
      <c r="G78" t="s">
        <v>56</v>
      </c>
      <c r="H78" t="s">
        <v>56</v>
      </c>
      <c r="I78" t="s">
        <v>29</v>
      </c>
      <c r="J78" t="s">
        <v>12</v>
      </c>
      <c r="K78" t="s">
        <v>55</v>
      </c>
      <c r="L78" t="s">
        <v>61</v>
      </c>
      <c r="M78">
        <v>66.89</v>
      </c>
      <c r="N78">
        <v>810.82</v>
      </c>
      <c r="O78" t="s">
        <v>76</v>
      </c>
      <c r="P78" t="s">
        <v>55</v>
      </c>
    </row>
    <row r="79" spans="1:16" x14ac:dyDescent="0.35">
      <c r="A79" t="s">
        <v>143</v>
      </c>
      <c r="B79">
        <v>24</v>
      </c>
      <c r="C79" t="s">
        <v>55</v>
      </c>
      <c r="D79" t="s">
        <v>56</v>
      </c>
      <c r="E79" t="s">
        <v>55</v>
      </c>
      <c r="F79">
        <v>4</v>
      </c>
      <c r="G79" t="s">
        <v>55</v>
      </c>
      <c r="H79" t="s">
        <v>60</v>
      </c>
      <c r="I79" t="s">
        <v>29</v>
      </c>
      <c r="J79" t="s">
        <v>14</v>
      </c>
      <c r="K79" t="s">
        <v>56</v>
      </c>
      <c r="L79" t="s">
        <v>61</v>
      </c>
      <c r="M79">
        <v>65.42</v>
      </c>
      <c r="N79">
        <v>260.56</v>
      </c>
      <c r="O79" t="s">
        <v>69</v>
      </c>
      <c r="P79" t="s">
        <v>55</v>
      </c>
    </row>
    <row r="80" spans="1:16" x14ac:dyDescent="0.35">
      <c r="A80" t="s">
        <v>144</v>
      </c>
      <c r="B80">
        <v>44</v>
      </c>
      <c r="C80" t="s">
        <v>55</v>
      </c>
      <c r="D80" t="s">
        <v>56</v>
      </c>
      <c r="E80" t="s">
        <v>56</v>
      </c>
      <c r="F80">
        <v>6</v>
      </c>
      <c r="G80" t="s">
        <v>55</v>
      </c>
      <c r="H80" t="s">
        <v>60</v>
      </c>
      <c r="I80" t="s">
        <v>55</v>
      </c>
      <c r="J80" t="s">
        <v>14</v>
      </c>
      <c r="K80" t="s">
        <v>56</v>
      </c>
      <c r="L80" t="s">
        <v>26</v>
      </c>
      <c r="M80">
        <v>28.65</v>
      </c>
      <c r="N80">
        <v>164.38</v>
      </c>
      <c r="O80" t="s">
        <v>69</v>
      </c>
      <c r="P80" t="s">
        <v>55</v>
      </c>
    </row>
    <row r="81" spans="1:16" x14ac:dyDescent="0.35">
      <c r="A81" t="s">
        <v>145</v>
      </c>
      <c r="B81">
        <v>65</v>
      </c>
      <c r="C81" t="s">
        <v>56</v>
      </c>
      <c r="D81" t="s">
        <v>55</v>
      </c>
      <c r="E81" t="s">
        <v>56</v>
      </c>
      <c r="F81">
        <v>54</v>
      </c>
      <c r="G81" t="s">
        <v>55</v>
      </c>
      <c r="H81" t="s">
        <v>60</v>
      </c>
      <c r="I81" t="s">
        <v>29</v>
      </c>
      <c r="J81" t="s">
        <v>13</v>
      </c>
      <c r="K81" t="s">
        <v>55</v>
      </c>
      <c r="L81" t="s">
        <v>26</v>
      </c>
      <c r="M81">
        <v>54.82</v>
      </c>
      <c r="N81">
        <v>2940.17</v>
      </c>
      <c r="O81" t="s">
        <v>66</v>
      </c>
      <c r="P81" t="s">
        <v>55</v>
      </c>
    </row>
    <row r="82" spans="1:16" x14ac:dyDescent="0.35">
      <c r="A82" t="s">
        <v>146</v>
      </c>
      <c r="B82">
        <v>41</v>
      </c>
      <c r="C82" t="s">
        <v>55</v>
      </c>
      <c r="D82" t="s">
        <v>56</v>
      </c>
      <c r="E82" t="s">
        <v>55</v>
      </c>
      <c r="F82">
        <v>70</v>
      </c>
      <c r="G82" t="s">
        <v>55</v>
      </c>
      <c r="H82" t="s">
        <v>60</v>
      </c>
      <c r="I82" t="s">
        <v>55</v>
      </c>
      <c r="J82" t="s">
        <v>12</v>
      </c>
      <c r="K82" t="s">
        <v>55</v>
      </c>
      <c r="L82" t="s">
        <v>26</v>
      </c>
      <c r="M82">
        <v>19.47</v>
      </c>
      <c r="N82">
        <v>1419.82</v>
      </c>
      <c r="O82" t="s">
        <v>69</v>
      </c>
      <c r="P82" t="s">
        <v>55</v>
      </c>
    </row>
    <row r="83" spans="1:16" x14ac:dyDescent="0.35">
      <c r="A83" t="s">
        <v>147</v>
      </c>
      <c r="B83">
        <v>31</v>
      </c>
      <c r="C83" t="s">
        <v>55</v>
      </c>
      <c r="D83" t="s">
        <v>56</v>
      </c>
      <c r="E83" t="s">
        <v>56</v>
      </c>
      <c r="F83">
        <v>43</v>
      </c>
      <c r="G83" t="s">
        <v>56</v>
      </c>
      <c r="H83" t="s">
        <v>55</v>
      </c>
      <c r="I83" t="s">
        <v>30</v>
      </c>
      <c r="J83" t="s">
        <v>12</v>
      </c>
      <c r="K83" t="s">
        <v>56</v>
      </c>
      <c r="L83" t="s">
        <v>57</v>
      </c>
      <c r="M83">
        <v>110.65</v>
      </c>
      <c r="N83">
        <v>4605.5</v>
      </c>
      <c r="O83" t="s">
        <v>66</v>
      </c>
      <c r="P83" t="s">
        <v>55</v>
      </c>
    </row>
    <row r="84" spans="1:16" x14ac:dyDescent="0.35">
      <c r="A84" t="s">
        <v>148</v>
      </c>
      <c r="B84">
        <v>75</v>
      </c>
      <c r="C84" t="s">
        <v>56</v>
      </c>
      <c r="D84" t="s">
        <v>56</v>
      </c>
      <c r="E84" t="s">
        <v>55</v>
      </c>
      <c r="F84">
        <v>19</v>
      </c>
      <c r="G84" t="s">
        <v>55</v>
      </c>
      <c r="H84" t="s">
        <v>60</v>
      </c>
      <c r="I84" t="s">
        <v>55</v>
      </c>
      <c r="J84" t="s">
        <v>13</v>
      </c>
      <c r="K84" t="s">
        <v>56</v>
      </c>
      <c r="L84" t="s">
        <v>61</v>
      </c>
      <c r="M84">
        <v>18.309999999999999</v>
      </c>
      <c r="N84">
        <v>327.64</v>
      </c>
      <c r="O84" t="s">
        <v>62</v>
      </c>
      <c r="P84" t="s">
        <v>55</v>
      </c>
    </row>
    <row r="85" spans="1:16" x14ac:dyDescent="0.35">
      <c r="A85" t="s">
        <v>149</v>
      </c>
      <c r="B85">
        <v>55</v>
      </c>
      <c r="C85" t="s">
        <v>55</v>
      </c>
      <c r="D85" t="s">
        <v>55</v>
      </c>
      <c r="E85" t="s">
        <v>56</v>
      </c>
      <c r="F85">
        <v>23</v>
      </c>
      <c r="G85" t="s">
        <v>56</v>
      </c>
      <c r="H85" t="s">
        <v>55</v>
      </c>
      <c r="I85" t="s">
        <v>30</v>
      </c>
      <c r="J85" t="s">
        <v>12</v>
      </c>
      <c r="K85" t="s">
        <v>56</v>
      </c>
      <c r="L85" t="s">
        <v>57</v>
      </c>
      <c r="M85">
        <v>108.9</v>
      </c>
      <c r="N85">
        <v>2508.6799999999998</v>
      </c>
      <c r="O85" t="s">
        <v>58</v>
      </c>
      <c r="P85" t="s">
        <v>56</v>
      </c>
    </row>
    <row r="86" spans="1:16" x14ac:dyDescent="0.35">
      <c r="A86" t="s">
        <v>150</v>
      </c>
      <c r="B86">
        <v>32</v>
      </c>
      <c r="C86" t="s">
        <v>55</v>
      </c>
      <c r="D86" t="s">
        <v>56</v>
      </c>
      <c r="E86" t="s">
        <v>55</v>
      </c>
      <c r="F86">
        <v>59</v>
      </c>
      <c r="G86" t="s">
        <v>56</v>
      </c>
      <c r="H86" t="s">
        <v>56</v>
      </c>
      <c r="I86" t="s">
        <v>29</v>
      </c>
      <c r="J86" t="s">
        <v>12</v>
      </c>
      <c r="K86" t="s">
        <v>55</v>
      </c>
      <c r="L86" t="s">
        <v>57</v>
      </c>
      <c r="M86">
        <v>44.32</v>
      </c>
      <c r="N86">
        <v>2681.53</v>
      </c>
      <c r="O86" t="s">
        <v>80</v>
      </c>
      <c r="P86" t="s">
        <v>55</v>
      </c>
    </row>
    <row r="87" spans="1:16" x14ac:dyDescent="0.35">
      <c r="A87" t="s">
        <v>151</v>
      </c>
      <c r="B87">
        <v>38</v>
      </c>
      <c r="C87" t="s">
        <v>55</v>
      </c>
      <c r="D87" t="s">
        <v>56</v>
      </c>
      <c r="E87" t="s">
        <v>56</v>
      </c>
      <c r="F87">
        <v>17</v>
      </c>
      <c r="G87" t="s">
        <v>55</v>
      </c>
      <c r="H87" t="s">
        <v>60</v>
      </c>
      <c r="I87" t="s">
        <v>30</v>
      </c>
      <c r="J87" t="s">
        <v>12</v>
      </c>
      <c r="K87" t="s">
        <v>55</v>
      </c>
      <c r="L87" t="s">
        <v>57</v>
      </c>
      <c r="M87">
        <v>100.27</v>
      </c>
      <c r="N87">
        <v>1622.6</v>
      </c>
      <c r="O87" t="s">
        <v>66</v>
      </c>
      <c r="P87" t="s">
        <v>55</v>
      </c>
    </row>
    <row r="88" spans="1:16" x14ac:dyDescent="0.35">
      <c r="A88" t="s">
        <v>152</v>
      </c>
      <c r="B88">
        <v>59</v>
      </c>
      <c r="C88" t="s">
        <v>55</v>
      </c>
      <c r="D88" t="s">
        <v>56</v>
      </c>
      <c r="E88" t="s">
        <v>55</v>
      </c>
      <c r="F88">
        <v>58</v>
      </c>
      <c r="G88" t="s">
        <v>55</v>
      </c>
      <c r="H88" t="s">
        <v>60</v>
      </c>
      <c r="I88" t="s">
        <v>55</v>
      </c>
      <c r="J88" t="s">
        <v>12</v>
      </c>
      <c r="K88" t="s">
        <v>55</v>
      </c>
      <c r="L88" t="s">
        <v>57</v>
      </c>
      <c r="M88">
        <v>26.76</v>
      </c>
      <c r="N88">
        <v>1517.17</v>
      </c>
      <c r="O88" t="s">
        <v>76</v>
      </c>
      <c r="P88" t="s">
        <v>55</v>
      </c>
    </row>
    <row r="89" spans="1:16" x14ac:dyDescent="0.35">
      <c r="A89" t="s">
        <v>153</v>
      </c>
      <c r="B89">
        <v>41</v>
      </c>
      <c r="C89" t="s">
        <v>55</v>
      </c>
      <c r="D89" t="s">
        <v>56</v>
      </c>
      <c r="E89" t="s">
        <v>55</v>
      </c>
      <c r="F89">
        <v>9</v>
      </c>
      <c r="G89" t="s">
        <v>56</v>
      </c>
      <c r="H89" t="s">
        <v>56</v>
      </c>
      <c r="I89" t="s">
        <v>30</v>
      </c>
      <c r="J89" t="s">
        <v>12</v>
      </c>
      <c r="K89" t="s">
        <v>55</v>
      </c>
      <c r="L89" t="s">
        <v>61</v>
      </c>
      <c r="M89">
        <v>97.82</v>
      </c>
      <c r="N89">
        <v>889.51</v>
      </c>
      <c r="O89" t="s">
        <v>76</v>
      </c>
      <c r="P89" t="s">
        <v>55</v>
      </c>
    </row>
    <row r="90" spans="1:16" x14ac:dyDescent="0.35">
      <c r="A90" t="s">
        <v>154</v>
      </c>
      <c r="B90">
        <v>60</v>
      </c>
      <c r="C90" t="s">
        <v>56</v>
      </c>
      <c r="D90" t="s">
        <v>56</v>
      </c>
      <c r="E90" t="s">
        <v>55</v>
      </c>
      <c r="F90">
        <v>46</v>
      </c>
      <c r="G90" t="s">
        <v>55</v>
      </c>
      <c r="H90" t="s">
        <v>60</v>
      </c>
      <c r="I90" t="s">
        <v>55</v>
      </c>
      <c r="J90" t="s">
        <v>14</v>
      </c>
      <c r="K90" t="s">
        <v>56</v>
      </c>
      <c r="L90" t="s">
        <v>25</v>
      </c>
      <c r="M90">
        <v>25.2</v>
      </c>
      <c r="N90">
        <v>1138.56</v>
      </c>
      <c r="O90" t="s">
        <v>62</v>
      </c>
      <c r="P90" t="s">
        <v>55</v>
      </c>
    </row>
    <row r="91" spans="1:16" x14ac:dyDescent="0.35">
      <c r="A91" t="s">
        <v>155</v>
      </c>
      <c r="B91">
        <v>27</v>
      </c>
      <c r="C91" t="s">
        <v>55</v>
      </c>
      <c r="D91" t="s">
        <v>55</v>
      </c>
      <c r="E91" t="s">
        <v>56</v>
      </c>
      <c r="F91">
        <v>14</v>
      </c>
      <c r="G91" t="s">
        <v>55</v>
      </c>
      <c r="H91" t="s">
        <v>60</v>
      </c>
      <c r="I91" t="s">
        <v>30</v>
      </c>
      <c r="J91" t="s">
        <v>12</v>
      </c>
      <c r="K91" t="s">
        <v>55</v>
      </c>
      <c r="L91" t="s">
        <v>57</v>
      </c>
      <c r="M91">
        <v>110.36</v>
      </c>
      <c r="N91">
        <v>1609.03</v>
      </c>
      <c r="O91" t="s">
        <v>66</v>
      </c>
      <c r="P91" t="s">
        <v>55</v>
      </c>
    </row>
    <row r="92" spans="1:16" x14ac:dyDescent="0.35">
      <c r="A92" t="s">
        <v>156</v>
      </c>
      <c r="B92">
        <v>57</v>
      </c>
      <c r="C92" t="s">
        <v>55</v>
      </c>
      <c r="D92" t="s">
        <v>56</v>
      </c>
      <c r="E92" t="s">
        <v>55</v>
      </c>
      <c r="F92">
        <v>4</v>
      </c>
      <c r="G92" t="s">
        <v>55</v>
      </c>
      <c r="H92" t="s">
        <v>60</v>
      </c>
      <c r="I92" t="s">
        <v>30</v>
      </c>
      <c r="J92" t="s">
        <v>14</v>
      </c>
      <c r="K92" t="s">
        <v>55</v>
      </c>
      <c r="L92" t="s">
        <v>26</v>
      </c>
      <c r="M92">
        <v>113.49</v>
      </c>
      <c r="N92">
        <v>457.57</v>
      </c>
      <c r="O92" t="s">
        <v>62</v>
      </c>
      <c r="P92" t="s">
        <v>56</v>
      </c>
    </row>
    <row r="93" spans="1:16" x14ac:dyDescent="0.35">
      <c r="A93" t="s">
        <v>157</v>
      </c>
      <c r="B93">
        <v>65</v>
      </c>
      <c r="C93" t="s">
        <v>56</v>
      </c>
      <c r="D93" t="s">
        <v>56</v>
      </c>
      <c r="E93" t="s">
        <v>56</v>
      </c>
      <c r="F93">
        <v>68</v>
      </c>
      <c r="G93" t="s">
        <v>55</v>
      </c>
      <c r="H93" t="s">
        <v>60</v>
      </c>
      <c r="I93" t="s">
        <v>30</v>
      </c>
      <c r="J93" t="s">
        <v>12</v>
      </c>
      <c r="K93" t="s">
        <v>56</v>
      </c>
      <c r="L93" t="s">
        <v>57</v>
      </c>
      <c r="M93">
        <v>106.08</v>
      </c>
      <c r="N93">
        <v>7453.07</v>
      </c>
      <c r="O93" t="s">
        <v>80</v>
      </c>
      <c r="P93" t="s">
        <v>55</v>
      </c>
    </row>
    <row r="94" spans="1:16" x14ac:dyDescent="0.35">
      <c r="A94" t="s">
        <v>158</v>
      </c>
      <c r="B94">
        <v>74</v>
      </c>
      <c r="C94" t="s">
        <v>56</v>
      </c>
      <c r="D94" t="s">
        <v>56</v>
      </c>
      <c r="E94" t="s">
        <v>56</v>
      </c>
      <c r="F94">
        <v>21</v>
      </c>
      <c r="G94" t="s">
        <v>56</v>
      </c>
      <c r="H94" t="s">
        <v>55</v>
      </c>
      <c r="I94" t="s">
        <v>29</v>
      </c>
      <c r="J94" t="s">
        <v>12</v>
      </c>
      <c r="K94" t="s">
        <v>55</v>
      </c>
      <c r="L94" t="s">
        <v>57</v>
      </c>
      <c r="M94">
        <v>57.68</v>
      </c>
      <c r="N94">
        <v>1178.31</v>
      </c>
      <c r="O94" t="s">
        <v>80</v>
      </c>
      <c r="P94" t="s">
        <v>55</v>
      </c>
    </row>
    <row r="95" spans="1:16" x14ac:dyDescent="0.35">
      <c r="A95" t="s">
        <v>159</v>
      </c>
      <c r="B95">
        <v>40</v>
      </c>
      <c r="C95" t="s">
        <v>55</v>
      </c>
      <c r="D95" t="s">
        <v>55</v>
      </c>
      <c r="E95" t="s">
        <v>56</v>
      </c>
      <c r="F95">
        <v>37</v>
      </c>
      <c r="G95" t="s">
        <v>55</v>
      </c>
      <c r="H95" t="s">
        <v>60</v>
      </c>
      <c r="I95" t="s">
        <v>29</v>
      </c>
      <c r="J95" t="s">
        <v>12</v>
      </c>
      <c r="K95" t="s">
        <v>55</v>
      </c>
      <c r="L95" t="s">
        <v>26</v>
      </c>
      <c r="M95">
        <v>55.81</v>
      </c>
      <c r="N95">
        <v>2089.58</v>
      </c>
      <c r="O95" t="s">
        <v>76</v>
      </c>
      <c r="P95" t="s">
        <v>56</v>
      </c>
    </row>
    <row r="96" spans="1:16" x14ac:dyDescent="0.35">
      <c r="A96" t="s">
        <v>160</v>
      </c>
      <c r="B96">
        <v>31</v>
      </c>
      <c r="C96" t="s">
        <v>55</v>
      </c>
      <c r="D96" t="s">
        <v>56</v>
      </c>
      <c r="E96" t="s">
        <v>55</v>
      </c>
      <c r="F96">
        <v>38</v>
      </c>
      <c r="G96" t="s">
        <v>56</v>
      </c>
      <c r="H96" t="s">
        <v>55</v>
      </c>
      <c r="I96" t="s">
        <v>30</v>
      </c>
      <c r="J96" t="s">
        <v>12</v>
      </c>
      <c r="K96" t="s">
        <v>56</v>
      </c>
      <c r="L96" t="s">
        <v>57</v>
      </c>
      <c r="M96">
        <v>105.18</v>
      </c>
      <c r="N96">
        <v>3996.97</v>
      </c>
      <c r="O96" t="s">
        <v>66</v>
      </c>
      <c r="P96" t="s">
        <v>55</v>
      </c>
    </row>
    <row r="97" spans="1:16" x14ac:dyDescent="0.35">
      <c r="A97" t="s">
        <v>161</v>
      </c>
      <c r="B97">
        <v>40</v>
      </c>
      <c r="C97" t="s">
        <v>55</v>
      </c>
      <c r="D97" t="s">
        <v>56</v>
      </c>
      <c r="E97" t="s">
        <v>55</v>
      </c>
      <c r="F97">
        <v>6</v>
      </c>
      <c r="G97" t="s">
        <v>55</v>
      </c>
      <c r="H97" t="s">
        <v>60</v>
      </c>
      <c r="I97" t="s">
        <v>30</v>
      </c>
      <c r="J97" t="s">
        <v>14</v>
      </c>
      <c r="K97" t="s">
        <v>55</v>
      </c>
      <c r="L97" t="s">
        <v>57</v>
      </c>
      <c r="M97">
        <v>98.67</v>
      </c>
      <c r="N97">
        <v>606.9</v>
      </c>
      <c r="O97" t="s">
        <v>80</v>
      </c>
      <c r="P97" t="s">
        <v>56</v>
      </c>
    </row>
    <row r="98" spans="1:16" x14ac:dyDescent="0.35">
      <c r="A98" t="s">
        <v>162</v>
      </c>
      <c r="B98">
        <v>43</v>
      </c>
      <c r="C98" t="s">
        <v>55</v>
      </c>
      <c r="D98" t="s">
        <v>56</v>
      </c>
      <c r="E98" t="s">
        <v>55</v>
      </c>
      <c r="F98">
        <v>22</v>
      </c>
      <c r="G98" t="s">
        <v>55</v>
      </c>
      <c r="H98" t="s">
        <v>60</v>
      </c>
      <c r="I98" t="s">
        <v>55</v>
      </c>
      <c r="J98" t="s">
        <v>14</v>
      </c>
      <c r="K98" t="s">
        <v>55</v>
      </c>
      <c r="L98" t="s">
        <v>26</v>
      </c>
      <c r="M98">
        <v>28.13</v>
      </c>
      <c r="N98">
        <v>599.79999999999995</v>
      </c>
      <c r="O98" t="s">
        <v>58</v>
      </c>
      <c r="P98" t="s">
        <v>55</v>
      </c>
    </row>
    <row r="99" spans="1:16" x14ac:dyDescent="0.35">
      <c r="A99" t="s">
        <v>163</v>
      </c>
      <c r="B99">
        <v>23</v>
      </c>
      <c r="C99" t="s">
        <v>55</v>
      </c>
      <c r="D99" t="s">
        <v>55</v>
      </c>
      <c r="E99" t="s">
        <v>55</v>
      </c>
      <c r="F99">
        <v>44</v>
      </c>
      <c r="G99" t="s">
        <v>56</v>
      </c>
      <c r="H99" t="s">
        <v>56</v>
      </c>
      <c r="I99" t="s">
        <v>30</v>
      </c>
      <c r="J99" t="s">
        <v>13</v>
      </c>
      <c r="K99" t="s">
        <v>56</v>
      </c>
      <c r="L99" t="s">
        <v>25</v>
      </c>
      <c r="M99">
        <v>87.47</v>
      </c>
      <c r="N99">
        <v>3953.69</v>
      </c>
      <c r="O99" t="s">
        <v>66</v>
      </c>
      <c r="P99" t="s">
        <v>55</v>
      </c>
    </row>
    <row r="100" spans="1:16" x14ac:dyDescent="0.35">
      <c r="A100" t="s">
        <v>164</v>
      </c>
      <c r="B100">
        <v>27</v>
      </c>
      <c r="C100" t="s">
        <v>55</v>
      </c>
      <c r="D100" t="s">
        <v>56</v>
      </c>
      <c r="E100" t="s">
        <v>56</v>
      </c>
      <c r="F100">
        <v>19</v>
      </c>
      <c r="G100" t="s">
        <v>56</v>
      </c>
      <c r="H100" t="s">
        <v>55</v>
      </c>
      <c r="I100" t="s">
        <v>30</v>
      </c>
      <c r="J100" t="s">
        <v>13</v>
      </c>
      <c r="K100" t="s">
        <v>56</v>
      </c>
      <c r="L100" t="s">
        <v>26</v>
      </c>
      <c r="M100">
        <v>108.64</v>
      </c>
      <c r="N100">
        <v>2062.6999999999998</v>
      </c>
      <c r="O100" t="s">
        <v>66</v>
      </c>
      <c r="P100" t="s">
        <v>55</v>
      </c>
    </row>
    <row r="101" spans="1:16" x14ac:dyDescent="0.35">
      <c r="A101" t="s">
        <v>165</v>
      </c>
      <c r="B101">
        <v>55</v>
      </c>
      <c r="C101" t="s">
        <v>55</v>
      </c>
      <c r="D101" t="s">
        <v>55</v>
      </c>
      <c r="E101" t="s">
        <v>55</v>
      </c>
      <c r="F101">
        <v>41</v>
      </c>
      <c r="G101" t="s">
        <v>56</v>
      </c>
      <c r="H101" t="s">
        <v>55</v>
      </c>
      <c r="I101" t="s">
        <v>30</v>
      </c>
      <c r="J101" t="s">
        <v>13</v>
      </c>
      <c r="K101" t="s">
        <v>55</v>
      </c>
      <c r="L101" t="s">
        <v>57</v>
      </c>
      <c r="M101">
        <v>87.6</v>
      </c>
      <c r="N101">
        <v>3408.08</v>
      </c>
      <c r="O101" t="s">
        <v>80</v>
      </c>
      <c r="P101" t="s">
        <v>55</v>
      </c>
    </row>
    <row r="102" spans="1:16" x14ac:dyDescent="0.35">
      <c r="A102" t="s">
        <v>166</v>
      </c>
      <c r="B102">
        <v>21</v>
      </c>
      <c r="C102" t="s">
        <v>55</v>
      </c>
      <c r="D102" t="s">
        <v>55</v>
      </c>
      <c r="E102" t="s">
        <v>55</v>
      </c>
      <c r="F102">
        <v>10</v>
      </c>
      <c r="G102" t="s">
        <v>56</v>
      </c>
      <c r="H102" t="s">
        <v>55</v>
      </c>
      <c r="I102" t="s">
        <v>29</v>
      </c>
      <c r="J102" t="s">
        <v>12</v>
      </c>
      <c r="K102" t="s">
        <v>55</v>
      </c>
      <c r="L102" t="s">
        <v>57</v>
      </c>
      <c r="M102">
        <v>78.17</v>
      </c>
      <c r="N102">
        <v>804.11</v>
      </c>
      <c r="O102" t="s">
        <v>66</v>
      </c>
      <c r="P102" t="s">
        <v>56</v>
      </c>
    </row>
    <row r="103" spans="1:16" x14ac:dyDescent="0.35">
      <c r="A103" t="s">
        <v>167</v>
      </c>
      <c r="B103">
        <v>54</v>
      </c>
      <c r="C103" t="s">
        <v>55</v>
      </c>
      <c r="D103" t="s">
        <v>56</v>
      </c>
      <c r="E103" t="s">
        <v>55</v>
      </c>
      <c r="F103">
        <v>61</v>
      </c>
      <c r="G103" t="s">
        <v>56</v>
      </c>
      <c r="H103" t="s">
        <v>55</v>
      </c>
      <c r="I103" t="s">
        <v>29</v>
      </c>
      <c r="J103" t="s">
        <v>14</v>
      </c>
      <c r="K103" t="s">
        <v>55</v>
      </c>
      <c r="L103" t="s">
        <v>25</v>
      </c>
      <c r="M103">
        <v>43.37</v>
      </c>
      <c r="N103">
        <v>2691.96</v>
      </c>
      <c r="O103" t="s">
        <v>69</v>
      </c>
      <c r="P103" t="s">
        <v>56</v>
      </c>
    </row>
    <row r="104" spans="1:16" x14ac:dyDescent="0.35">
      <c r="A104" t="s">
        <v>168</v>
      </c>
      <c r="B104">
        <v>46</v>
      </c>
      <c r="C104" t="s">
        <v>55</v>
      </c>
      <c r="D104" t="s">
        <v>55</v>
      </c>
      <c r="E104" t="s">
        <v>56</v>
      </c>
      <c r="F104">
        <v>47</v>
      </c>
      <c r="G104" t="s">
        <v>55</v>
      </c>
      <c r="H104" t="s">
        <v>60</v>
      </c>
      <c r="I104" t="s">
        <v>30</v>
      </c>
      <c r="J104" t="s">
        <v>12</v>
      </c>
      <c r="K104" t="s">
        <v>55</v>
      </c>
      <c r="L104" t="s">
        <v>61</v>
      </c>
      <c r="M104">
        <v>72.62</v>
      </c>
      <c r="N104">
        <v>3466.75</v>
      </c>
      <c r="O104" t="s">
        <v>76</v>
      </c>
      <c r="P104" t="s">
        <v>56</v>
      </c>
    </row>
    <row r="105" spans="1:16" x14ac:dyDescent="0.35">
      <c r="A105" t="s">
        <v>169</v>
      </c>
      <c r="B105">
        <v>24</v>
      </c>
      <c r="C105" t="s">
        <v>55</v>
      </c>
      <c r="D105" t="s">
        <v>55</v>
      </c>
      <c r="E105" t="s">
        <v>55</v>
      </c>
      <c r="F105">
        <v>33</v>
      </c>
      <c r="G105" t="s">
        <v>56</v>
      </c>
      <c r="H105" t="s">
        <v>56</v>
      </c>
      <c r="I105" t="s">
        <v>29</v>
      </c>
      <c r="J105" t="s">
        <v>13</v>
      </c>
      <c r="K105" t="s">
        <v>56</v>
      </c>
      <c r="L105" t="s">
        <v>25</v>
      </c>
      <c r="M105">
        <v>52.41</v>
      </c>
      <c r="N105">
        <v>1761.92</v>
      </c>
      <c r="O105" t="s">
        <v>62</v>
      </c>
      <c r="P105" t="s">
        <v>55</v>
      </c>
    </row>
    <row r="106" spans="1:16" x14ac:dyDescent="0.35">
      <c r="A106" t="s">
        <v>170</v>
      </c>
      <c r="B106">
        <v>56</v>
      </c>
      <c r="C106" t="s">
        <v>55</v>
      </c>
      <c r="D106" t="s">
        <v>56</v>
      </c>
      <c r="E106" t="s">
        <v>55</v>
      </c>
      <c r="F106">
        <v>72</v>
      </c>
      <c r="G106" t="s">
        <v>55</v>
      </c>
      <c r="H106" t="s">
        <v>60</v>
      </c>
      <c r="I106" t="s">
        <v>30</v>
      </c>
      <c r="J106" t="s">
        <v>14</v>
      </c>
      <c r="K106" t="s">
        <v>56</v>
      </c>
      <c r="L106" t="s">
        <v>61</v>
      </c>
      <c r="M106">
        <v>91.17</v>
      </c>
      <c r="N106">
        <v>6455.4</v>
      </c>
      <c r="O106" t="s">
        <v>62</v>
      </c>
      <c r="P106" t="s">
        <v>55</v>
      </c>
    </row>
    <row r="107" spans="1:16" x14ac:dyDescent="0.35">
      <c r="A107" t="s">
        <v>171</v>
      </c>
      <c r="B107">
        <v>31</v>
      </c>
      <c r="C107" t="s">
        <v>55</v>
      </c>
      <c r="D107" t="s">
        <v>55</v>
      </c>
      <c r="E107" t="s">
        <v>55</v>
      </c>
      <c r="F107">
        <v>25</v>
      </c>
      <c r="G107" t="s">
        <v>56</v>
      </c>
      <c r="H107" t="s">
        <v>56</v>
      </c>
      <c r="I107" t="s">
        <v>30</v>
      </c>
      <c r="J107" t="s">
        <v>12</v>
      </c>
      <c r="K107" t="s">
        <v>56</v>
      </c>
      <c r="L107" t="s">
        <v>57</v>
      </c>
      <c r="M107">
        <v>96.99</v>
      </c>
      <c r="N107">
        <v>2494.19</v>
      </c>
      <c r="O107" t="s">
        <v>69</v>
      </c>
      <c r="P107" t="s">
        <v>55</v>
      </c>
    </row>
    <row r="108" spans="1:16" x14ac:dyDescent="0.35">
      <c r="A108" t="s">
        <v>172</v>
      </c>
      <c r="B108">
        <v>39</v>
      </c>
      <c r="C108" t="s">
        <v>55</v>
      </c>
      <c r="D108" t="s">
        <v>56</v>
      </c>
      <c r="E108" t="s">
        <v>55</v>
      </c>
      <c r="F108">
        <v>20</v>
      </c>
      <c r="G108" t="s">
        <v>56</v>
      </c>
      <c r="H108" t="s">
        <v>55</v>
      </c>
      <c r="I108" t="s">
        <v>30</v>
      </c>
      <c r="J108" t="s">
        <v>12</v>
      </c>
      <c r="K108" t="s">
        <v>55</v>
      </c>
      <c r="L108" t="s">
        <v>61</v>
      </c>
      <c r="M108">
        <v>81.88</v>
      </c>
      <c r="N108">
        <v>1626.63</v>
      </c>
      <c r="O108" t="s">
        <v>69</v>
      </c>
      <c r="P108" t="s">
        <v>56</v>
      </c>
    </row>
    <row r="109" spans="1:16" x14ac:dyDescent="0.35">
      <c r="A109" t="s">
        <v>173</v>
      </c>
      <c r="B109">
        <v>68</v>
      </c>
      <c r="C109" t="s">
        <v>56</v>
      </c>
      <c r="D109" t="s">
        <v>55</v>
      </c>
      <c r="E109" t="s">
        <v>56</v>
      </c>
      <c r="F109">
        <v>69</v>
      </c>
      <c r="G109" t="s">
        <v>55</v>
      </c>
      <c r="H109" t="s">
        <v>60</v>
      </c>
      <c r="I109" t="s">
        <v>30</v>
      </c>
      <c r="J109" t="s">
        <v>14</v>
      </c>
      <c r="K109" t="s">
        <v>56</v>
      </c>
      <c r="L109" t="s">
        <v>57</v>
      </c>
      <c r="M109">
        <v>117.36</v>
      </c>
      <c r="N109">
        <v>8568.59</v>
      </c>
      <c r="O109" t="s">
        <v>76</v>
      </c>
      <c r="P109" t="s">
        <v>55</v>
      </c>
    </row>
    <row r="110" spans="1:16" x14ac:dyDescent="0.35">
      <c r="A110" t="s">
        <v>174</v>
      </c>
      <c r="B110">
        <v>67</v>
      </c>
      <c r="C110" t="s">
        <v>56</v>
      </c>
      <c r="D110" t="s">
        <v>55</v>
      </c>
      <c r="E110" t="s">
        <v>55</v>
      </c>
      <c r="F110">
        <v>21</v>
      </c>
      <c r="G110" t="s">
        <v>56</v>
      </c>
      <c r="H110" t="s">
        <v>55</v>
      </c>
      <c r="I110" t="s">
        <v>55</v>
      </c>
      <c r="J110" t="s">
        <v>12</v>
      </c>
      <c r="K110" t="s">
        <v>55</v>
      </c>
      <c r="L110" t="s">
        <v>25</v>
      </c>
      <c r="M110">
        <v>24.65</v>
      </c>
      <c r="N110">
        <v>492.96</v>
      </c>
      <c r="O110" t="s">
        <v>66</v>
      </c>
      <c r="P110" t="s">
        <v>55</v>
      </c>
    </row>
    <row r="111" spans="1:16" x14ac:dyDescent="0.35">
      <c r="A111" t="s">
        <v>175</v>
      </c>
      <c r="B111">
        <v>25</v>
      </c>
      <c r="C111" t="s">
        <v>55</v>
      </c>
      <c r="D111" t="s">
        <v>55</v>
      </c>
      <c r="E111" t="s">
        <v>56</v>
      </c>
      <c r="F111">
        <v>21</v>
      </c>
      <c r="G111" t="s">
        <v>56</v>
      </c>
      <c r="H111" t="s">
        <v>55</v>
      </c>
      <c r="I111" t="s">
        <v>30</v>
      </c>
      <c r="J111" t="s">
        <v>12</v>
      </c>
      <c r="K111" t="s">
        <v>56</v>
      </c>
      <c r="L111" t="s">
        <v>61</v>
      </c>
      <c r="M111">
        <v>114.23</v>
      </c>
      <c r="N111">
        <v>2522.75</v>
      </c>
      <c r="O111" t="s">
        <v>64</v>
      </c>
      <c r="P111" t="s">
        <v>55</v>
      </c>
    </row>
    <row r="112" spans="1:16" x14ac:dyDescent="0.35">
      <c r="A112" t="s">
        <v>176</v>
      </c>
      <c r="B112">
        <v>50</v>
      </c>
      <c r="C112" t="s">
        <v>55</v>
      </c>
      <c r="D112" t="s">
        <v>55</v>
      </c>
      <c r="E112" t="s">
        <v>56</v>
      </c>
      <c r="F112">
        <v>50</v>
      </c>
      <c r="G112" t="s">
        <v>55</v>
      </c>
      <c r="H112" t="s">
        <v>60</v>
      </c>
      <c r="I112" t="s">
        <v>55</v>
      </c>
      <c r="J112" t="s">
        <v>12</v>
      </c>
      <c r="K112" t="s">
        <v>55</v>
      </c>
      <c r="L112" t="s">
        <v>25</v>
      </c>
      <c r="M112">
        <v>28.07</v>
      </c>
      <c r="N112">
        <v>1428.76</v>
      </c>
      <c r="O112" t="s">
        <v>62</v>
      </c>
      <c r="P112" t="s">
        <v>55</v>
      </c>
    </row>
    <row r="113" spans="1:16" x14ac:dyDescent="0.35">
      <c r="A113" t="s">
        <v>177</v>
      </c>
      <c r="B113">
        <v>20</v>
      </c>
      <c r="C113" t="s">
        <v>55</v>
      </c>
      <c r="D113" t="s">
        <v>55</v>
      </c>
      <c r="E113" t="s">
        <v>55</v>
      </c>
      <c r="F113">
        <v>18</v>
      </c>
      <c r="G113" t="s">
        <v>55</v>
      </c>
      <c r="H113" t="s">
        <v>60</v>
      </c>
      <c r="I113" t="s">
        <v>29</v>
      </c>
      <c r="J113" t="s">
        <v>12</v>
      </c>
      <c r="K113" t="s">
        <v>56</v>
      </c>
      <c r="L113" t="s">
        <v>25</v>
      </c>
      <c r="M113">
        <v>40.76</v>
      </c>
      <c r="N113">
        <v>708.65</v>
      </c>
      <c r="O113" t="s">
        <v>69</v>
      </c>
      <c r="P113" t="s">
        <v>56</v>
      </c>
    </row>
    <row r="114" spans="1:16" x14ac:dyDescent="0.35">
      <c r="A114" t="s">
        <v>178</v>
      </c>
      <c r="B114">
        <v>56</v>
      </c>
      <c r="C114" t="s">
        <v>55</v>
      </c>
      <c r="D114" t="s">
        <v>55</v>
      </c>
      <c r="E114" t="s">
        <v>56</v>
      </c>
      <c r="F114">
        <v>37</v>
      </c>
      <c r="G114" t="s">
        <v>56</v>
      </c>
      <c r="H114" t="s">
        <v>56</v>
      </c>
      <c r="I114" t="s">
        <v>30</v>
      </c>
      <c r="J114" t="s">
        <v>12</v>
      </c>
      <c r="K114" t="s">
        <v>55</v>
      </c>
      <c r="L114" t="s">
        <v>26</v>
      </c>
      <c r="M114">
        <v>111.83</v>
      </c>
      <c r="N114">
        <v>4137.63</v>
      </c>
      <c r="O114" t="s">
        <v>69</v>
      </c>
      <c r="P114" t="s">
        <v>55</v>
      </c>
    </row>
    <row r="115" spans="1:16" x14ac:dyDescent="0.35">
      <c r="A115" t="s">
        <v>179</v>
      </c>
      <c r="B115">
        <v>50</v>
      </c>
      <c r="C115" t="s">
        <v>55</v>
      </c>
      <c r="D115" t="s">
        <v>56</v>
      </c>
      <c r="E115" t="s">
        <v>56</v>
      </c>
      <c r="F115">
        <v>38</v>
      </c>
      <c r="G115" t="s">
        <v>55</v>
      </c>
      <c r="H115" t="s">
        <v>60</v>
      </c>
      <c r="I115" t="s">
        <v>30</v>
      </c>
      <c r="J115" t="s">
        <v>12</v>
      </c>
      <c r="K115" t="s">
        <v>55</v>
      </c>
      <c r="L115" t="s">
        <v>26</v>
      </c>
      <c r="M115">
        <v>103.41</v>
      </c>
      <c r="N115">
        <v>3940.65</v>
      </c>
      <c r="O115" t="s">
        <v>58</v>
      </c>
      <c r="P115" t="s">
        <v>56</v>
      </c>
    </row>
    <row r="116" spans="1:16" x14ac:dyDescent="0.35">
      <c r="A116" t="s">
        <v>180</v>
      </c>
      <c r="B116">
        <v>52</v>
      </c>
      <c r="C116" t="s">
        <v>55</v>
      </c>
      <c r="D116" t="s">
        <v>56</v>
      </c>
      <c r="E116" t="s">
        <v>55</v>
      </c>
      <c r="F116">
        <v>61</v>
      </c>
      <c r="G116" t="s">
        <v>55</v>
      </c>
      <c r="H116" t="s">
        <v>60</v>
      </c>
      <c r="I116" t="s">
        <v>30</v>
      </c>
      <c r="J116" t="s">
        <v>14</v>
      </c>
      <c r="K116" t="s">
        <v>55</v>
      </c>
      <c r="L116" t="s">
        <v>61</v>
      </c>
      <c r="M116">
        <v>87.85</v>
      </c>
      <c r="N116">
        <v>5080.76</v>
      </c>
      <c r="O116" t="s">
        <v>69</v>
      </c>
      <c r="P116" t="s">
        <v>55</v>
      </c>
    </row>
    <row r="117" spans="1:16" x14ac:dyDescent="0.35">
      <c r="A117" t="s">
        <v>181</v>
      </c>
      <c r="B117">
        <v>58</v>
      </c>
      <c r="C117" t="s">
        <v>55</v>
      </c>
      <c r="D117" t="s">
        <v>56</v>
      </c>
      <c r="E117" t="s">
        <v>55</v>
      </c>
      <c r="F117">
        <v>18</v>
      </c>
      <c r="G117" t="s">
        <v>55</v>
      </c>
      <c r="H117" t="s">
        <v>60</v>
      </c>
      <c r="I117" t="s">
        <v>30</v>
      </c>
      <c r="J117" t="s">
        <v>14</v>
      </c>
      <c r="K117" t="s">
        <v>56</v>
      </c>
      <c r="L117" t="s">
        <v>61</v>
      </c>
      <c r="M117">
        <v>104.23</v>
      </c>
      <c r="N117">
        <v>1984.39</v>
      </c>
      <c r="O117" t="s">
        <v>62</v>
      </c>
      <c r="P117" t="s">
        <v>55</v>
      </c>
    </row>
    <row r="118" spans="1:16" x14ac:dyDescent="0.35">
      <c r="A118" t="s">
        <v>182</v>
      </c>
      <c r="B118">
        <v>69</v>
      </c>
      <c r="C118" t="s">
        <v>56</v>
      </c>
      <c r="D118" t="s">
        <v>56</v>
      </c>
      <c r="E118" t="s">
        <v>56</v>
      </c>
      <c r="F118">
        <v>59</v>
      </c>
      <c r="G118" t="s">
        <v>56</v>
      </c>
      <c r="H118" t="s">
        <v>56</v>
      </c>
      <c r="I118" t="s">
        <v>30</v>
      </c>
      <c r="J118" t="s">
        <v>12</v>
      </c>
      <c r="K118" t="s">
        <v>56</v>
      </c>
      <c r="L118" t="s">
        <v>26</v>
      </c>
      <c r="M118">
        <v>85.5</v>
      </c>
      <c r="N118">
        <v>4982.8900000000003</v>
      </c>
      <c r="O118" t="s">
        <v>64</v>
      </c>
      <c r="P118" t="s">
        <v>55</v>
      </c>
    </row>
    <row r="119" spans="1:16" x14ac:dyDescent="0.35">
      <c r="A119" t="s">
        <v>183</v>
      </c>
      <c r="B119">
        <v>34</v>
      </c>
      <c r="C119" t="s">
        <v>55</v>
      </c>
      <c r="D119" t="s">
        <v>56</v>
      </c>
      <c r="E119" t="s">
        <v>56</v>
      </c>
      <c r="F119">
        <v>37</v>
      </c>
      <c r="G119" t="s">
        <v>56</v>
      </c>
      <c r="H119" t="s">
        <v>55</v>
      </c>
      <c r="I119" t="s">
        <v>30</v>
      </c>
      <c r="J119" t="s">
        <v>12</v>
      </c>
      <c r="K119" t="s">
        <v>56</v>
      </c>
      <c r="L119" t="s">
        <v>61</v>
      </c>
      <c r="M119">
        <v>91.85</v>
      </c>
      <c r="N119">
        <v>3357.68</v>
      </c>
      <c r="O119" t="s">
        <v>64</v>
      </c>
      <c r="P119" t="s">
        <v>55</v>
      </c>
    </row>
    <row r="120" spans="1:16" x14ac:dyDescent="0.35">
      <c r="A120" t="s">
        <v>184</v>
      </c>
      <c r="B120">
        <v>39</v>
      </c>
      <c r="C120" t="s">
        <v>55</v>
      </c>
      <c r="D120" t="s">
        <v>56</v>
      </c>
      <c r="E120" t="s">
        <v>55</v>
      </c>
      <c r="F120">
        <v>64</v>
      </c>
      <c r="G120" t="s">
        <v>55</v>
      </c>
      <c r="H120" t="s">
        <v>60</v>
      </c>
      <c r="I120" t="s">
        <v>30</v>
      </c>
      <c r="J120" t="s">
        <v>14</v>
      </c>
      <c r="K120" t="s">
        <v>55</v>
      </c>
      <c r="L120" t="s">
        <v>26</v>
      </c>
      <c r="M120">
        <v>100.12</v>
      </c>
      <c r="N120">
        <v>6655.54</v>
      </c>
      <c r="O120" t="s">
        <v>76</v>
      </c>
      <c r="P120" t="s">
        <v>55</v>
      </c>
    </row>
    <row r="121" spans="1:16" x14ac:dyDescent="0.35">
      <c r="A121" t="s">
        <v>185</v>
      </c>
      <c r="B121">
        <v>24</v>
      </c>
      <c r="C121" t="s">
        <v>55</v>
      </c>
      <c r="D121" t="s">
        <v>56</v>
      </c>
      <c r="E121" t="s">
        <v>55</v>
      </c>
      <c r="F121">
        <v>38</v>
      </c>
      <c r="G121" t="s">
        <v>55</v>
      </c>
      <c r="H121" t="s">
        <v>60</v>
      </c>
      <c r="I121" t="s">
        <v>30</v>
      </c>
      <c r="J121" t="s">
        <v>12</v>
      </c>
      <c r="K121" t="s">
        <v>55</v>
      </c>
      <c r="L121" t="s">
        <v>57</v>
      </c>
      <c r="M121">
        <v>72.12</v>
      </c>
      <c r="N121">
        <v>2862.25</v>
      </c>
      <c r="O121" t="s">
        <v>64</v>
      </c>
      <c r="P121" t="s">
        <v>56</v>
      </c>
    </row>
    <row r="122" spans="1:16" x14ac:dyDescent="0.35">
      <c r="A122" t="s">
        <v>186</v>
      </c>
      <c r="B122">
        <v>35</v>
      </c>
      <c r="C122" t="s">
        <v>55</v>
      </c>
      <c r="D122" t="s">
        <v>56</v>
      </c>
      <c r="E122" t="s">
        <v>56</v>
      </c>
      <c r="F122">
        <v>52</v>
      </c>
      <c r="G122" t="s">
        <v>56</v>
      </c>
      <c r="H122" t="s">
        <v>55</v>
      </c>
      <c r="I122" t="s">
        <v>30</v>
      </c>
      <c r="J122" t="s">
        <v>12</v>
      </c>
      <c r="K122" t="s">
        <v>55</v>
      </c>
      <c r="L122" t="s">
        <v>26</v>
      </c>
      <c r="M122">
        <v>73.36</v>
      </c>
      <c r="N122">
        <v>3942.21</v>
      </c>
      <c r="O122" t="s">
        <v>64</v>
      </c>
      <c r="P122" t="s">
        <v>56</v>
      </c>
    </row>
    <row r="123" spans="1:16" x14ac:dyDescent="0.35">
      <c r="A123" t="s">
        <v>187</v>
      </c>
      <c r="B123">
        <v>54</v>
      </c>
      <c r="C123" t="s">
        <v>55</v>
      </c>
      <c r="D123" t="s">
        <v>56</v>
      </c>
      <c r="E123" t="s">
        <v>56</v>
      </c>
      <c r="F123">
        <v>58</v>
      </c>
      <c r="G123" t="s">
        <v>55</v>
      </c>
      <c r="H123" t="s">
        <v>60</v>
      </c>
      <c r="I123" t="s">
        <v>55</v>
      </c>
      <c r="J123" t="s">
        <v>12</v>
      </c>
      <c r="K123" t="s">
        <v>56</v>
      </c>
      <c r="L123" t="s">
        <v>57</v>
      </c>
      <c r="M123">
        <v>24.35</v>
      </c>
      <c r="N123">
        <v>1395.02</v>
      </c>
      <c r="O123" t="s">
        <v>62</v>
      </c>
      <c r="P123" t="s">
        <v>55</v>
      </c>
    </row>
    <row r="124" spans="1:16" x14ac:dyDescent="0.35">
      <c r="A124" t="s">
        <v>188</v>
      </c>
      <c r="B124">
        <v>25</v>
      </c>
      <c r="C124" t="s">
        <v>55</v>
      </c>
      <c r="D124" t="s">
        <v>56</v>
      </c>
      <c r="E124" t="s">
        <v>56</v>
      </c>
      <c r="F124">
        <v>64</v>
      </c>
      <c r="G124" t="s">
        <v>56</v>
      </c>
      <c r="H124" t="s">
        <v>56</v>
      </c>
      <c r="I124" t="s">
        <v>29</v>
      </c>
      <c r="J124" t="s">
        <v>12</v>
      </c>
      <c r="K124" t="s">
        <v>55</v>
      </c>
      <c r="L124" t="s">
        <v>26</v>
      </c>
      <c r="M124">
        <v>64.48</v>
      </c>
      <c r="N124">
        <v>4222.78</v>
      </c>
      <c r="O124" t="s">
        <v>62</v>
      </c>
      <c r="P124" t="s">
        <v>55</v>
      </c>
    </row>
    <row r="125" spans="1:16" x14ac:dyDescent="0.35">
      <c r="A125" t="s">
        <v>189</v>
      </c>
      <c r="B125">
        <v>25</v>
      </c>
      <c r="C125" t="s">
        <v>55</v>
      </c>
      <c r="D125" t="s">
        <v>56</v>
      </c>
      <c r="E125" t="s">
        <v>56</v>
      </c>
      <c r="F125">
        <v>58</v>
      </c>
      <c r="G125" t="s">
        <v>55</v>
      </c>
      <c r="H125" t="s">
        <v>60</v>
      </c>
      <c r="I125" t="s">
        <v>30</v>
      </c>
      <c r="J125" t="s">
        <v>14</v>
      </c>
      <c r="K125" t="s">
        <v>55</v>
      </c>
      <c r="L125" t="s">
        <v>61</v>
      </c>
      <c r="M125">
        <v>105.48</v>
      </c>
      <c r="N125">
        <v>6154.54</v>
      </c>
      <c r="O125" t="s">
        <v>76</v>
      </c>
      <c r="P125" t="s">
        <v>55</v>
      </c>
    </row>
    <row r="126" spans="1:16" x14ac:dyDescent="0.35">
      <c r="A126" t="s">
        <v>190</v>
      </c>
      <c r="B126">
        <v>72</v>
      </c>
      <c r="C126" t="s">
        <v>56</v>
      </c>
      <c r="D126" t="s">
        <v>56</v>
      </c>
      <c r="E126" t="s">
        <v>56</v>
      </c>
      <c r="F126">
        <v>47</v>
      </c>
      <c r="G126" t="s">
        <v>56</v>
      </c>
      <c r="H126" t="s">
        <v>55</v>
      </c>
      <c r="I126" t="s">
        <v>29</v>
      </c>
      <c r="J126" t="s">
        <v>13</v>
      </c>
      <c r="K126" t="s">
        <v>56</v>
      </c>
      <c r="L126" t="s">
        <v>61</v>
      </c>
      <c r="M126">
        <v>41.05</v>
      </c>
      <c r="N126">
        <v>1941.86</v>
      </c>
      <c r="O126" t="s">
        <v>66</v>
      </c>
      <c r="P126" t="s">
        <v>55</v>
      </c>
    </row>
    <row r="127" spans="1:16" x14ac:dyDescent="0.35">
      <c r="A127" t="s">
        <v>191</v>
      </c>
      <c r="B127">
        <v>53</v>
      </c>
      <c r="C127" t="s">
        <v>55</v>
      </c>
      <c r="D127" t="s">
        <v>56</v>
      </c>
      <c r="E127" t="s">
        <v>56</v>
      </c>
      <c r="F127">
        <v>9</v>
      </c>
      <c r="G127" t="s">
        <v>55</v>
      </c>
      <c r="H127" t="s">
        <v>60</v>
      </c>
      <c r="I127" t="s">
        <v>30</v>
      </c>
      <c r="J127" t="s">
        <v>12</v>
      </c>
      <c r="K127" t="s">
        <v>55</v>
      </c>
      <c r="L127" t="s">
        <v>61</v>
      </c>
      <c r="M127">
        <v>73.69</v>
      </c>
      <c r="N127">
        <v>700.8</v>
      </c>
      <c r="O127" t="s">
        <v>64</v>
      </c>
      <c r="P127" t="s">
        <v>55</v>
      </c>
    </row>
    <row r="128" spans="1:16" x14ac:dyDescent="0.35">
      <c r="A128" t="s">
        <v>192</v>
      </c>
      <c r="B128">
        <v>47</v>
      </c>
      <c r="C128" t="s">
        <v>55</v>
      </c>
      <c r="D128" t="s">
        <v>55</v>
      </c>
      <c r="E128" t="s">
        <v>56</v>
      </c>
      <c r="F128">
        <v>71</v>
      </c>
      <c r="G128" t="s">
        <v>56</v>
      </c>
      <c r="H128" t="s">
        <v>55</v>
      </c>
      <c r="I128" t="s">
        <v>29</v>
      </c>
      <c r="J128" t="s">
        <v>12</v>
      </c>
      <c r="K128" t="s">
        <v>56</v>
      </c>
      <c r="L128" t="s">
        <v>61</v>
      </c>
      <c r="M128">
        <v>60.72</v>
      </c>
      <c r="N128">
        <v>4209.79</v>
      </c>
      <c r="O128" t="s">
        <v>69</v>
      </c>
      <c r="P128" t="s">
        <v>56</v>
      </c>
    </row>
    <row r="129" spans="1:16" x14ac:dyDescent="0.35">
      <c r="A129" t="s">
        <v>193</v>
      </c>
      <c r="B129">
        <v>32</v>
      </c>
      <c r="C129" t="s">
        <v>55</v>
      </c>
      <c r="D129" t="s">
        <v>55</v>
      </c>
      <c r="E129" t="s">
        <v>55</v>
      </c>
      <c r="F129">
        <v>11</v>
      </c>
      <c r="G129" t="s">
        <v>55</v>
      </c>
      <c r="H129" t="s">
        <v>60</v>
      </c>
      <c r="I129" t="s">
        <v>30</v>
      </c>
      <c r="J129" t="s">
        <v>12</v>
      </c>
      <c r="K129" t="s">
        <v>55</v>
      </c>
      <c r="L129" t="s">
        <v>61</v>
      </c>
      <c r="M129">
        <v>74.67</v>
      </c>
      <c r="N129">
        <v>835.27</v>
      </c>
      <c r="O129" t="s">
        <v>58</v>
      </c>
      <c r="P129" t="s">
        <v>55</v>
      </c>
    </row>
    <row r="130" spans="1:16" x14ac:dyDescent="0.35">
      <c r="A130" t="s">
        <v>194</v>
      </c>
      <c r="B130">
        <v>27</v>
      </c>
      <c r="C130" t="s">
        <v>55</v>
      </c>
      <c r="D130" t="s">
        <v>56</v>
      </c>
      <c r="E130" t="s">
        <v>55</v>
      </c>
      <c r="F130">
        <v>6</v>
      </c>
      <c r="G130" t="s">
        <v>56</v>
      </c>
      <c r="H130" t="s">
        <v>56</v>
      </c>
      <c r="I130" t="s">
        <v>55</v>
      </c>
      <c r="J130" t="s">
        <v>14</v>
      </c>
      <c r="K130" t="s">
        <v>55</v>
      </c>
      <c r="L130" t="s">
        <v>61</v>
      </c>
      <c r="M130">
        <v>27.2</v>
      </c>
      <c r="N130">
        <v>161.57</v>
      </c>
      <c r="O130" t="s">
        <v>64</v>
      </c>
      <c r="P130" t="s">
        <v>55</v>
      </c>
    </row>
    <row r="131" spans="1:16" x14ac:dyDescent="0.35">
      <c r="A131" t="s">
        <v>195</v>
      </c>
      <c r="B131">
        <v>74</v>
      </c>
      <c r="C131" t="s">
        <v>56</v>
      </c>
      <c r="D131" t="s">
        <v>55</v>
      </c>
      <c r="E131" t="s">
        <v>55</v>
      </c>
      <c r="F131">
        <v>62</v>
      </c>
      <c r="G131" t="s">
        <v>55</v>
      </c>
      <c r="H131" t="s">
        <v>60</v>
      </c>
      <c r="I131" t="s">
        <v>30</v>
      </c>
      <c r="J131" t="s">
        <v>12</v>
      </c>
      <c r="K131" t="s">
        <v>56</v>
      </c>
      <c r="L131" t="s">
        <v>61</v>
      </c>
      <c r="M131">
        <v>77.900000000000006</v>
      </c>
      <c r="N131">
        <v>4780.8999999999996</v>
      </c>
      <c r="O131" t="s">
        <v>76</v>
      </c>
      <c r="P131" t="s">
        <v>55</v>
      </c>
    </row>
    <row r="132" spans="1:16" x14ac:dyDescent="0.35">
      <c r="A132" t="s">
        <v>196</v>
      </c>
      <c r="B132">
        <v>56</v>
      </c>
      <c r="C132" t="s">
        <v>55</v>
      </c>
      <c r="D132" t="s">
        <v>56</v>
      </c>
      <c r="E132" t="s">
        <v>55</v>
      </c>
      <c r="F132">
        <v>41</v>
      </c>
      <c r="G132" t="s">
        <v>55</v>
      </c>
      <c r="H132" t="s">
        <v>60</v>
      </c>
      <c r="I132" t="s">
        <v>29</v>
      </c>
      <c r="J132" t="s">
        <v>14</v>
      </c>
      <c r="K132" t="s">
        <v>56</v>
      </c>
      <c r="L132" t="s">
        <v>61</v>
      </c>
      <c r="M132">
        <v>60.6</v>
      </c>
      <c r="N132">
        <v>2367.1799999999998</v>
      </c>
      <c r="O132" t="s">
        <v>80</v>
      </c>
      <c r="P132" t="s">
        <v>55</v>
      </c>
    </row>
    <row r="133" spans="1:16" x14ac:dyDescent="0.35">
      <c r="A133" t="s">
        <v>197</v>
      </c>
      <c r="B133">
        <v>35</v>
      </c>
      <c r="C133" t="s">
        <v>55</v>
      </c>
      <c r="D133" t="s">
        <v>55</v>
      </c>
      <c r="E133" t="s">
        <v>56</v>
      </c>
      <c r="F133">
        <v>19</v>
      </c>
      <c r="G133" t="s">
        <v>55</v>
      </c>
      <c r="H133" t="s">
        <v>60</v>
      </c>
      <c r="I133" t="s">
        <v>30</v>
      </c>
      <c r="J133" t="s">
        <v>14</v>
      </c>
      <c r="K133" t="s">
        <v>55</v>
      </c>
      <c r="L133" t="s">
        <v>26</v>
      </c>
      <c r="M133">
        <v>113.27</v>
      </c>
      <c r="N133">
        <v>2064.25</v>
      </c>
      <c r="O133" t="s">
        <v>58</v>
      </c>
      <c r="P133" t="s">
        <v>55</v>
      </c>
    </row>
    <row r="134" spans="1:16" x14ac:dyDescent="0.35">
      <c r="A134" t="s">
        <v>198</v>
      </c>
      <c r="B134">
        <v>64</v>
      </c>
      <c r="C134" t="s">
        <v>56</v>
      </c>
      <c r="D134" t="s">
        <v>55</v>
      </c>
      <c r="E134" t="s">
        <v>56</v>
      </c>
      <c r="F134">
        <v>21</v>
      </c>
      <c r="G134" t="s">
        <v>55</v>
      </c>
      <c r="H134" t="s">
        <v>60</v>
      </c>
      <c r="I134" t="s">
        <v>29</v>
      </c>
      <c r="J134" t="s">
        <v>12</v>
      </c>
      <c r="K134" t="s">
        <v>55</v>
      </c>
      <c r="L134" t="s">
        <v>57</v>
      </c>
      <c r="M134">
        <v>43.6</v>
      </c>
      <c r="N134">
        <v>903.87</v>
      </c>
      <c r="O134" t="s">
        <v>62</v>
      </c>
      <c r="P134" t="s">
        <v>55</v>
      </c>
    </row>
    <row r="135" spans="1:16" x14ac:dyDescent="0.35">
      <c r="A135" t="s">
        <v>199</v>
      </c>
      <c r="B135">
        <v>31</v>
      </c>
      <c r="C135" t="s">
        <v>55</v>
      </c>
      <c r="D135" t="s">
        <v>55</v>
      </c>
      <c r="E135" t="s">
        <v>56</v>
      </c>
      <c r="F135">
        <v>7</v>
      </c>
      <c r="G135" t="s">
        <v>55</v>
      </c>
      <c r="H135" t="s">
        <v>60</v>
      </c>
      <c r="I135" t="s">
        <v>30</v>
      </c>
      <c r="J135" t="s">
        <v>12</v>
      </c>
      <c r="K135" t="s">
        <v>56</v>
      </c>
      <c r="L135" t="s">
        <v>61</v>
      </c>
      <c r="M135">
        <v>91.55</v>
      </c>
      <c r="N135">
        <v>670.26</v>
      </c>
      <c r="O135" t="s">
        <v>66</v>
      </c>
      <c r="P135" t="s">
        <v>55</v>
      </c>
    </row>
    <row r="136" spans="1:16" x14ac:dyDescent="0.35">
      <c r="A136" t="s">
        <v>200</v>
      </c>
      <c r="B136">
        <v>43</v>
      </c>
      <c r="C136" t="s">
        <v>55</v>
      </c>
      <c r="D136" t="s">
        <v>55</v>
      </c>
      <c r="E136" t="s">
        <v>56</v>
      </c>
      <c r="F136">
        <v>52</v>
      </c>
      <c r="G136" t="s">
        <v>56</v>
      </c>
      <c r="H136" t="s">
        <v>55</v>
      </c>
      <c r="I136" t="s">
        <v>30</v>
      </c>
      <c r="J136" t="s">
        <v>12</v>
      </c>
      <c r="K136" t="s">
        <v>55</v>
      </c>
      <c r="L136" t="s">
        <v>57</v>
      </c>
      <c r="M136">
        <v>108.22</v>
      </c>
      <c r="N136">
        <v>5478.69</v>
      </c>
      <c r="O136" t="s">
        <v>69</v>
      </c>
      <c r="P136" t="s">
        <v>55</v>
      </c>
    </row>
    <row r="137" spans="1:16" x14ac:dyDescent="0.35">
      <c r="A137" t="s">
        <v>201</v>
      </c>
      <c r="B137">
        <v>57</v>
      </c>
      <c r="C137" t="s">
        <v>55</v>
      </c>
      <c r="D137" t="s">
        <v>56</v>
      </c>
      <c r="E137" t="s">
        <v>56</v>
      </c>
      <c r="F137">
        <v>13</v>
      </c>
      <c r="G137" t="s">
        <v>55</v>
      </c>
      <c r="H137" t="s">
        <v>60</v>
      </c>
      <c r="I137" t="s">
        <v>30</v>
      </c>
      <c r="J137" t="s">
        <v>13</v>
      </c>
      <c r="K137" t="s">
        <v>55</v>
      </c>
      <c r="L137" t="s">
        <v>61</v>
      </c>
      <c r="M137">
        <v>79.95</v>
      </c>
      <c r="N137">
        <v>1040.49</v>
      </c>
      <c r="O137" t="s">
        <v>80</v>
      </c>
      <c r="P137" t="s">
        <v>55</v>
      </c>
    </row>
    <row r="138" spans="1:16" x14ac:dyDescent="0.35">
      <c r="A138" t="s">
        <v>202</v>
      </c>
      <c r="B138">
        <v>20</v>
      </c>
      <c r="C138" t="s">
        <v>55</v>
      </c>
      <c r="D138" t="s">
        <v>56</v>
      </c>
      <c r="E138" t="s">
        <v>55</v>
      </c>
      <c r="F138">
        <v>61</v>
      </c>
      <c r="G138" t="s">
        <v>56</v>
      </c>
      <c r="H138" t="s">
        <v>55</v>
      </c>
      <c r="I138" t="s">
        <v>29</v>
      </c>
      <c r="J138" t="s">
        <v>12</v>
      </c>
      <c r="K138" t="s">
        <v>55</v>
      </c>
      <c r="L138" t="s">
        <v>25</v>
      </c>
      <c r="M138">
        <v>52.74</v>
      </c>
      <c r="N138">
        <v>3175.81</v>
      </c>
      <c r="O138" t="s">
        <v>66</v>
      </c>
      <c r="P138" t="s">
        <v>55</v>
      </c>
    </row>
    <row r="139" spans="1:16" x14ac:dyDescent="0.35">
      <c r="A139" t="s">
        <v>203</v>
      </c>
      <c r="B139">
        <v>37</v>
      </c>
      <c r="C139" t="s">
        <v>55</v>
      </c>
      <c r="D139" t="s">
        <v>55</v>
      </c>
      <c r="E139" t="s">
        <v>55</v>
      </c>
      <c r="F139">
        <v>39</v>
      </c>
      <c r="G139" t="s">
        <v>56</v>
      </c>
      <c r="H139" t="s">
        <v>55</v>
      </c>
      <c r="I139" t="s">
        <v>29</v>
      </c>
      <c r="J139" t="s">
        <v>13</v>
      </c>
      <c r="K139" t="s">
        <v>55</v>
      </c>
      <c r="L139" t="s">
        <v>57</v>
      </c>
      <c r="M139">
        <v>71.87</v>
      </c>
      <c r="N139">
        <v>2878.72</v>
      </c>
      <c r="O139" t="s">
        <v>80</v>
      </c>
      <c r="P139" t="s">
        <v>55</v>
      </c>
    </row>
    <row r="140" spans="1:16" x14ac:dyDescent="0.35">
      <c r="A140" t="s">
        <v>204</v>
      </c>
      <c r="B140">
        <v>56</v>
      </c>
      <c r="C140" t="s">
        <v>55</v>
      </c>
      <c r="D140" t="s">
        <v>55</v>
      </c>
      <c r="E140" t="s">
        <v>55</v>
      </c>
      <c r="F140">
        <v>30</v>
      </c>
      <c r="G140" t="s">
        <v>55</v>
      </c>
      <c r="H140" t="s">
        <v>60</v>
      </c>
      <c r="I140" t="s">
        <v>29</v>
      </c>
      <c r="J140" t="s">
        <v>12</v>
      </c>
      <c r="K140" t="s">
        <v>55</v>
      </c>
      <c r="L140" t="s">
        <v>26</v>
      </c>
      <c r="M140">
        <v>67.23</v>
      </c>
      <c r="N140">
        <v>1903.53</v>
      </c>
      <c r="O140" t="s">
        <v>80</v>
      </c>
      <c r="P140" t="s">
        <v>55</v>
      </c>
    </row>
    <row r="141" spans="1:16" x14ac:dyDescent="0.35">
      <c r="A141" t="s">
        <v>205</v>
      </c>
      <c r="B141">
        <v>30</v>
      </c>
      <c r="C141" t="s">
        <v>55</v>
      </c>
      <c r="D141" t="s">
        <v>56</v>
      </c>
      <c r="E141" t="s">
        <v>55</v>
      </c>
      <c r="F141">
        <v>41</v>
      </c>
      <c r="G141" t="s">
        <v>55</v>
      </c>
      <c r="H141" t="s">
        <v>60</v>
      </c>
      <c r="I141" t="s">
        <v>30</v>
      </c>
      <c r="J141" t="s">
        <v>13</v>
      </c>
      <c r="K141" t="s">
        <v>55</v>
      </c>
      <c r="L141" t="s">
        <v>57</v>
      </c>
      <c r="M141">
        <v>100.57</v>
      </c>
      <c r="N141">
        <v>4109.32</v>
      </c>
      <c r="O141" t="s">
        <v>69</v>
      </c>
      <c r="P141" t="s">
        <v>55</v>
      </c>
    </row>
    <row r="142" spans="1:16" x14ac:dyDescent="0.35">
      <c r="A142" t="s">
        <v>206</v>
      </c>
      <c r="B142">
        <v>21</v>
      </c>
      <c r="C142" t="s">
        <v>55</v>
      </c>
      <c r="D142" t="s">
        <v>56</v>
      </c>
      <c r="E142" t="s">
        <v>56</v>
      </c>
      <c r="F142">
        <v>72</v>
      </c>
      <c r="G142" t="s">
        <v>55</v>
      </c>
      <c r="H142" t="s">
        <v>60</v>
      </c>
      <c r="I142" t="s">
        <v>30</v>
      </c>
      <c r="J142" t="s">
        <v>12</v>
      </c>
      <c r="K142" t="s">
        <v>55</v>
      </c>
      <c r="L142" t="s">
        <v>25</v>
      </c>
      <c r="M142">
        <v>92.98</v>
      </c>
      <c r="N142">
        <v>6721.17</v>
      </c>
      <c r="O142" t="s">
        <v>69</v>
      </c>
      <c r="P142" t="s">
        <v>55</v>
      </c>
    </row>
    <row r="143" spans="1:16" x14ac:dyDescent="0.35">
      <c r="A143" t="s">
        <v>207</v>
      </c>
      <c r="B143">
        <v>67</v>
      </c>
      <c r="C143" t="s">
        <v>56</v>
      </c>
      <c r="D143" t="s">
        <v>55</v>
      </c>
      <c r="E143" t="s">
        <v>55</v>
      </c>
      <c r="F143">
        <v>25</v>
      </c>
      <c r="G143" t="s">
        <v>55</v>
      </c>
      <c r="H143" t="s">
        <v>60</v>
      </c>
      <c r="I143" t="s">
        <v>55</v>
      </c>
      <c r="J143" t="s">
        <v>13</v>
      </c>
      <c r="K143" t="s">
        <v>56</v>
      </c>
      <c r="L143" t="s">
        <v>25</v>
      </c>
      <c r="M143">
        <v>29.79</v>
      </c>
      <c r="N143">
        <v>768.98</v>
      </c>
      <c r="O143" t="s">
        <v>69</v>
      </c>
      <c r="P143" t="s">
        <v>55</v>
      </c>
    </row>
    <row r="144" spans="1:16" x14ac:dyDescent="0.35">
      <c r="A144" t="s">
        <v>208</v>
      </c>
      <c r="B144">
        <v>63</v>
      </c>
      <c r="C144" t="s">
        <v>56</v>
      </c>
      <c r="D144" t="s">
        <v>55</v>
      </c>
      <c r="E144" t="s">
        <v>55</v>
      </c>
      <c r="F144">
        <v>62</v>
      </c>
      <c r="G144" t="s">
        <v>55</v>
      </c>
      <c r="H144" t="s">
        <v>60</v>
      </c>
      <c r="I144" t="s">
        <v>30</v>
      </c>
      <c r="J144" t="s">
        <v>12</v>
      </c>
      <c r="K144" t="s">
        <v>55</v>
      </c>
      <c r="L144" t="s">
        <v>25</v>
      </c>
      <c r="M144">
        <v>89.73</v>
      </c>
      <c r="N144">
        <v>5459.87</v>
      </c>
      <c r="O144" t="s">
        <v>62</v>
      </c>
      <c r="P144" t="s">
        <v>55</v>
      </c>
    </row>
    <row r="145" spans="1:16" x14ac:dyDescent="0.35">
      <c r="A145" t="s">
        <v>209</v>
      </c>
      <c r="B145">
        <v>36</v>
      </c>
      <c r="C145" t="s">
        <v>55</v>
      </c>
      <c r="D145" t="s">
        <v>56</v>
      </c>
      <c r="E145" t="s">
        <v>55</v>
      </c>
      <c r="F145">
        <v>11</v>
      </c>
      <c r="G145" t="s">
        <v>55</v>
      </c>
      <c r="H145" t="s">
        <v>60</v>
      </c>
      <c r="I145" t="s">
        <v>30</v>
      </c>
      <c r="J145" t="s">
        <v>13</v>
      </c>
      <c r="K145" t="s">
        <v>55</v>
      </c>
      <c r="L145" t="s">
        <v>26</v>
      </c>
      <c r="M145">
        <v>111.4</v>
      </c>
      <c r="N145">
        <v>1191.75</v>
      </c>
      <c r="O145" t="s">
        <v>76</v>
      </c>
      <c r="P145" t="s">
        <v>55</v>
      </c>
    </row>
    <row r="146" spans="1:16" x14ac:dyDescent="0.35">
      <c r="A146" t="s">
        <v>210</v>
      </c>
      <c r="B146">
        <v>26</v>
      </c>
      <c r="C146" t="s">
        <v>55</v>
      </c>
      <c r="D146" t="s">
        <v>56</v>
      </c>
      <c r="E146" t="s">
        <v>56</v>
      </c>
      <c r="F146">
        <v>32</v>
      </c>
      <c r="G146" t="s">
        <v>56</v>
      </c>
      <c r="H146" t="s">
        <v>55</v>
      </c>
      <c r="I146" t="s">
        <v>30</v>
      </c>
      <c r="J146" t="s">
        <v>12</v>
      </c>
      <c r="K146" t="s">
        <v>55</v>
      </c>
      <c r="L146" t="s">
        <v>26</v>
      </c>
      <c r="M146">
        <v>93.62</v>
      </c>
      <c r="N146">
        <v>3060.98</v>
      </c>
      <c r="O146" t="s">
        <v>58</v>
      </c>
      <c r="P146" t="s">
        <v>56</v>
      </c>
    </row>
    <row r="147" spans="1:16" x14ac:dyDescent="0.35">
      <c r="A147" t="s">
        <v>211</v>
      </c>
      <c r="B147">
        <v>28</v>
      </c>
      <c r="C147" t="s">
        <v>55</v>
      </c>
      <c r="D147" t="s">
        <v>55</v>
      </c>
      <c r="E147" t="s">
        <v>55</v>
      </c>
      <c r="F147">
        <v>62</v>
      </c>
      <c r="G147" t="s">
        <v>55</v>
      </c>
      <c r="H147" t="s">
        <v>60</v>
      </c>
      <c r="I147" t="s">
        <v>29</v>
      </c>
      <c r="J147" t="s">
        <v>12</v>
      </c>
      <c r="K147" t="s">
        <v>56</v>
      </c>
      <c r="L147" t="s">
        <v>25</v>
      </c>
      <c r="M147">
        <v>43.58</v>
      </c>
      <c r="N147">
        <v>2726</v>
      </c>
      <c r="O147" t="s">
        <v>69</v>
      </c>
      <c r="P147" t="s">
        <v>55</v>
      </c>
    </row>
    <row r="148" spans="1:16" x14ac:dyDescent="0.35">
      <c r="A148" t="s">
        <v>212</v>
      </c>
      <c r="B148">
        <v>72</v>
      </c>
      <c r="C148" t="s">
        <v>56</v>
      </c>
      <c r="D148" t="s">
        <v>56</v>
      </c>
      <c r="E148" t="s">
        <v>56</v>
      </c>
      <c r="F148">
        <v>54</v>
      </c>
      <c r="G148" t="s">
        <v>56</v>
      </c>
      <c r="H148" t="s">
        <v>55</v>
      </c>
      <c r="I148" t="s">
        <v>55</v>
      </c>
      <c r="J148" t="s">
        <v>12</v>
      </c>
      <c r="K148" t="s">
        <v>55</v>
      </c>
      <c r="L148" t="s">
        <v>61</v>
      </c>
      <c r="M148">
        <v>20.239999999999998</v>
      </c>
      <c r="N148">
        <v>1125.6199999999999</v>
      </c>
      <c r="O148" t="s">
        <v>76</v>
      </c>
      <c r="P148" t="s">
        <v>55</v>
      </c>
    </row>
    <row r="149" spans="1:16" x14ac:dyDescent="0.35">
      <c r="A149" t="s">
        <v>213</v>
      </c>
      <c r="B149">
        <v>74</v>
      </c>
      <c r="C149" t="s">
        <v>56</v>
      </c>
      <c r="D149" t="s">
        <v>56</v>
      </c>
      <c r="E149" t="s">
        <v>56</v>
      </c>
      <c r="F149">
        <v>39</v>
      </c>
      <c r="G149" t="s">
        <v>56</v>
      </c>
      <c r="H149" t="s">
        <v>55</v>
      </c>
      <c r="I149" t="s">
        <v>29</v>
      </c>
      <c r="J149" t="s">
        <v>12</v>
      </c>
      <c r="K149" t="s">
        <v>55</v>
      </c>
      <c r="L149" t="s">
        <v>25</v>
      </c>
      <c r="M149">
        <v>61.73</v>
      </c>
      <c r="N149">
        <v>2405.71</v>
      </c>
      <c r="O149" t="s">
        <v>66</v>
      </c>
      <c r="P149" t="s">
        <v>55</v>
      </c>
    </row>
    <row r="150" spans="1:16" x14ac:dyDescent="0.35">
      <c r="A150" t="s">
        <v>214</v>
      </c>
      <c r="B150">
        <v>50</v>
      </c>
      <c r="C150" t="s">
        <v>55</v>
      </c>
      <c r="D150" t="s">
        <v>55</v>
      </c>
      <c r="E150" t="s">
        <v>55</v>
      </c>
      <c r="F150">
        <v>25</v>
      </c>
      <c r="G150" t="s">
        <v>55</v>
      </c>
      <c r="H150" t="s">
        <v>60</v>
      </c>
      <c r="I150" t="s">
        <v>55</v>
      </c>
      <c r="J150" t="s">
        <v>12</v>
      </c>
      <c r="K150" t="s">
        <v>55</v>
      </c>
      <c r="L150" t="s">
        <v>61</v>
      </c>
      <c r="M150">
        <v>26.62</v>
      </c>
      <c r="N150">
        <v>626.69000000000005</v>
      </c>
      <c r="O150" t="s">
        <v>76</v>
      </c>
      <c r="P150" t="s">
        <v>55</v>
      </c>
    </row>
    <row r="151" spans="1:16" x14ac:dyDescent="0.35">
      <c r="A151" t="s">
        <v>215</v>
      </c>
      <c r="B151">
        <v>54</v>
      </c>
      <c r="C151" t="s">
        <v>55</v>
      </c>
      <c r="D151" t="s">
        <v>56</v>
      </c>
      <c r="E151" t="s">
        <v>56</v>
      </c>
      <c r="F151">
        <v>52</v>
      </c>
      <c r="G151" t="s">
        <v>55</v>
      </c>
      <c r="H151" t="s">
        <v>60</v>
      </c>
      <c r="I151" t="s">
        <v>55</v>
      </c>
      <c r="J151" t="s">
        <v>12</v>
      </c>
      <c r="K151" t="s">
        <v>56</v>
      </c>
      <c r="L151" t="s">
        <v>26</v>
      </c>
      <c r="M151">
        <v>19.690000000000001</v>
      </c>
      <c r="N151">
        <v>1002.21</v>
      </c>
      <c r="O151" t="s">
        <v>76</v>
      </c>
      <c r="P151" t="s">
        <v>56</v>
      </c>
    </row>
    <row r="152" spans="1:16" x14ac:dyDescent="0.35">
      <c r="A152" t="s">
        <v>216</v>
      </c>
      <c r="B152">
        <v>42</v>
      </c>
      <c r="C152" t="s">
        <v>55</v>
      </c>
      <c r="D152" t="s">
        <v>56</v>
      </c>
      <c r="E152" t="s">
        <v>55</v>
      </c>
      <c r="F152">
        <v>35</v>
      </c>
      <c r="G152" t="s">
        <v>55</v>
      </c>
      <c r="H152" t="s">
        <v>60</v>
      </c>
      <c r="I152" t="s">
        <v>55</v>
      </c>
      <c r="J152" t="s">
        <v>13</v>
      </c>
      <c r="K152" t="s">
        <v>56</v>
      </c>
      <c r="L152" t="s">
        <v>26</v>
      </c>
      <c r="M152">
        <v>22.31</v>
      </c>
      <c r="N152">
        <v>756.14</v>
      </c>
      <c r="O152" t="s">
        <v>64</v>
      </c>
      <c r="P152" t="s">
        <v>55</v>
      </c>
    </row>
    <row r="153" spans="1:16" x14ac:dyDescent="0.35">
      <c r="A153" t="s">
        <v>217</v>
      </c>
      <c r="B153">
        <v>37</v>
      </c>
      <c r="C153" t="s">
        <v>55</v>
      </c>
      <c r="D153" t="s">
        <v>56</v>
      </c>
      <c r="E153" t="s">
        <v>55</v>
      </c>
      <c r="F153">
        <v>65</v>
      </c>
      <c r="G153" t="s">
        <v>55</v>
      </c>
      <c r="H153" t="s">
        <v>60</v>
      </c>
      <c r="I153" t="s">
        <v>55</v>
      </c>
      <c r="J153" t="s">
        <v>13</v>
      </c>
      <c r="K153" t="s">
        <v>55</v>
      </c>
      <c r="L153" t="s">
        <v>57</v>
      </c>
      <c r="M153">
        <v>20.65</v>
      </c>
      <c r="N153">
        <v>1415.92</v>
      </c>
      <c r="O153" t="s">
        <v>64</v>
      </c>
      <c r="P153" t="s">
        <v>55</v>
      </c>
    </row>
    <row r="154" spans="1:16" x14ac:dyDescent="0.35">
      <c r="A154" t="s">
        <v>218</v>
      </c>
      <c r="B154">
        <v>65</v>
      </c>
      <c r="C154" t="s">
        <v>56</v>
      </c>
      <c r="D154" t="s">
        <v>55</v>
      </c>
      <c r="E154" t="s">
        <v>55</v>
      </c>
      <c r="F154">
        <v>71</v>
      </c>
      <c r="G154" t="s">
        <v>56</v>
      </c>
      <c r="H154" t="s">
        <v>55</v>
      </c>
      <c r="I154" t="s">
        <v>55</v>
      </c>
      <c r="J154" t="s">
        <v>13</v>
      </c>
      <c r="K154" t="s">
        <v>56</v>
      </c>
      <c r="L154" t="s">
        <v>57</v>
      </c>
      <c r="M154">
        <v>24.34</v>
      </c>
      <c r="N154">
        <v>1699.48</v>
      </c>
      <c r="O154" t="s">
        <v>80</v>
      </c>
      <c r="P154" t="s">
        <v>55</v>
      </c>
    </row>
    <row r="155" spans="1:16" x14ac:dyDescent="0.35">
      <c r="A155" t="s">
        <v>219</v>
      </c>
      <c r="B155">
        <v>21</v>
      </c>
      <c r="C155" t="s">
        <v>55</v>
      </c>
      <c r="D155" t="s">
        <v>56</v>
      </c>
      <c r="E155" t="s">
        <v>56</v>
      </c>
      <c r="F155">
        <v>22</v>
      </c>
      <c r="G155" t="s">
        <v>55</v>
      </c>
      <c r="H155" t="s">
        <v>60</v>
      </c>
      <c r="I155" t="s">
        <v>30</v>
      </c>
      <c r="J155" t="s">
        <v>12</v>
      </c>
      <c r="K155" t="s">
        <v>56</v>
      </c>
      <c r="L155" t="s">
        <v>61</v>
      </c>
      <c r="M155">
        <v>94.44</v>
      </c>
      <c r="N155">
        <v>2177.13</v>
      </c>
      <c r="O155" t="s">
        <v>80</v>
      </c>
      <c r="P155" t="s">
        <v>55</v>
      </c>
    </row>
    <row r="156" spans="1:16" x14ac:dyDescent="0.35">
      <c r="A156" t="s">
        <v>220</v>
      </c>
      <c r="B156">
        <v>47</v>
      </c>
      <c r="C156" t="s">
        <v>55</v>
      </c>
      <c r="D156" t="s">
        <v>56</v>
      </c>
      <c r="E156" t="s">
        <v>55</v>
      </c>
      <c r="F156">
        <v>59</v>
      </c>
      <c r="G156" t="s">
        <v>55</v>
      </c>
      <c r="H156" t="s">
        <v>60</v>
      </c>
      <c r="I156" t="s">
        <v>29</v>
      </c>
      <c r="J156" t="s">
        <v>13</v>
      </c>
      <c r="K156" t="s">
        <v>55</v>
      </c>
      <c r="L156" t="s">
        <v>61</v>
      </c>
      <c r="M156">
        <v>55.84</v>
      </c>
      <c r="N156">
        <v>3419.67</v>
      </c>
      <c r="O156" t="s">
        <v>58</v>
      </c>
      <c r="P156" t="s">
        <v>55</v>
      </c>
    </row>
    <row r="157" spans="1:16" x14ac:dyDescent="0.35">
      <c r="A157" t="s">
        <v>221</v>
      </c>
      <c r="B157">
        <v>22</v>
      </c>
      <c r="C157" t="s">
        <v>55</v>
      </c>
      <c r="D157" t="s">
        <v>56</v>
      </c>
      <c r="E157" t="s">
        <v>55</v>
      </c>
      <c r="F157">
        <v>45</v>
      </c>
      <c r="G157" t="s">
        <v>56</v>
      </c>
      <c r="H157" t="s">
        <v>55</v>
      </c>
      <c r="I157" t="s">
        <v>29</v>
      </c>
      <c r="J157" t="s">
        <v>12</v>
      </c>
      <c r="K157" t="s">
        <v>55</v>
      </c>
      <c r="L157" t="s">
        <v>26</v>
      </c>
      <c r="M157">
        <v>56.35</v>
      </c>
      <c r="N157">
        <v>2617.6</v>
      </c>
      <c r="O157" t="s">
        <v>69</v>
      </c>
      <c r="P157" t="s">
        <v>55</v>
      </c>
    </row>
    <row r="158" spans="1:16" x14ac:dyDescent="0.35">
      <c r="A158" t="s">
        <v>222</v>
      </c>
      <c r="B158">
        <v>59</v>
      </c>
      <c r="C158" t="s">
        <v>55</v>
      </c>
      <c r="D158" t="s">
        <v>55</v>
      </c>
      <c r="E158" t="s">
        <v>55</v>
      </c>
      <c r="F158">
        <v>49</v>
      </c>
      <c r="G158" t="s">
        <v>55</v>
      </c>
      <c r="H158" t="s">
        <v>60</v>
      </c>
      <c r="I158" t="s">
        <v>30</v>
      </c>
      <c r="J158" t="s">
        <v>12</v>
      </c>
      <c r="K158" t="s">
        <v>56</v>
      </c>
      <c r="L158" t="s">
        <v>61</v>
      </c>
      <c r="M158">
        <v>87.39</v>
      </c>
      <c r="N158">
        <v>4116.8900000000003</v>
      </c>
      <c r="O158" t="s">
        <v>58</v>
      </c>
      <c r="P158" t="s">
        <v>55</v>
      </c>
    </row>
    <row r="159" spans="1:16" x14ac:dyDescent="0.35">
      <c r="A159" t="s">
        <v>223</v>
      </c>
      <c r="B159">
        <v>26</v>
      </c>
      <c r="C159" t="s">
        <v>55</v>
      </c>
      <c r="D159" t="s">
        <v>56</v>
      </c>
      <c r="E159" t="s">
        <v>56</v>
      </c>
      <c r="F159">
        <v>3</v>
      </c>
      <c r="G159" t="s">
        <v>55</v>
      </c>
      <c r="H159" t="s">
        <v>60</v>
      </c>
      <c r="I159" t="s">
        <v>55</v>
      </c>
      <c r="J159" t="s">
        <v>13</v>
      </c>
      <c r="K159" t="s">
        <v>55</v>
      </c>
      <c r="L159" t="s">
        <v>57</v>
      </c>
      <c r="M159">
        <v>27.88</v>
      </c>
      <c r="N159">
        <v>81.11</v>
      </c>
      <c r="O159" t="s">
        <v>76</v>
      </c>
      <c r="P159" t="s">
        <v>55</v>
      </c>
    </row>
    <row r="160" spans="1:16" x14ac:dyDescent="0.35">
      <c r="A160" t="s">
        <v>224</v>
      </c>
      <c r="B160">
        <v>30</v>
      </c>
      <c r="C160" t="s">
        <v>55</v>
      </c>
      <c r="D160" t="s">
        <v>56</v>
      </c>
      <c r="E160" t="s">
        <v>56</v>
      </c>
      <c r="F160">
        <v>54</v>
      </c>
      <c r="G160" t="s">
        <v>56</v>
      </c>
      <c r="H160" t="s">
        <v>56</v>
      </c>
      <c r="I160" t="s">
        <v>29</v>
      </c>
      <c r="J160" t="s">
        <v>12</v>
      </c>
      <c r="K160" t="s">
        <v>56</v>
      </c>
      <c r="L160" t="s">
        <v>57</v>
      </c>
      <c r="M160">
        <v>66.88</v>
      </c>
      <c r="N160">
        <v>3772.83</v>
      </c>
      <c r="O160" t="s">
        <v>80</v>
      </c>
      <c r="P160" t="s">
        <v>56</v>
      </c>
    </row>
    <row r="161" spans="1:16" x14ac:dyDescent="0.35">
      <c r="A161" t="s">
        <v>225</v>
      </c>
      <c r="B161">
        <v>43</v>
      </c>
      <c r="C161" t="s">
        <v>55</v>
      </c>
      <c r="D161" t="s">
        <v>55</v>
      </c>
      <c r="E161" t="s">
        <v>56</v>
      </c>
      <c r="F161">
        <v>70</v>
      </c>
      <c r="G161" t="s">
        <v>56</v>
      </c>
      <c r="H161" t="s">
        <v>56</v>
      </c>
      <c r="I161" t="s">
        <v>30</v>
      </c>
      <c r="J161" t="s">
        <v>14</v>
      </c>
      <c r="K161" t="s">
        <v>56</v>
      </c>
      <c r="L161" t="s">
        <v>61</v>
      </c>
      <c r="M161">
        <v>106.58</v>
      </c>
      <c r="N161">
        <v>7298.47</v>
      </c>
      <c r="O161" t="s">
        <v>69</v>
      </c>
      <c r="P161" t="s">
        <v>55</v>
      </c>
    </row>
    <row r="162" spans="1:16" x14ac:dyDescent="0.35">
      <c r="A162" t="s">
        <v>226</v>
      </c>
      <c r="B162">
        <v>70</v>
      </c>
      <c r="C162" t="s">
        <v>56</v>
      </c>
      <c r="D162" t="s">
        <v>55</v>
      </c>
      <c r="E162" t="s">
        <v>56</v>
      </c>
      <c r="F162">
        <v>39</v>
      </c>
      <c r="G162" t="s">
        <v>56</v>
      </c>
      <c r="H162" t="s">
        <v>55</v>
      </c>
      <c r="I162" t="s">
        <v>55</v>
      </c>
      <c r="J162" t="s">
        <v>12</v>
      </c>
      <c r="K162" t="s">
        <v>56</v>
      </c>
      <c r="L162" t="s">
        <v>61</v>
      </c>
      <c r="M162">
        <v>23.13</v>
      </c>
      <c r="N162">
        <v>901.6</v>
      </c>
      <c r="O162" t="s">
        <v>69</v>
      </c>
      <c r="P162" t="s">
        <v>55</v>
      </c>
    </row>
    <row r="163" spans="1:16" x14ac:dyDescent="0.35">
      <c r="A163" t="s">
        <v>227</v>
      </c>
      <c r="B163">
        <v>60</v>
      </c>
      <c r="C163" t="s">
        <v>56</v>
      </c>
      <c r="D163" t="s">
        <v>55</v>
      </c>
      <c r="E163" t="s">
        <v>55</v>
      </c>
      <c r="F163">
        <v>54</v>
      </c>
      <c r="G163" t="s">
        <v>55</v>
      </c>
      <c r="H163" t="s">
        <v>60</v>
      </c>
      <c r="I163" t="s">
        <v>30</v>
      </c>
      <c r="J163" t="s">
        <v>12</v>
      </c>
      <c r="K163" t="s">
        <v>55</v>
      </c>
      <c r="L163" t="s">
        <v>26</v>
      </c>
      <c r="M163">
        <v>81.27</v>
      </c>
      <c r="N163">
        <v>4576.87</v>
      </c>
      <c r="O163" t="s">
        <v>64</v>
      </c>
      <c r="P163" t="s">
        <v>56</v>
      </c>
    </row>
    <row r="164" spans="1:16" x14ac:dyDescent="0.35">
      <c r="A164" t="s">
        <v>228</v>
      </c>
      <c r="B164">
        <v>21</v>
      </c>
      <c r="C164" t="s">
        <v>55</v>
      </c>
      <c r="D164" t="s">
        <v>55</v>
      </c>
      <c r="E164" t="s">
        <v>55</v>
      </c>
      <c r="F164">
        <v>72</v>
      </c>
      <c r="G164" t="s">
        <v>55</v>
      </c>
      <c r="H164" t="s">
        <v>60</v>
      </c>
      <c r="I164" t="s">
        <v>29</v>
      </c>
      <c r="J164" t="s">
        <v>12</v>
      </c>
      <c r="K164" t="s">
        <v>56</v>
      </c>
      <c r="L164" t="s">
        <v>26</v>
      </c>
      <c r="M164">
        <v>43.16</v>
      </c>
      <c r="N164">
        <v>3088.8</v>
      </c>
      <c r="O164" t="s">
        <v>58</v>
      </c>
      <c r="P164" t="s">
        <v>56</v>
      </c>
    </row>
    <row r="165" spans="1:16" x14ac:dyDescent="0.35">
      <c r="A165" t="s">
        <v>229</v>
      </c>
      <c r="B165">
        <v>64</v>
      </c>
      <c r="C165" t="s">
        <v>56</v>
      </c>
      <c r="D165" t="s">
        <v>56</v>
      </c>
      <c r="E165" t="s">
        <v>56</v>
      </c>
      <c r="F165">
        <v>35</v>
      </c>
      <c r="G165" t="s">
        <v>56</v>
      </c>
      <c r="H165" t="s">
        <v>55</v>
      </c>
      <c r="I165" t="s">
        <v>30</v>
      </c>
      <c r="J165" t="s">
        <v>12</v>
      </c>
      <c r="K165" t="s">
        <v>56</v>
      </c>
      <c r="L165" t="s">
        <v>57</v>
      </c>
      <c r="M165">
        <v>113.47</v>
      </c>
      <c r="N165">
        <v>3891.85</v>
      </c>
      <c r="O165" t="s">
        <v>80</v>
      </c>
      <c r="P165" t="s">
        <v>55</v>
      </c>
    </row>
    <row r="166" spans="1:16" x14ac:dyDescent="0.35">
      <c r="A166" t="s">
        <v>230</v>
      </c>
      <c r="B166">
        <v>31</v>
      </c>
      <c r="C166" t="s">
        <v>55</v>
      </c>
      <c r="D166" t="s">
        <v>56</v>
      </c>
      <c r="E166" t="s">
        <v>56</v>
      </c>
      <c r="F166">
        <v>62</v>
      </c>
      <c r="G166" t="s">
        <v>56</v>
      </c>
      <c r="H166" t="s">
        <v>55</v>
      </c>
      <c r="I166" t="s">
        <v>55</v>
      </c>
      <c r="J166" t="s">
        <v>12</v>
      </c>
      <c r="K166" t="s">
        <v>55</v>
      </c>
      <c r="L166" t="s">
        <v>61</v>
      </c>
      <c r="M166">
        <v>22.57</v>
      </c>
      <c r="N166">
        <v>1404.99</v>
      </c>
      <c r="O166" t="s">
        <v>76</v>
      </c>
      <c r="P166" t="s">
        <v>55</v>
      </c>
    </row>
    <row r="167" spans="1:16" x14ac:dyDescent="0.35">
      <c r="A167" t="s">
        <v>231</v>
      </c>
      <c r="B167">
        <v>41</v>
      </c>
      <c r="C167" t="s">
        <v>55</v>
      </c>
      <c r="D167" t="s">
        <v>55</v>
      </c>
      <c r="E167" t="s">
        <v>55</v>
      </c>
      <c r="F167">
        <v>13</v>
      </c>
      <c r="G167" t="s">
        <v>55</v>
      </c>
      <c r="H167" t="s">
        <v>60</v>
      </c>
      <c r="I167" t="s">
        <v>55</v>
      </c>
      <c r="J167" t="s">
        <v>13</v>
      </c>
      <c r="K167" t="s">
        <v>55</v>
      </c>
      <c r="L167" t="s">
        <v>25</v>
      </c>
      <c r="M167">
        <v>22.45</v>
      </c>
      <c r="N167">
        <v>288.83999999999997</v>
      </c>
      <c r="O167" t="s">
        <v>62</v>
      </c>
      <c r="P167" t="s">
        <v>55</v>
      </c>
    </row>
    <row r="168" spans="1:16" x14ac:dyDescent="0.35">
      <c r="A168" t="s">
        <v>232</v>
      </c>
      <c r="B168">
        <v>65</v>
      </c>
      <c r="C168" t="s">
        <v>56</v>
      </c>
      <c r="D168" t="s">
        <v>56</v>
      </c>
      <c r="E168" t="s">
        <v>56</v>
      </c>
      <c r="F168">
        <v>34</v>
      </c>
      <c r="G168" t="s">
        <v>55</v>
      </c>
      <c r="H168" t="s">
        <v>60</v>
      </c>
      <c r="I168" t="s">
        <v>29</v>
      </c>
      <c r="J168" t="s">
        <v>12</v>
      </c>
      <c r="K168" t="s">
        <v>56</v>
      </c>
      <c r="L168" t="s">
        <v>26</v>
      </c>
      <c r="M168">
        <v>55.19</v>
      </c>
      <c r="N168">
        <v>1951.53</v>
      </c>
      <c r="O168" t="s">
        <v>69</v>
      </c>
      <c r="P168" t="s">
        <v>55</v>
      </c>
    </row>
    <row r="169" spans="1:16" x14ac:dyDescent="0.35">
      <c r="A169" t="s">
        <v>233</v>
      </c>
      <c r="B169">
        <v>61</v>
      </c>
      <c r="C169" t="s">
        <v>56</v>
      </c>
      <c r="D169" t="s">
        <v>55</v>
      </c>
      <c r="E169" t="s">
        <v>55</v>
      </c>
      <c r="F169">
        <v>63</v>
      </c>
      <c r="G169" t="s">
        <v>55</v>
      </c>
      <c r="H169" t="s">
        <v>60</v>
      </c>
      <c r="I169" t="s">
        <v>55</v>
      </c>
      <c r="J169" t="s">
        <v>12</v>
      </c>
      <c r="K169" t="s">
        <v>55</v>
      </c>
      <c r="L169" t="s">
        <v>26</v>
      </c>
      <c r="M169">
        <v>26.64</v>
      </c>
      <c r="N169">
        <v>1675.97</v>
      </c>
      <c r="O169" t="s">
        <v>58</v>
      </c>
      <c r="P169" t="s">
        <v>55</v>
      </c>
    </row>
    <row r="170" spans="1:16" x14ac:dyDescent="0.35">
      <c r="A170" t="s">
        <v>234</v>
      </c>
      <c r="B170">
        <v>59</v>
      </c>
      <c r="C170" t="s">
        <v>55</v>
      </c>
      <c r="D170" t="s">
        <v>56</v>
      </c>
      <c r="E170" t="s">
        <v>56</v>
      </c>
      <c r="F170">
        <v>10</v>
      </c>
      <c r="G170" t="s">
        <v>56</v>
      </c>
      <c r="H170" t="s">
        <v>55</v>
      </c>
      <c r="I170" t="s">
        <v>55</v>
      </c>
      <c r="J170" t="s">
        <v>12</v>
      </c>
      <c r="K170" t="s">
        <v>56</v>
      </c>
      <c r="L170" t="s">
        <v>26</v>
      </c>
      <c r="M170">
        <v>19.809999999999999</v>
      </c>
      <c r="N170">
        <v>191.41</v>
      </c>
      <c r="O170" t="s">
        <v>80</v>
      </c>
      <c r="P170" t="s">
        <v>55</v>
      </c>
    </row>
    <row r="171" spans="1:16" x14ac:dyDescent="0.35">
      <c r="A171" t="s">
        <v>235</v>
      </c>
      <c r="B171">
        <v>57</v>
      </c>
      <c r="C171" t="s">
        <v>55</v>
      </c>
      <c r="D171" t="s">
        <v>55</v>
      </c>
      <c r="E171" t="s">
        <v>55</v>
      </c>
      <c r="F171">
        <v>3</v>
      </c>
      <c r="G171" t="s">
        <v>55</v>
      </c>
      <c r="H171" t="s">
        <v>60</v>
      </c>
      <c r="I171" t="s">
        <v>30</v>
      </c>
      <c r="J171" t="s">
        <v>12</v>
      </c>
      <c r="K171" t="s">
        <v>55</v>
      </c>
      <c r="L171" t="s">
        <v>57</v>
      </c>
      <c r="M171">
        <v>84.33</v>
      </c>
      <c r="N171">
        <v>253.06</v>
      </c>
      <c r="O171" t="s">
        <v>64</v>
      </c>
      <c r="P171" t="s">
        <v>55</v>
      </c>
    </row>
    <row r="172" spans="1:16" x14ac:dyDescent="0.35">
      <c r="A172" t="s">
        <v>236</v>
      </c>
      <c r="B172">
        <v>69</v>
      </c>
      <c r="C172" t="s">
        <v>56</v>
      </c>
      <c r="D172" t="s">
        <v>56</v>
      </c>
      <c r="E172" t="s">
        <v>56</v>
      </c>
      <c r="F172">
        <v>13</v>
      </c>
      <c r="G172" t="s">
        <v>56</v>
      </c>
      <c r="H172" t="s">
        <v>56</v>
      </c>
      <c r="I172" t="s">
        <v>29</v>
      </c>
      <c r="J172" t="s">
        <v>12</v>
      </c>
      <c r="K172" t="s">
        <v>55</v>
      </c>
      <c r="L172" t="s">
        <v>26</v>
      </c>
      <c r="M172">
        <v>55.88</v>
      </c>
      <c r="N172">
        <v>715.37</v>
      </c>
      <c r="O172" t="s">
        <v>58</v>
      </c>
      <c r="P172" t="s">
        <v>55</v>
      </c>
    </row>
    <row r="173" spans="1:16" x14ac:dyDescent="0.35">
      <c r="A173" t="s">
        <v>237</v>
      </c>
      <c r="B173">
        <v>33</v>
      </c>
      <c r="C173" t="s">
        <v>55</v>
      </c>
      <c r="D173" t="s">
        <v>56</v>
      </c>
      <c r="E173" t="s">
        <v>55</v>
      </c>
      <c r="F173">
        <v>11</v>
      </c>
      <c r="G173" t="s">
        <v>56</v>
      </c>
      <c r="H173" t="s">
        <v>56</v>
      </c>
      <c r="I173" t="s">
        <v>29</v>
      </c>
      <c r="J173" t="s">
        <v>12</v>
      </c>
      <c r="K173" t="s">
        <v>55</v>
      </c>
      <c r="L173" t="s">
        <v>26</v>
      </c>
      <c r="M173">
        <v>40.380000000000003</v>
      </c>
      <c r="N173">
        <v>426.66</v>
      </c>
      <c r="O173" t="s">
        <v>64</v>
      </c>
      <c r="P173" t="s">
        <v>55</v>
      </c>
    </row>
    <row r="174" spans="1:16" x14ac:dyDescent="0.35">
      <c r="A174" t="s">
        <v>238</v>
      </c>
      <c r="B174">
        <v>59</v>
      </c>
      <c r="C174" t="s">
        <v>55</v>
      </c>
      <c r="D174" t="s">
        <v>55</v>
      </c>
      <c r="E174" t="s">
        <v>56</v>
      </c>
      <c r="F174">
        <v>68</v>
      </c>
      <c r="G174" t="s">
        <v>56</v>
      </c>
      <c r="H174" t="s">
        <v>56</v>
      </c>
      <c r="I174" t="s">
        <v>55</v>
      </c>
      <c r="J174" t="s">
        <v>14</v>
      </c>
      <c r="K174" t="s">
        <v>55</v>
      </c>
      <c r="L174" t="s">
        <v>26</v>
      </c>
      <c r="M174">
        <v>29.09</v>
      </c>
      <c r="N174">
        <v>2021.9</v>
      </c>
      <c r="O174" t="s">
        <v>58</v>
      </c>
      <c r="P174" t="s">
        <v>55</v>
      </c>
    </row>
    <row r="175" spans="1:16" x14ac:dyDescent="0.35">
      <c r="A175" t="s">
        <v>239</v>
      </c>
      <c r="B175">
        <v>54</v>
      </c>
      <c r="C175" t="s">
        <v>55</v>
      </c>
      <c r="D175" t="s">
        <v>56</v>
      </c>
      <c r="E175" t="s">
        <v>56</v>
      </c>
      <c r="F175">
        <v>41</v>
      </c>
      <c r="G175" t="s">
        <v>56</v>
      </c>
      <c r="H175" t="s">
        <v>55</v>
      </c>
      <c r="I175" t="s">
        <v>30</v>
      </c>
      <c r="J175" t="s">
        <v>13</v>
      </c>
      <c r="K175" t="s">
        <v>55</v>
      </c>
      <c r="L175" t="s">
        <v>25</v>
      </c>
      <c r="M175">
        <v>84.96</v>
      </c>
      <c r="N175">
        <v>3510.09</v>
      </c>
      <c r="O175" t="s">
        <v>66</v>
      </c>
      <c r="P175" t="s">
        <v>55</v>
      </c>
    </row>
    <row r="176" spans="1:16" x14ac:dyDescent="0.35">
      <c r="A176" t="s">
        <v>240</v>
      </c>
      <c r="B176">
        <v>42</v>
      </c>
      <c r="C176" t="s">
        <v>55</v>
      </c>
      <c r="D176" t="s">
        <v>55</v>
      </c>
      <c r="E176" t="s">
        <v>55</v>
      </c>
      <c r="F176">
        <v>18</v>
      </c>
      <c r="G176" t="s">
        <v>56</v>
      </c>
      <c r="H176" t="s">
        <v>55</v>
      </c>
      <c r="I176" t="s">
        <v>29</v>
      </c>
      <c r="J176" t="s">
        <v>14</v>
      </c>
      <c r="K176" t="s">
        <v>56</v>
      </c>
      <c r="L176" t="s">
        <v>26</v>
      </c>
      <c r="M176">
        <v>49.29</v>
      </c>
      <c r="N176">
        <v>842.08</v>
      </c>
      <c r="O176" t="s">
        <v>58</v>
      </c>
      <c r="P176" t="s">
        <v>55</v>
      </c>
    </row>
    <row r="177" spans="1:16" x14ac:dyDescent="0.35">
      <c r="A177" t="s">
        <v>241</v>
      </c>
      <c r="B177">
        <v>56</v>
      </c>
      <c r="C177" t="s">
        <v>55</v>
      </c>
      <c r="D177" t="s">
        <v>55</v>
      </c>
      <c r="E177" t="s">
        <v>55</v>
      </c>
      <c r="F177">
        <v>4</v>
      </c>
      <c r="G177" t="s">
        <v>55</v>
      </c>
      <c r="H177" t="s">
        <v>60</v>
      </c>
      <c r="I177" t="s">
        <v>29</v>
      </c>
      <c r="J177" t="s">
        <v>12</v>
      </c>
      <c r="K177" t="s">
        <v>55</v>
      </c>
      <c r="L177" t="s">
        <v>57</v>
      </c>
      <c r="M177">
        <v>55.02</v>
      </c>
      <c r="N177">
        <v>211.78</v>
      </c>
      <c r="O177" t="s">
        <v>64</v>
      </c>
      <c r="P177" t="s">
        <v>55</v>
      </c>
    </row>
    <row r="178" spans="1:16" x14ac:dyDescent="0.35">
      <c r="A178" t="s">
        <v>242</v>
      </c>
      <c r="B178">
        <v>23</v>
      </c>
      <c r="C178" t="s">
        <v>55</v>
      </c>
      <c r="D178" t="s">
        <v>55</v>
      </c>
      <c r="E178" t="s">
        <v>56</v>
      </c>
      <c r="F178">
        <v>10</v>
      </c>
      <c r="G178" t="s">
        <v>56</v>
      </c>
      <c r="H178" t="s">
        <v>55</v>
      </c>
      <c r="I178" t="s">
        <v>30</v>
      </c>
      <c r="J178" t="s">
        <v>13</v>
      </c>
      <c r="K178" t="s">
        <v>56</v>
      </c>
      <c r="L178" t="s">
        <v>61</v>
      </c>
      <c r="M178">
        <v>85.83</v>
      </c>
      <c r="N178">
        <v>817.78</v>
      </c>
      <c r="O178" t="s">
        <v>76</v>
      </c>
      <c r="P178" t="s">
        <v>56</v>
      </c>
    </row>
    <row r="179" spans="1:16" x14ac:dyDescent="0.35">
      <c r="A179" t="s">
        <v>243</v>
      </c>
      <c r="B179">
        <v>46</v>
      </c>
      <c r="C179" t="s">
        <v>55</v>
      </c>
      <c r="D179" t="s">
        <v>55</v>
      </c>
      <c r="E179" t="s">
        <v>55</v>
      </c>
      <c r="F179">
        <v>14</v>
      </c>
      <c r="G179" t="s">
        <v>56</v>
      </c>
      <c r="H179" t="s">
        <v>55</v>
      </c>
      <c r="I179" t="s">
        <v>30</v>
      </c>
      <c r="J179" t="s">
        <v>13</v>
      </c>
      <c r="K179" t="s">
        <v>55</v>
      </c>
      <c r="L179" t="s">
        <v>26</v>
      </c>
      <c r="M179">
        <v>74.48</v>
      </c>
      <c r="N179">
        <v>1049.5</v>
      </c>
      <c r="O179" t="s">
        <v>66</v>
      </c>
      <c r="P179" t="s">
        <v>55</v>
      </c>
    </row>
    <row r="180" spans="1:16" x14ac:dyDescent="0.35">
      <c r="A180" t="s">
        <v>244</v>
      </c>
      <c r="B180">
        <v>38</v>
      </c>
      <c r="C180" t="s">
        <v>55</v>
      </c>
      <c r="D180" t="s">
        <v>55</v>
      </c>
      <c r="E180" t="s">
        <v>56</v>
      </c>
      <c r="F180">
        <v>38</v>
      </c>
      <c r="G180" t="s">
        <v>56</v>
      </c>
      <c r="H180" t="s">
        <v>55</v>
      </c>
      <c r="I180" t="s">
        <v>30</v>
      </c>
      <c r="J180" t="s">
        <v>13</v>
      </c>
      <c r="K180" t="s">
        <v>56</v>
      </c>
      <c r="L180" t="s">
        <v>57</v>
      </c>
      <c r="M180">
        <v>78.48</v>
      </c>
      <c r="N180">
        <v>2939.56</v>
      </c>
      <c r="O180" t="s">
        <v>76</v>
      </c>
      <c r="P180" t="s">
        <v>56</v>
      </c>
    </row>
    <row r="181" spans="1:16" x14ac:dyDescent="0.35">
      <c r="A181" t="s">
        <v>245</v>
      </c>
      <c r="B181">
        <v>35</v>
      </c>
      <c r="C181" t="s">
        <v>55</v>
      </c>
      <c r="D181" t="s">
        <v>55</v>
      </c>
      <c r="E181" t="s">
        <v>56</v>
      </c>
      <c r="F181">
        <v>9</v>
      </c>
      <c r="G181" t="s">
        <v>55</v>
      </c>
      <c r="H181" t="s">
        <v>60</v>
      </c>
      <c r="I181" t="s">
        <v>30</v>
      </c>
      <c r="J181" t="s">
        <v>12</v>
      </c>
      <c r="K181" t="s">
        <v>55</v>
      </c>
      <c r="L181" t="s">
        <v>61</v>
      </c>
      <c r="M181">
        <v>88.06</v>
      </c>
      <c r="N181">
        <v>834.79</v>
      </c>
      <c r="O181" t="s">
        <v>64</v>
      </c>
      <c r="P181" t="s">
        <v>55</v>
      </c>
    </row>
    <row r="182" spans="1:16" x14ac:dyDescent="0.35">
      <c r="A182" t="s">
        <v>246</v>
      </c>
      <c r="B182">
        <v>56</v>
      </c>
      <c r="C182" t="s">
        <v>55</v>
      </c>
      <c r="D182" t="s">
        <v>56</v>
      </c>
      <c r="E182" t="s">
        <v>55</v>
      </c>
      <c r="F182">
        <v>14</v>
      </c>
      <c r="G182" t="s">
        <v>56</v>
      </c>
      <c r="H182" t="s">
        <v>55</v>
      </c>
      <c r="I182" t="s">
        <v>30</v>
      </c>
      <c r="J182" t="s">
        <v>12</v>
      </c>
      <c r="K182" t="s">
        <v>55</v>
      </c>
      <c r="L182" t="s">
        <v>61</v>
      </c>
      <c r="M182">
        <v>86.48</v>
      </c>
      <c r="N182">
        <v>1186.71</v>
      </c>
      <c r="O182" t="s">
        <v>66</v>
      </c>
      <c r="P182" t="s">
        <v>55</v>
      </c>
    </row>
    <row r="183" spans="1:16" x14ac:dyDescent="0.35">
      <c r="A183" t="s">
        <v>247</v>
      </c>
      <c r="B183">
        <v>59</v>
      </c>
      <c r="C183" t="s">
        <v>55</v>
      </c>
      <c r="D183" t="s">
        <v>56</v>
      </c>
      <c r="E183" t="s">
        <v>55</v>
      </c>
      <c r="F183">
        <v>42</v>
      </c>
      <c r="G183" t="s">
        <v>56</v>
      </c>
      <c r="H183" t="s">
        <v>55</v>
      </c>
      <c r="I183" t="s">
        <v>29</v>
      </c>
      <c r="J183" t="s">
        <v>12</v>
      </c>
      <c r="K183" t="s">
        <v>55</v>
      </c>
      <c r="L183" t="s">
        <v>25</v>
      </c>
      <c r="M183">
        <v>51.66</v>
      </c>
      <c r="N183">
        <v>2220.48</v>
      </c>
      <c r="O183" t="s">
        <v>58</v>
      </c>
      <c r="P183" t="s">
        <v>55</v>
      </c>
    </row>
    <row r="184" spans="1:16" x14ac:dyDescent="0.35">
      <c r="A184" t="s">
        <v>248</v>
      </c>
      <c r="B184">
        <v>68</v>
      </c>
      <c r="C184" t="s">
        <v>56</v>
      </c>
      <c r="D184" t="s">
        <v>56</v>
      </c>
      <c r="E184" t="s">
        <v>55</v>
      </c>
      <c r="F184">
        <v>49</v>
      </c>
      <c r="G184" t="s">
        <v>55</v>
      </c>
      <c r="H184" t="s">
        <v>60</v>
      </c>
      <c r="I184" t="s">
        <v>30</v>
      </c>
      <c r="J184" t="s">
        <v>12</v>
      </c>
      <c r="K184" t="s">
        <v>56</v>
      </c>
      <c r="L184" t="s">
        <v>57</v>
      </c>
      <c r="M184">
        <v>97.28</v>
      </c>
      <c r="N184">
        <v>4870.66</v>
      </c>
      <c r="O184" t="s">
        <v>69</v>
      </c>
      <c r="P184" t="s">
        <v>55</v>
      </c>
    </row>
    <row r="185" spans="1:16" x14ac:dyDescent="0.35">
      <c r="A185" t="s">
        <v>249</v>
      </c>
      <c r="B185">
        <v>47</v>
      </c>
      <c r="C185" t="s">
        <v>55</v>
      </c>
      <c r="D185" t="s">
        <v>56</v>
      </c>
      <c r="E185" t="s">
        <v>55</v>
      </c>
      <c r="F185">
        <v>38</v>
      </c>
      <c r="G185" t="s">
        <v>56</v>
      </c>
      <c r="H185" t="s">
        <v>55</v>
      </c>
      <c r="I185" t="s">
        <v>55</v>
      </c>
      <c r="J185" t="s">
        <v>13</v>
      </c>
      <c r="K185" t="s">
        <v>55</v>
      </c>
      <c r="L185" t="s">
        <v>61</v>
      </c>
      <c r="M185">
        <v>19.670000000000002</v>
      </c>
      <c r="N185">
        <v>729.78</v>
      </c>
      <c r="O185" t="s">
        <v>62</v>
      </c>
      <c r="P185" t="s">
        <v>55</v>
      </c>
    </row>
    <row r="186" spans="1:16" x14ac:dyDescent="0.35">
      <c r="A186" t="s">
        <v>250</v>
      </c>
      <c r="B186">
        <v>63</v>
      </c>
      <c r="C186" t="s">
        <v>56</v>
      </c>
      <c r="D186" t="s">
        <v>55</v>
      </c>
      <c r="E186" t="s">
        <v>55</v>
      </c>
      <c r="F186">
        <v>10</v>
      </c>
      <c r="G186" t="s">
        <v>55</v>
      </c>
      <c r="H186" t="s">
        <v>60</v>
      </c>
      <c r="I186" t="s">
        <v>30</v>
      </c>
      <c r="J186" t="s">
        <v>13</v>
      </c>
      <c r="K186" t="s">
        <v>55</v>
      </c>
      <c r="L186" t="s">
        <v>57</v>
      </c>
      <c r="M186">
        <v>109.54</v>
      </c>
      <c r="N186">
        <v>1076.94</v>
      </c>
      <c r="O186" t="s">
        <v>58</v>
      </c>
      <c r="P186" t="s">
        <v>55</v>
      </c>
    </row>
    <row r="187" spans="1:16" x14ac:dyDescent="0.35">
      <c r="A187" t="s">
        <v>251</v>
      </c>
      <c r="B187">
        <v>56</v>
      </c>
      <c r="C187" t="s">
        <v>55</v>
      </c>
      <c r="D187" t="s">
        <v>56</v>
      </c>
      <c r="E187" t="s">
        <v>56</v>
      </c>
      <c r="F187">
        <v>32</v>
      </c>
      <c r="G187" t="s">
        <v>55</v>
      </c>
      <c r="H187" t="s">
        <v>60</v>
      </c>
      <c r="I187" t="s">
        <v>29</v>
      </c>
      <c r="J187" t="s">
        <v>12</v>
      </c>
      <c r="K187" t="s">
        <v>56</v>
      </c>
      <c r="L187" t="s">
        <v>57</v>
      </c>
      <c r="M187">
        <v>65.8</v>
      </c>
      <c r="N187">
        <v>2142.6799999999998</v>
      </c>
      <c r="O187" t="s">
        <v>76</v>
      </c>
      <c r="P187" t="s">
        <v>55</v>
      </c>
    </row>
    <row r="188" spans="1:16" x14ac:dyDescent="0.35">
      <c r="A188" t="s">
        <v>252</v>
      </c>
      <c r="B188">
        <v>68</v>
      </c>
      <c r="C188" t="s">
        <v>56</v>
      </c>
      <c r="D188" t="s">
        <v>55</v>
      </c>
      <c r="E188" t="s">
        <v>56</v>
      </c>
      <c r="F188">
        <v>2</v>
      </c>
      <c r="G188" t="s">
        <v>56</v>
      </c>
      <c r="H188" t="s">
        <v>55</v>
      </c>
      <c r="I188" t="s">
        <v>30</v>
      </c>
      <c r="J188" t="s">
        <v>12</v>
      </c>
      <c r="K188" t="s">
        <v>56</v>
      </c>
      <c r="L188" t="s">
        <v>57</v>
      </c>
      <c r="M188">
        <v>89.56</v>
      </c>
      <c r="N188">
        <v>184.97</v>
      </c>
      <c r="O188" t="s">
        <v>58</v>
      </c>
      <c r="P188" t="s">
        <v>55</v>
      </c>
    </row>
    <row r="189" spans="1:16" x14ac:dyDescent="0.35">
      <c r="A189" t="s">
        <v>253</v>
      </c>
      <c r="B189">
        <v>27</v>
      </c>
      <c r="C189" t="s">
        <v>55</v>
      </c>
      <c r="D189" t="s">
        <v>55</v>
      </c>
      <c r="E189" t="s">
        <v>56</v>
      </c>
      <c r="F189">
        <v>62</v>
      </c>
      <c r="G189" t="s">
        <v>55</v>
      </c>
      <c r="H189" t="s">
        <v>60</v>
      </c>
      <c r="I189" t="s">
        <v>30</v>
      </c>
      <c r="J189" t="s">
        <v>14</v>
      </c>
      <c r="K189" t="s">
        <v>56</v>
      </c>
      <c r="L189" t="s">
        <v>26</v>
      </c>
      <c r="M189">
        <v>117.03</v>
      </c>
      <c r="N189">
        <v>6943.87</v>
      </c>
      <c r="O189" t="s">
        <v>64</v>
      </c>
      <c r="P189" t="s">
        <v>55</v>
      </c>
    </row>
    <row r="190" spans="1:16" x14ac:dyDescent="0.35">
      <c r="A190" t="s">
        <v>254</v>
      </c>
      <c r="B190">
        <v>68</v>
      </c>
      <c r="C190" t="s">
        <v>56</v>
      </c>
      <c r="D190" t="s">
        <v>56</v>
      </c>
      <c r="E190" t="s">
        <v>55</v>
      </c>
      <c r="F190">
        <v>45</v>
      </c>
      <c r="G190" t="s">
        <v>55</v>
      </c>
      <c r="H190" t="s">
        <v>60</v>
      </c>
      <c r="I190" t="s">
        <v>29</v>
      </c>
      <c r="J190" t="s">
        <v>13</v>
      </c>
      <c r="K190" t="s">
        <v>55</v>
      </c>
      <c r="L190" t="s">
        <v>26</v>
      </c>
      <c r="M190">
        <v>52.01</v>
      </c>
      <c r="N190">
        <v>2427.5700000000002</v>
      </c>
      <c r="O190" t="s">
        <v>66</v>
      </c>
      <c r="P190" t="s">
        <v>56</v>
      </c>
    </row>
    <row r="191" spans="1:16" x14ac:dyDescent="0.35">
      <c r="A191" t="s">
        <v>255</v>
      </c>
      <c r="B191">
        <v>39</v>
      </c>
      <c r="C191" t="s">
        <v>55</v>
      </c>
      <c r="D191" t="s">
        <v>56</v>
      </c>
      <c r="E191" t="s">
        <v>56</v>
      </c>
      <c r="F191">
        <v>32</v>
      </c>
      <c r="G191" t="s">
        <v>56</v>
      </c>
      <c r="H191" t="s">
        <v>56</v>
      </c>
      <c r="I191" t="s">
        <v>29</v>
      </c>
      <c r="J191" t="s">
        <v>12</v>
      </c>
      <c r="K191" t="s">
        <v>55</v>
      </c>
      <c r="L191" t="s">
        <v>26</v>
      </c>
      <c r="M191">
        <v>56.2</v>
      </c>
      <c r="N191">
        <v>1730.3</v>
      </c>
      <c r="O191" t="s">
        <v>64</v>
      </c>
      <c r="P191" t="s">
        <v>55</v>
      </c>
    </row>
    <row r="192" spans="1:16" x14ac:dyDescent="0.35">
      <c r="A192" t="s">
        <v>256</v>
      </c>
      <c r="B192">
        <v>43</v>
      </c>
      <c r="C192" t="s">
        <v>55</v>
      </c>
      <c r="D192" t="s">
        <v>56</v>
      </c>
      <c r="E192" t="s">
        <v>56</v>
      </c>
      <c r="F192">
        <v>58</v>
      </c>
      <c r="G192" t="s">
        <v>55</v>
      </c>
      <c r="H192" t="s">
        <v>60</v>
      </c>
      <c r="I192" t="s">
        <v>29</v>
      </c>
      <c r="J192" t="s">
        <v>12</v>
      </c>
      <c r="K192" t="s">
        <v>56</v>
      </c>
      <c r="L192" t="s">
        <v>26</v>
      </c>
      <c r="M192">
        <v>70.09</v>
      </c>
      <c r="N192">
        <v>4215.83</v>
      </c>
      <c r="O192" t="s">
        <v>80</v>
      </c>
      <c r="P192" t="s">
        <v>56</v>
      </c>
    </row>
    <row r="193" spans="1:16" x14ac:dyDescent="0.35">
      <c r="A193" t="s">
        <v>257</v>
      </c>
      <c r="B193">
        <v>69</v>
      </c>
      <c r="C193" t="s">
        <v>56</v>
      </c>
      <c r="D193" t="s">
        <v>56</v>
      </c>
      <c r="E193" t="s">
        <v>55</v>
      </c>
      <c r="F193">
        <v>42</v>
      </c>
      <c r="G193" t="s">
        <v>56</v>
      </c>
      <c r="H193" t="s">
        <v>56</v>
      </c>
      <c r="I193" t="s">
        <v>30</v>
      </c>
      <c r="J193" t="s">
        <v>14</v>
      </c>
      <c r="K193" t="s">
        <v>55</v>
      </c>
      <c r="L193" t="s">
        <v>57</v>
      </c>
      <c r="M193">
        <v>100.57</v>
      </c>
      <c r="N193">
        <v>4268.04</v>
      </c>
      <c r="O193" t="s">
        <v>66</v>
      </c>
      <c r="P193" t="s">
        <v>55</v>
      </c>
    </row>
    <row r="194" spans="1:16" x14ac:dyDescent="0.35">
      <c r="A194" t="s">
        <v>258</v>
      </c>
      <c r="B194">
        <v>47</v>
      </c>
      <c r="C194" t="s">
        <v>55</v>
      </c>
      <c r="D194" t="s">
        <v>56</v>
      </c>
      <c r="E194" t="s">
        <v>55</v>
      </c>
      <c r="F194">
        <v>11</v>
      </c>
      <c r="G194" t="s">
        <v>55</v>
      </c>
      <c r="H194" t="s">
        <v>60</v>
      </c>
      <c r="I194" t="s">
        <v>29</v>
      </c>
      <c r="J194" t="s">
        <v>12</v>
      </c>
      <c r="K194" t="s">
        <v>55</v>
      </c>
      <c r="L194" t="s">
        <v>26</v>
      </c>
      <c r="M194">
        <v>54.93</v>
      </c>
      <c r="N194">
        <v>578.23</v>
      </c>
      <c r="O194" t="s">
        <v>58</v>
      </c>
      <c r="P194" t="s">
        <v>56</v>
      </c>
    </row>
    <row r="195" spans="1:16" x14ac:dyDescent="0.35">
      <c r="A195" t="s">
        <v>259</v>
      </c>
      <c r="B195">
        <v>26</v>
      </c>
      <c r="C195" t="s">
        <v>55</v>
      </c>
      <c r="D195" t="s">
        <v>55</v>
      </c>
      <c r="E195" t="s">
        <v>55</v>
      </c>
      <c r="F195">
        <v>24</v>
      </c>
      <c r="G195" t="s">
        <v>56</v>
      </c>
      <c r="H195" t="s">
        <v>55</v>
      </c>
      <c r="I195" t="s">
        <v>29</v>
      </c>
      <c r="J195" t="s">
        <v>12</v>
      </c>
      <c r="K195" t="s">
        <v>56</v>
      </c>
      <c r="L195" t="s">
        <v>26</v>
      </c>
      <c r="M195">
        <v>73.680000000000007</v>
      </c>
      <c r="N195">
        <v>1793.66</v>
      </c>
      <c r="O195" t="s">
        <v>80</v>
      </c>
      <c r="P195" t="s">
        <v>55</v>
      </c>
    </row>
    <row r="196" spans="1:16" x14ac:dyDescent="0.35">
      <c r="A196" t="s">
        <v>260</v>
      </c>
      <c r="B196">
        <v>49</v>
      </c>
      <c r="C196" t="s">
        <v>55</v>
      </c>
      <c r="D196" t="s">
        <v>56</v>
      </c>
      <c r="E196" t="s">
        <v>56</v>
      </c>
      <c r="F196">
        <v>50</v>
      </c>
      <c r="G196" t="s">
        <v>55</v>
      </c>
      <c r="H196" t="s">
        <v>60</v>
      </c>
      <c r="I196" t="s">
        <v>55</v>
      </c>
      <c r="J196" t="s">
        <v>12</v>
      </c>
      <c r="K196" t="s">
        <v>55</v>
      </c>
      <c r="L196" t="s">
        <v>57</v>
      </c>
      <c r="M196">
        <v>28.08</v>
      </c>
      <c r="N196">
        <v>1402.1</v>
      </c>
      <c r="O196" t="s">
        <v>80</v>
      </c>
      <c r="P196" t="s">
        <v>56</v>
      </c>
    </row>
    <row r="197" spans="1:16" x14ac:dyDescent="0.35">
      <c r="A197" t="s">
        <v>261</v>
      </c>
      <c r="B197">
        <v>68</v>
      </c>
      <c r="C197" t="s">
        <v>56</v>
      </c>
      <c r="D197" t="s">
        <v>56</v>
      </c>
      <c r="E197" t="s">
        <v>55</v>
      </c>
      <c r="F197">
        <v>5</v>
      </c>
      <c r="G197" t="s">
        <v>55</v>
      </c>
      <c r="H197" t="s">
        <v>60</v>
      </c>
      <c r="I197" t="s">
        <v>30</v>
      </c>
      <c r="J197" t="s">
        <v>12</v>
      </c>
      <c r="K197" t="s">
        <v>55</v>
      </c>
      <c r="L197" t="s">
        <v>57</v>
      </c>
      <c r="M197">
        <v>108.63</v>
      </c>
      <c r="N197">
        <v>542.84</v>
      </c>
      <c r="O197" t="s">
        <v>58</v>
      </c>
      <c r="P197" t="s">
        <v>56</v>
      </c>
    </row>
    <row r="198" spans="1:16" x14ac:dyDescent="0.35">
      <c r="A198" t="s">
        <v>262</v>
      </c>
      <c r="B198">
        <v>25</v>
      </c>
      <c r="C198" t="s">
        <v>55</v>
      </c>
      <c r="D198" t="s">
        <v>55</v>
      </c>
      <c r="E198" t="s">
        <v>55</v>
      </c>
      <c r="F198">
        <v>70</v>
      </c>
      <c r="G198" t="s">
        <v>56</v>
      </c>
      <c r="H198" t="s">
        <v>55</v>
      </c>
      <c r="I198" t="s">
        <v>55</v>
      </c>
      <c r="J198" t="s">
        <v>12</v>
      </c>
      <c r="K198" t="s">
        <v>56</v>
      </c>
      <c r="L198" t="s">
        <v>25</v>
      </c>
      <c r="M198">
        <v>19.23</v>
      </c>
      <c r="N198">
        <v>1399.42</v>
      </c>
      <c r="O198" t="s">
        <v>76</v>
      </c>
      <c r="P198" t="s">
        <v>55</v>
      </c>
    </row>
    <row r="199" spans="1:16" x14ac:dyDescent="0.35">
      <c r="A199" t="s">
        <v>263</v>
      </c>
      <c r="B199">
        <v>73</v>
      </c>
      <c r="C199" t="s">
        <v>56</v>
      </c>
      <c r="D199" t="s">
        <v>56</v>
      </c>
      <c r="E199" t="s">
        <v>55</v>
      </c>
      <c r="F199">
        <v>34</v>
      </c>
      <c r="G199" t="s">
        <v>56</v>
      </c>
      <c r="H199" t="s">
        <v>55</v>
      </c>
      <c r="I199" t="s">
        <v>30</v>
      </c>
      <c r="J199" t="s">
        <v>14</v>
      </c>
      <c r="K199" t="s">
        <v>56</v>
      </c>
      <c r="L199" t="s">
        <v>26</v>
      </c>
      <c r="M199">
        <v>106.88</v>
      </c>
      <c r="N199">
        <v>3716.4</v>
      </c>
      <c r="O199" t="s">
        <v>58</v>
      </c>
      <c r="P199" t="s">
        <v>55</v>
      </c>
    </row>
    <row r="200" spans="1:16" x14ac:dyDescent="0.35">
      <c r="A200" t="s">
        <v>264</v>
      </c>
      <c r="B200">
        <v>58</v>
      </c>
      <c r="C200" t="s">
        <v>55</v>
      </c>
      <c r="D200" t="s">
        <v>55</v>
      </c>
      <c r="E200" t="s">
        <v>56</v>
      </c>
      <c r="F200">
        <v>18</v>
      </c>
      <c r="G200" t="s">
        <v>56</v>
      </c>
      <c r="H200" t="s">
        <v>55</v>
      </c>
      <c r="I200" t="s">
        <v>29</v>
      </c>
      <c r="J200" t="s">
        <v>13</v>
      </c>
      <c r="K200" t="s">
        <v>55</v>
      </c>
      <c r="L200" t="s">
        <v>57</v>
      </c>
      <c r="M200">
        <v>46.74</v>
      </c>
      <c r="N200">
        <v>889.68</v>
      </c>
      <c r="O200" t="s">
        <v>58</v>
      </c>
      <c r="P200" t="s">
        <v>55</v>
      </c>
    </row>
    <row r="201" spans="1:16" x14ac:dyDescent="0.35">
      <c r="A201" t="s">
        <v>265</v>
      </c>
      <c r="B201">
        <v>35</v>
      </c>
      <c r="C201" t="s">
        <v>55</v>
      </c>
      <c r="D201" t="s">
        <v>56</v>
      </c>
      <c r="E201" t="s">
        <v>56</v>
      </c>
      <c r="F201">
        <v>53</v>
      </c>
      <c r="G201" t="s">
        <v>55</v>
      </c>
      <c r="H201" t="s">
        <v>60</v>
      </c>
      <c r="I201" t="s">
        <v>55</v>
      </c>
      <c r="J201" t="s">
        <v>14</v>
      </c>
      <c r="K201" t="s">
        <v>56</v>
      </c>
      <c r="L201" t="s">
        <v>61</v>
      </c>
      <c r="M201">
        <v>19.59</v>
      </c>
      <c r="N201">
        <v>994.19</v>
      </c>
      <c r="O201" t="s">
        <v>62</v>
      </c>
      <c r="P201" t="s">
        <v>55</v>
      </c>
    </row>
    <row r="202" spans="1:16" x14ac:dyDescent="0.35">
      <c r="A202" t="s">
        <v>266</v>
      </c>
      <c r="B202">
        <v>66</v>
      </c>
      <c r="C202" t="s">
        <v>56</v>
      </c>
      <c r="D202" t="s">
        <v>55</v>
      </c>
      <c r="E202" t="s">
        <v>55</v>
      </c>
      <c r="F202">
        <v>19</v>
      </c>
      <c r="G202" t="s">
        <v>55</v>
      </c>
      <c r="H202" t="s">
        <v>60</v>
      </c>
      <c r="I202" t="s">
        <v>29</v>
      </c>
      <c r="J202" t="s">
        <v>13</v>
      </c>
      <c r="K202" t="s">
        <v>55</v>
      </c>
      <c r="L202" t="s">
        <v>57</v>
      </c>
      <c r="M202">
        <v>65.349999999999994</v>
      </c>
      <c r="N202">
        <v>1298.29</v>
      </c>
      <c r="O202" t="s">
        <v>58</v>
      </c>
      <c r="P202" t="s">
        <v>56</v>
      </c>
    </row>
    <row r="203" spans="1:16" x14ac:dyDescent="0.35">
      <c r="A203" t="s">
        <v>267</v>
      </c>
      <c r="B203">
        <v>65</v>
      </c>
      <c r="C203" t="s">
        <v>56</v>
      </c>
      <c r="D203" t="s">
        <v>55</v>
      </c>
      <c r="E203" t="s">
        <v>55</v>
      </c>
      <c r="F203">
        <v>59</v>
      </c>
      <c r="G203" t="s">
        <v>55</v>
      </c>
      <c r="H203" t="s">
        <v>60</v>
      </c>
      <c r="I203" t="s">
        <v>55</v>
      </c>
      <c r="J203" t="s">
        <v>13</v>
      </c>
      <c r="K203" t="s">
        <v>56</v>
      </c>
      <c r="L203" t="s">
        <v>61</v>
      </c>
      <c r="M203">
        <v>23.5</v>
      </c>
      <c r="N203">
        <v>1413.81</v>
      </c>
      <c r="O203" t="s">
        <v>80</v>
      </c>
      <c r="P203" t="s">
        <v>55</v>
      </c>
    </row>
    <row r="204" spans="1:16" x14ac:dyDescent="0.35">
      <c r="A204" t="s">
        <v>268</v>
      </c>
      <c r="B204">
        <v>68</v>
      </c>
      <c r="C204" t="s">
        <v>56</v>
      </c>
      <c r="D204" t="s">
        <v>55</v>
      </c>
      <c r="E204" t="s">
        <v>56</v>
      </c>
      <c r="F204">
        <v>55</v>
      </c>
      <c r="G204" t="s">
        <v>55</v>
      </c>
      <c r="H204" t="s">
        <v>60</v>
      </c>
      <c r="I204" t="s">
        <v>55</v>
      </c>
      <c r="J204" t="s">
        <v>12</v>
      </c>
      <c r="K204" t="s">
        <v>55</v>
      </c>
      <c r="L204" t="s">
        <v>26</v>
      </c>
      <c r="M204">
        <v>24.94</v>
      </c>
      <c r="N204">
        <v>1382.59</v>
      </c>
      <c r="O204" t="s">
        <v>76</v>
      </c>
      <c r="P204" t="s">
        <v>55</v>
      </c>
    </row>
    <row r="205" spans="1:16" x14ac:dyDescent="0.35">
      <c r="A205" t="s">
        <v>269</v>
      </c>
      <c r="B205">
        <v>75</v>
      </c>
      <c r="C205" t="s">
        <v>56</v>
      </c>
      <c r="D205" t="s">
        <v>56</v>
      </c>
      <c r="E205" t="s">
        <v>56</v>
      </c>
      <c r="F205">
        <v>13</v>
      </c>
      <c r="G205" t="s">
        <v>55</v>
      </c>
      <c r="H205" t="s">
        <v>60</v>
      </c>
      <c r="I205" t="s">
        <v>29</v>
      </c>
      <c r="J205" t="s">
        <v>12</v>
      </c>
      <c r="K205" t="s">
        <v>56</v>
      </c>
      <c r="L205" t="s">
        <v>57</v>
      </c>
      <c r="M205">
        <v>40.03</v>
      </c>
      <c r="N205">
        <v>548.99</v>
      </c>
      <c r="O205" t="s">
        <v>69</v>
      </c>
      <c r="P205" t="s">
        <v>56</v>
      </c>
    </row>
    <row r="206" spans="1:16" x14ac:dyDescent="0.35">
      <c r="A206" t="s">
        <v>270</v>
      </c>
      <c r="B206">
        <v>26</v>
      </c>
      <c r="C206" t="s">
        <v>55</v>
      </c>
      <c r="D206" t="s">
        <v>55</v>
      </c>
      <c r="E206" t="s">
        <v>56</v>
      </c>
      <c r="F206">
        <v>36</v>
      </c>
      <c r="G206" t="s">
        <v>55</v>
      </c>
      <c r="H206" t="s">
        <v>60</v>
      </c>
      <c r="I206" t="s">
        <v>30</v>
      </c>
      <c r="J206" t="s">
        <v>12</v>
      </c>
      <c r="K206" t="s">
        <v>55</v>
      </c>
      <c r="L206" t="s">
        <v>61</v>
      </c>
      <c r="M206">
        <v>102.45</v>
      </c>
      <c r="N206">
        <v>3489.83</v>
      </c>
      <c r="O206" t="s">
        <v>69</v>
      </c>
      <c r="P206" t="s">
        <v>55</v>
      </c>
    </row>
    <row r="207" spans="1:16" x14ac:dyDescent="0.35">
      <c r="A207" t="s">
        <v>271</v>
      </c>
      <c r="B207">
        <v>62</v>
      </c>
      <c r="C207" t="s">
        <v>56</v>
      </c>
      <c r="D207" t="s">
        <v>56</v>
      </c>
      <c r="E207" t="s">
        <v>55</v>
      </c>
      <c r="F207">
        <v>12</v>
      </c>
      <c r="G207" t="s">
        <v>56</v>
      </c>
      <c r="H207" t="s">
        <v>56</v>
      </c>
      <c r="I207" t="s">
        <v>29</v>
      </c>
      <c r="J207" t="s">
        <v>12</v>
      </c>
      <c r="K207" t="s">
        <v>56</v>
      </c>
      <c r="L207" t="s">
        <v>57</v>
      </c>
      <c r="M207">
        <v>57.8</v>
      </c>
      <c r="N207">
        <v>652.66</v>
      </c>
      <c r="O207" t="s">
        <v>80</v>
      </c>
      <c r="P207" t="s">
        <v>56</v>
      </c>
    </row>
    <row r="208" spans="1:16" x14ac:dyDescent="0.35">
      <c r="A208" t="s">
        <v>272</v>
      </c>
      <c r="B208">
        <v>73</v>
      </c>
      <c r="C208" t="s">
        <v>56</v>
      </c>
      <c r="D208" t="s">
        <v>55</v>
      </c>
      <c r="E208" t="s">
        <v>56</v>
      </c>
      <c r="F208">
        <v>62</v>
      </c>
      <c r="G208" t="s">
        <v>55</v>
      </c>
      <c r="H208" t="s">
        <v>60</v>
      </c>
      <c r="I208" t="s">
        <v>30</v>
      </c>
      <c r="J208" t="s">
        <v>12</v>
      </c>
      <c r="K208" t="s">
        <v>56</v>
      </c>
      <c r="L208" t="s">
        <v>26</v>
      </c>
      <c r="M208">
        <v>88.38</v>
      </c>
      <c r="N208">
        <v>5347.56</v>
      </c>
      <c r="O208" t="s">
        <v>66</v>
      </c>
      <c r="P208" t="s">
        <v>56</v>
      </c>
    </row>
    <row r="209" spans="1:16" x14ac:dyDescent="0.35">
      <c r="A209" t="s">
        <v>273</v>
      </c>
      <c r="B209">
        <v>66</v>
      </c>
      <c r="C209" t="s">
        <v>56</v>
      </c>
      <c r="D209" t="s">
        <v>56</v>
      </c>
      <c r="E209" t="s">
        <v>56</v>
      </c>
      <c r="F209">
        <v>9</v>
      </c>
      <c r="G209" t="s">
        <v>56</v>
      </c>
      <c r="H209" t="s">
        <v>55</v>
      </c>
      <c r="I209" t="s">
        <v>29</v>
      </c>
      <c r="J209" t="s">
        <v>12</v>
      </c>
      <c r="K209" t="s">
        <v>55</v>
      </c>
      <c r="L209" t="s">
        <v>61</v>
      </c>
      <c r="M209">
        <v>65.12</v>
      </c>
      <c r="N209">
        <v>561.55999999999995</v>
      </c>
      <c r="O209" t="s">
        <v>69</v>
      </c>
      <c r="P209" t="s">
        <v>55</v>
      </c>
    </row>
    <row r="210" spans="1:16" x14ac:dyDescent="0.35">
      <c r="A210" t="s">
        <v>274</v>
      </c>
      <c r="B210">
        <v>46</v>
      </c>
      <c r="C210" t="s">
        <v>55</v>
      </c>
      <c r="D210" t="s">
        <v>56</v>
      </c>
      <c r="E210" t="s">
        <v>56</v>
      </c>
      <c r="F210">
        <v>13</v>
      </c>
      <c r="G210" t="s">
        <v>56</v>
      </c>
      <c r="H210" t="s">
        <v>55</v>
      </c>
      <c r="I210" t="s">
        <v>30</v>
      </c>
      <c r="J210" t="s">
        <v>12</v>
      </c>
      <c r="K210" t="s">
        <v>55</v>
      </c>
      <c r="L210" t="s">
        <v>26</v>
      </c>
      <c r="M210">
        <v>76.989999999999995</v>
      </c>
      <c r="N210">
        <v>974.08</v>
      </c>
      <c r="O210" t="s">
        <v>58</v>
      </c>
      <c r="P210" t="s">
        <v>56</v>
      </c>
    </row>
    <row r="211" spans="1:16" x14ac:dyDescent="0.35">
      <c r="A211" t="s">
        <v>275</v>
      </c>
      <c r="B211">
        <v>56</v>
      </c>
      <c r="C211" t="s">
        <v>55</v>
      </c>
      <c r="D211" t="s">
        <v>55</v>
      </c>
      <c r="E211" t="s">
        <v>56</v>
      </c>
      <c r="F211">
        <v>39</v>
      </c>
      <c r="G211" t="s">
        <v>56</v>
      </c>
      <c r="H211" t="s">
        <v>55</v>
      </c>
      <c r="I211" t="s">
        <v>30</v>
      </c>
      <c r="J211" t="s">
        <v>12</v>
      </c>
      <c r="K211" t="s">
        <v>56</v>
      </c>
      <c r="L211" t="s">
        <v>61</v>
      </c>
      <c r="M211">
        <v>109.69</v>
      </c>
      <c r="N211">
        <v>4144.1000000000004</v>
      </c>
      <c r="O211" t="s">
        <v>62</v>
      </c>
      <c r="P211" t="s">
        <v>56</v>
      </c>
    </row>
    <row r="212" spans="1:16" x14ac:dyDescent="0.35">
      <c r="A212" t="s">
        <v>276</v>
      </c>
      <c r="B212">
        <v>49</v>
      </c>
      <c r="C212" t="s">
        <v>55</v>
      </c>
      <c r="D212" t="s">
        <v>56</v>
      </c>
      <c r="E212" t="s">
        <v>56</v>
      </c>
      <c r="F212">
        <v>47</v>
      </c>
      <c r="G212" t="s">
        <v>56</v>
      </c>
      <c r="H212" t="s">
        <v>55</v>
      </c>
      <c r="I212" t="s">
        <v>55</v>
      </c>
      <c r="J212" t="s">
        <v>14</v>
      </c>
      <c r="K212" t="s">
        <v>55</v>
      </c>
      <c r="L212" t="s">
        <v>57</v>
      </c>
      <c r="M212">
        <v>26.2</v>
      </c>
      <c r="N212">
        <v>1270.22</v>
      </c>
      <c r="O212" t="s">
        <v>66</v>
      </c>
      <c r="P212" t="s">
        <v>55</v>
      </c>
    </row>
    <row r="213" spans="1:16" x14ac:dyDescent="0.35">
      <c r="A213" t="s">
        <v>277</v>
      </c>
      <c r="B213">
        <v>22</v>
      </c>
      <c r="C213" t="s">
        <v>55</v>
      </c>
      <c r="D213" t="s">
        <v>56</v>
      </c>
      <c r="E213" t="s">
        <v>56</v>
      </c>
      <c r="F213">
        <v>2</v>
      </c>
      <c r="G213" t="s">
        <v>56</v>
      </c>
      <c r="H213" t="s">
        <v>55</v>
      </c>
      <c r="I213" t="s">
        <v>30</v>
      </c>
      <c r="J213" t="s">
        <v>14</v>
      </c>
      <c r="K213" t="s">
        <v>55</v>
      </c>
      <c r="L213" t="s">
        <v>57</v>
      </c>
      <c r="M213">
        <v>101.43</v>
      </c>
      <c r="N213">
        <v>202.89</v>
      </c>
      <c r="O213" t="s">
        <v>69</v>
      </c>
      <c r="P213" t="s">
        <v>55</v>
      </c>
    </row>
    <row r="214" spans="1:16" x14ac:dyDescent="0.35">
      <c r="A214" t="s">
        <v>278</v>
      </c>
      <c r="B214">
        <v>43</v>
      </c>
      <c r="C214" t="s">
        <v>55</v>
      </c>
      <c r="D214" t="s">
        <v>56</v>
      </c>
      <c r="E214" t="s">
        <v>56</v>
      </c>
      <c r="F214">
        <v>36</v>
      </c>
      <c r="G214" t="s">
        <v>56</v>
      </c>
      <c r="H214" t="s">
        <v>55</v>
      </c>
      <c r="I214" t="s">
        <v>30</v>
      </c>
      <c r="J214" t="s">
        <v>12</v>
      </c>
      <c r="K214" t="s">
        <v>56</v>
      </c>
      <c r="L214" t="s">
        <v>57</v>
      </c>
      <c r="M214">
        <v>89.54</v>
      </c>
      <c r="N214">
        <v>3275.39</v>
      </c>
      <c r="O214" t="s">
        <v>69</v>
      </c>
      <c r="P214" t="s">
        <v>55</v>
      </c>
    </row>
    <row r="215" spans="1:16" x14ac:dyDescent="0.35">
      <c r="A215" t="s">
        <v>279</v>
      </c>
      <c r="B215">
        <v>59</v>
      </c>
      <c r="C215" t="s">
        <v>55</v>
      </c>
      <c r="D215" t="s">
        <v>56</v>
      </c>
      <c r="E215" t="s">
        <v>55</v>
      </c>
      <c r="F215">
        <v>56</v>
      </c>
      <c r="G215" t="s">
        <v>56</v>
      </c>
      <c r="H215" t="s">
        <v>56</v>
      </c>
      <c r="I215" t="s">
        <v>29</v>
      </c>
      <c r="J215" t="s">
        <v>12</v>
      </c>
      <c r="K215" t="s">
        <v>55</v>
      </c>
      <c r="L215" t="s">
        <v>26</v>
      </c>
      <c r="M215">
        <v>64.489999999999995</v>
      </c>
      <c r="N215">
        <v>3418.6</v>
      </c>
      <c r="O215" t="s">
        <v>69</v>
      </c>
      <c r="P215" t="s">
        <v>55</v>
      </c>
    </row>
    <row r="216" spans="1:16" x14ac:dyDescent="0.35">
      <c r="A216" t="s">
        <v>280</v>
      </c>
      <c r="B216">
        <v>65</v>
      </c>
      <c r="C216" t="s">
        <v>56</v>
      </c>
      <c r="D216" t="s">
        <v>56</v>
      </c>
      <c r="E216" t="s">
        <v>56</v>
      </c>
      <c r="F216">
        <v>2</v>
      </c>
      <c r="G216" t="s">
        <v>56</v>
      </c>
      <c r="H216" t="s">
        <v>56</v>
      </c>
      <c r="I216" t="s">
        <v>29</v>
      </c>
      <c r="J216" t="s">
        <v>14</v>
      </c>
      <c r="K216" t="s">
        <v>55</v>
      </c>
      <c r="L216" t="s">
        <v>26</v>
      </c>
      <c r="M216">
        <v>45.08</v>
      </c>
      <c r="N216">
        <v>93.2</v>
      </c>
      <c r="O216" t="s">
        <v>80</v>
      </c>
      <c r="P216" t="s">
        <v>56</v>
      </c>
    </row>
    <row r="217" spans="1:16" x14ac:dyDescent="0.35">
      <c r="A217" t="s">
        <v>281</v>
      </c>
      <c r="B217">
        <v>67</v>
      </c>
      <c r="C217" t="s">
        <v>56</v>
      </c>
      <c r="D217" t="s">
        <v>56</v>
      </c>
      <c r="E217" t="s">
        <v>55</v>
      </c>
      <c r="F217">
        <v>55</v>
      </c>
      <c r="G217" t="s">
        <v>56</v>
      </c>
      <c r="H217" t="s">
        <v>56</v>
      </c>
      <c r="I217" t="s">
        <v>30</v>
      </c>
      <c r="J217" t="s">
        <v>14</v>
      </c>
      <c r="K217" t="s">
        <v>56</v>
      </c>
      <c r="L217" t="s">
        <v>57</v>
      </c>
      <c r="M217">
        <v>95.54</v>
      </c>
      <c r="N217">
        <v>4974.38</v>
      </c>
      <c r="O217" t="s">
        <v>62</v>
      </c>
      <c r="P217" t="s">
        <v>55</v>
      </c>
    </row>
    <row r="218" spans="1:16" x14ac:dyDescent="0.35">
      <c r="A218" t="s">
        <v>282</v>
      </c>
      <c r="B218">
        <v>41</v>
      </c>
      <c r="C218" t="s">
        <v>55</v>
      </c>
      <c r="D218" t="s">
        <v>56</v>
      </c>
      <c r="E218" t="s">
        <v>55</v>
      </c>
      <c r="F218">
        <v>14</v>
      </c>
      <c r="G218" t="s">
        <v>56</v>
      </c>
      <c r="H218" t="s">
        <v>56</v>
      </c>
      <c r="I218" t="s">
        <v>55</v>
      </c>
      <c r="J218" t="s">
        <v>12</v>
      </c>
      <c r="K218" t="s">
        <v>56</v>
      </c>
      <c r="L218" t="s">
        <v>25</v>
      </c>
      <c r="M218">
        <v>18.149999999999999</v>
      </c>
      <c r="N218">
        <v>240.26</v>
      </c>
      <c r="O218" t="s">
        <v>62</v>
      </c>
      <c r="P218" t="s">
        <v>55</v>
      </c>
    </row>
    <row r="219" spans="1:16" x14ac:dyDescent="0.35">
      <c r="A219" t="s">
        <v>283</v>
      </c>
      <c r="B219">
        <v>29</v>
      </c>
      <c r="C219" t="s">
        <v>55</v>
      </c>
      <c r="D219" t="s">
        <v>56</v>
      </c>
      <c r="E219" t="s">
        <v>55</v>
      </c>
      <c r="F219">
        <v>29</v>
      </c>
      <c r="G219" t="s">
        <v>55</v>
      </c>
      <c r="H219" t="s">
        <v>60</v>
      </c>
      <c r="I219" t="s">
        <v>30</v>
      </c>
      <c r="J219" t="s">
        <v>14</v>
      </c>
      <c r="K219" t="s">
        <v>55</v>
      </c>
      <c r="L219" t="s">
        <v>26</v>
      </c>
      <c r="M219">
        <v>73.89</v>
      </c>
      <c r="N219">
        <v>2110.1</v>
      </c>
      <c r="O219" t="s">
        <v>80</v>
      </c>
      <c r="P219" t="s">
        <v>55</v>
      </c>
    </row>
    <row r="220" spans="1:16" x14ac:dyDescent="0.35">
      <c r="A220" t="s">
        <v>284</v>
      </c>
      <c r="B220">
        <v>29</v>
      </c>
      <c r="C220" t="s">
        <v>55</v>
      </c>
      <c r="D220" t="s">
        <v>56</v>
      </c>
      <c r="E220" t="s">
        <v>56</v>
      </c>
      <c r="F220">
        <v>52</v>
      </c>
      <c r="G220" t="s">
        <v>55</v>
      </c>
      <c r="H220" t="s">
        <v>60</v>
      </c>
      <c r="I220" t="s">
        <v>30</v>
      </c>
      <c r="J220" t="s">
        <v>14</v>
      </c>
      <c r="K220" t="s">
        <v>55</v>
      </c>
      <c r="L220" t="s">
        <v>26</v>
      </c>
      <c r="M220">
        <v>97.65</v>
      </c>
      <c r="N220">
        <v>4777.99</v>
      </c>
      <c r="O220" t="s">
        <v>58</v>
      </c>
      <c r="P220" t="s">
        <v>56</v>
      </c>
    </row>
    <row r="221" spans="1:16" x14ac:dyDescent="0.35">
      <c r="A221" t="s">
        <v>285</v>
      </c>
      <c r="B221">
        <v>68</v>
      </c>
      <c r="C221" t="s">
        <v>56</v>
      </c>
      <c r="D221" t="s">
        <v>55</v>
      </c>
      <c r="E221" t="s">
        <v>56</v>
      </c>
      <c r="F221">
        <v>60</v>
      </c>
      <c r="G221" t="s">
        <v>55</v>
      </c>
      <c r="H221" t="s">
        <v>60</v>
      </c>
      <c r="I221" t="s">
        <v>30</v>
      </c>
      <c r="J221" t="s">
        <v>14</v>
      </c>
      <c r="K221" t="s">
        <v>56</v>
      </c>
      <c r="L221" t="s">
        <v>61</v>
      </c>
      <c r="M221">
        <v>97.33</v>
      </c>
      <c r="N221">
        <v>6047.21</v>
      </c>
      <c r="O221" t="s">
        <v>64</v>
      </c>
      <c r="P221" t="s">
        <v>56</v>
      </c>
    </row>
    <row r="222" spans="1:16" x14ac:dyDescent="0.35">
      <c r="A222" t="s">
        <v>286</v>
      </c>
      <c r="B222">
        <v>19</v>
      </c>
      <c r="C222" t="s">
        <v>55</v>
      </c>
      <c r="D222" t="s">
        <v>56</v>
      </c>
      <c r="E222" t="s">
        <v>55</v>
      </c>
      <c r="F222">
        <v>2</v>
      </c>
      <c r="G222" t="s">
        <v>56</v>
      </c>
      <c r="H222" t="s">
        <v>55</v>
      </c>
      <c r="I222" t="s">
        <v>55</v>
      </c>
      <c r="J222" t="s">
        <v>12</v>
      </c>
      <c r="K222" t="s">
        <v>55</v>
      </c>
      <c r="L222" t="s">
        <v>26</v>
      </c>
      <c r="M222">
        <v>24.36</v>
      </c>
      <c r="N222">
        <v>47.19</v>
      </c>
      <c r="O222" t="s">
        <v>80</v>
      </c>
      <c r="P222" t="s">
        <v>56</v>
      </c>
    </row>
    <row r="223" spans="1:16" x14ac:dyDescent="0.35">
      <c r="A223" t="s">
        <v>287</v>
      </c>
      <c r="B223">
        <v>27</v>
      </c>
      <c r="C223" t="s">
        <v>55</v>
      </c>
      <c r="D223" t="s">
        <v>55</v>
      </c>
      <c r="E223" t="s">
        <v>56</v>
      </c>
      <c r="F223">
        <v>6</v>
      </c>
      <c r="G223" t="s">
        <v>55</v>
      </c>
      <c r="H223" t="s">
        <v>60</v>
      </c>
      <c r="I223" t="s">
        <v>55</v>
      </c>
      <c r="J223" t="s">
        <v>13</v>
      </c>
      <c r="K223" t="s">
        <v>55</v>
      </c>
      <c r="L223" t="s">
        <v>57</v>
      </c>
      <c r="M223">
        <v>26.97</v>
      </c>
      <c r="N223">
        <v>163.38999999999999</v>
      </c>
      <c r="O223" t="s">
        <v>69</v>
      </c>
      <c r="P223" t="s">
        <v>55</v>
      </c>
    </row>
    <row r="224" spans="1:16" x14ac:dyDescent="0.35">
      <c r="A224" t="s">
        <v>288</v>
      </c>
      <c r="B224">
        <v>70</v>
      </c>
      <c r="C224" t="s">
        <v>56</v>
      </c>
      <c r="D224" t="s">
        <v>55</v>
      </c>
      <c r="E224" t="s">
        <v>56</v>
      </c>
      <c r="F224">
        <v>8</v>
      </c>
      <c r="G224" t="s">
        <v>56</v>
      </c>
      <c r="H224" t="s">
        <v>56</v>
      </c>
      <c r="I224" t="s">
        <v>30</v>
      </c>
      <c r="J224" t="s">
        <v>12</v>
      </c>
      <c r="K224" t="s">
        <v>55</v>
      </c>
      <c r="L224" t="s">
        <v>25</v>
      </c>
      <c r="M224">
        <v>89.65</v>
      </c>
      <c r="N224">
        <v>745.76</v>
      </c>
      <c r="O224" t="s">
        <v>64</v>
      </c>
      <c r="P224" t="s">
        <v>56</v>
      </c>
    </row>
    <row r="225" spans="1:16" x14ac:dyDescent="0.35">
      <c r="A225" t="s">
        <v>289</v>
      </c>
      <c r="B225">
        <v>35</v>
      </c>
      <c r="C225" t="s">
        <v>55</v>
      </c>
      <c r="D225" t="s">
        <v>56</v>
      </c>
      <c r="E225" t="s">
        <v>56</v>
      </c>
      <c r="F225">
        <v>26</v>
      </c>
      <c r="G225" t="s">
        <v>56</v>
      </c>
      <c r="H225" t="s">
        <v>56</v>
      </c>
      <c r="I225" t="s">
        <v>30</v>
      </c>
      <c r="J225" t="s">
        <v>12</v>
      </c>
      <c r="K225" t="s">
        <v>55</v>
      </c>
      <c r="L225" t="s">
        <v>26</v>
      </c>
      <c r="M225">
        <v>76.040000000000006</v>
      </c>
      <c r="N225">
        <v>1943.42</v>
      </c>
      <c r="O225" t="s">
        <v>64</v>
      </c>
      <c r="P225" t="s">
        <v>55</v>
      </c>
    </row>
    <row r="226" spans="1:16" x14ac:dyDescent="0.35">
      <c r="A226" t="s">
        <v>290</v>
      </c>
      <c r="B226">
        <v>37</v>
      </c>
      <c r="C226" t="s">
        <v>55</v>
      </c>
      <c r="D226" t="s">
        <v>55</v>
      </c>
      <c r="E226" t="s">
        <v>55</v>
      </c>
      <c r="F226">
        <v>16</v>
      </c>
      <c r="G226" t="s">
        <v>55</v>
      </c>
      <c r="H226" t="s">
        <v>60</v>
      </c>
      <c r="I226" t="s">
        <v>30</v>
      </c>
      <c r="J226" t="s">
        <v>14</v>
      </c>
      <c r="K226" t="s">
        <v>56</v>
      </c>
      <c r="L226" t="s">
        <v>26</v>
      </c>
      <c r="M226">
        <v>112.83</v>
      </c>
      <c r="N226">
        <v>1729.1</v>
      </c>
      <c r="O226" t="s">
        <v>76</v>
      </c>
      <c r="P226" t="s">
        <v>55</v>
      </c>
    </row>
    <row r="227" spans="1:16" x14ac:dyDescent="0.35">
      <c r="A227" t="s">
        <v>291</v>
      </c>
      <c r="B227">
        <v>43</v>
      </c>
      <c r="C227" t="s">
        <v>55</v>
      </c>
      <c r="D227" t="s">
        <v>56</v>
      </c>
      <c r="E227" t="s">
        <v>55</v>
      </c>
      <c r="F227">
        <v>34</v>
      </c>
      <c r="G227" t="s">
        <v>56</v>
      </c>
      <c r="H227" t="s">
        <v>56</v>
      </c>
      <c r="I227" t="s">
        <v>55</v>
      </c>
      <c r="J227" t="s">
        <v>12</v>
      </c>
      <c r="K227" t="s">
        <v>55</v>
      </c>
      <c r="L227" t="s">
        <v>57</v>
      </c>
      <c r="M227">
        <v>24.6</v>
      </c>
      <c r="N227">
        <v>795.72</v>
      </c>
      <c r="O227" t="s">
        <v>66</v>
      </c>
      <c r="P227" t="s">
        <v>56</v>
      </c>
    </row>
    <row r="228" spans="1:16" x14ac:dyDescent="0.35">
      <c r="A228" t="s">
        <v>292</v>
      </c>
      <c r="B228">
        <v>26</v>
      </c>
      <c r="C228" t="s">
        <v>55</v>
      </c>
      <c r="D228" t="s">
        <v>56</v>
      </c>
      <c r="E228" t="s">
        <v>56</v>
      </c>
      <c r="F228">
        <v>8</v>
      </c>
      <c r="G228" t="s">
        <v>56</v>
      </c>
      <c r="H228" t="s">
        <v>56</v>
      </c>
      <c r="I228" t="s">
        <v>55</v>
      </c>
      <c r="J228" t="s">
        <v>14</v>
      </c>
      <c r="K228" t="s">
        <v>55</v>
      </c>
      <c r="L228" t="s">
        <v>61</v>
      </c>
      <c r="M228">
        <v>29.25</v>
      </c>
      <c r="N228">
        <v>222.32</v>
      </c>
      <c r="O228" t="s">
        <v>66</v>
      </c>
      <c r="P228" t="s">
        <v>55</v>
      </c>
    </row>
    <row r="229" spans="1:16" x14ac:dyDescent="0.35">
      <c r="A229" t="s">
        <v>293</v>
      </c>
      <c r="B229">
        <v>22</v>
      </c>
      <c r="C229" t="s">
        <v>55</v>
      </c>
      <c r="D229" t="s">
        <v>56</v>
      </c>
      <c r="E229" t="s">
        <v>56</v>
      </c>
      <c r="F229">
        <v>26</v>
      </c>
      <c r="G229" t="s">
        <v>55</v>
      </c>
      <c r="H229" t="s">
        <v>60</v>
      </c>
      <c r="I229" t="s">
        <v>55</v>
      </c>
      <c r="J229" t="s">
        <v>14</v>
      </c>
      <c r="K229" t="s">
        <v>56</v>
      </c>
      <c r="L229" t="s">
        <v>25</v>
      </c>
      <c r="M229">
        <v>27.95</v>
      </c>
      <c r="N229">
        <v>712.01</v>
      </c>
      <c r="O229" t="s">
        <v>64</v>
      </c>
      <c r="P229" t="s">
        <v>56</v>
      </c>
    </row>
    <row r="230" spans="1:16" x14ac:dyDescent="0.35">
      <c r="A230" t="s">
        <v>294</v>
      </c>
      <c r="B230">
        <v>21</v>
      </c>
      <c r="C230" t="s">
        <v>55</v>
      </c>
      <c r="D230" t="s">
        <v>56</v>
      </c>
      <c r="E230" t="s">
        <v>55</v>
      </c>
      <c r="F230">
        <v>51</v>
      </c>
      <c r="G230" t="s">
        <v>55</v>
      </c>
      <c r="H230" t="s">
        <v>60</v>
      </c>
      <c r="I230" t="s">
        <v>29</v>
      </c>
      <c r="J230" t="s">
        <v>13</v>
      </c>
      <c r="K230" t="s">
        <v>56</v>
      </c>
      <c r="L230" t="s">
        <v>57</v>
      </c>
      <c r="M230">
        <v>76.33</v>
      </c>
      <c r="N230">
        <v>3787.72</v>
      </c>
      <c r="O230" t="s">
        <v>62</v>
      </c>
      <c r="P230" t="s">
        <v>55</v>
      </c>
    </row>
    <row r="231" spans="1:16" x14ac:dyDescent="0.35">
      <c r="A231" t="s">
        <v>295</v>
      </c>
      <c r="B231">
        <v>20</v>
      </c>
      <c r="C231" t="s">
        <v>55</v>
      </c>
      <c r="D231" t="s">
        <v>56</v>
      </c>
      <c r="E231" t="s">
        <v>55</v>
      </c>
      <c r="F231">
        <v>64</v>
      </c>
      <c r="G231" t="s">
        <v>55</v>
      </c>
      <c r="H231" t="s">
        <v>60</v>
      </c>
      <c r="I231" t="s">
        <v>30</v>
      </c>
      <c r="J231" t="s">
        <v>12</v>
      </c>
      <c r="K231" t="s">
        <v>55</v>
      </c>
      <c r="L231" t="s">
        <v>57</v>
      </c>
      <c r="M231">
        <v>90.96</v>
      </c>
      <c r="N231">
        <v>5921.09</v>
      </c>
      <c r="O231" t="s">
        <v>62</v>
      </c>
      <c r="P231" t="s">
        <v>55</v>
      </c>
    </row>
    <row r="232" spans="1:16" x14ac:dyDescent="0.35">
      <c r="A232" t="s">
        <v>296</v>
      </c>
      <c r="B232">
        <v>58</v>
      </c>
      <c r="C232" t="s">
        <v>55</v>
      </c>
      <c r="D232" t="s">
        <v>56</v>
      </c>
      <c r="E232" t="s">
        <v>55</v>
      </c>
      <c r="F232">
        <v>46</v>
      </c>
      <c r="G232" t="s">
        <v>55</v>
      </c>
      <c r="H232" t="s">
        <v>60</v>
      </c>
      <c r="I232" t="s">
        <v>29</v>
      </c>
      <c r="J232" t="s">
        <v>12</v>
      </c>
      <c r="K232" t="s">
        <v>55</v>
      </c>
      <c r="L232" t="s">
        <v>57</v>
      </c>
      <c r="M232">
        <v>47.19</v>
      </c>
      <c r="N232">
        <v>2123.56</v>
      </c>
      <c r="O232" t="s">
        <v>66</v>
      </c>
      <c r="P232" t="s">
        <v>56</v>
      </c>
    </row>
    <row r="233" spans="1:16" x14ac:dyDescent="0.35">
      <c r="A233" t="s">
        <v>297</v>
      </c>
      <c r="B233">
        <v>67</v>
      </c>
      <c r="C233" t="s">
        <v>56</v>
      </c>
      <c r="D233" t="s">
        <v>55</v>
      </c>
      <c r="E233" t="s">
        <v>56</v>
      </c>
      <c r="F233">
        <v>61</v>
      </c>
      <c r="G233" t="s">
        <v>56</v>
      </c>
      <c r="H233" t="s">
        <v>55</v>
      </c>
      <c r="I233" t="s">
        <v>29</v>
      </c>
      <c r="J233" t="s">
        <v>12</v>
      </c>
      <c r="K233" t="s">
        <v>56</v>
      </c>
      <c r="L233" t="s">
        <v>26</v>
      </c>
      <c r="M233">
        <v>72.650000000000006</v>
      </c>
      <c r="N233">
        <v>4653.55</v>
      </c>
      <c r="O233" t="s">
        <v>62</v>
      </c>
      <c r="P233" t="s">
        <v>56</v>
      </c>
    </row>
    <row r="234" spans="1:16" x14ac:dyDescent="0.35">
      <c r="A234" t="s">
        <v>298</v>
      </c>
      <c r="B234">
        <v>54</v>
      </c>
      <c r="C234" t="s">
        <v>55</v>
      </c>
      <c r="D234" t="s">
        <v>55</v>
      </c>
      <c r="E234" t="s">
        <v>55</v>
      </c>
      <c r="F234">
        <v>23</v>
      </c>
      <c r="G234" t="s">
        <v>55</v>
      </c>
      <c r="H234" t="s">
        <v>60</v>
      </c>
      <c r="I234" t="s">
        <v>30</v>
      </c>
      <c r="J234" t="s">
        <v>14</v>
      </c>
      <c r="K234" t="s">
        <v>55</v>
      </c>
      <c r="L234" t="s">
        <v>25</v>
      </c>
      <c r="M234">
        <v>71.41</v>
      </c>
      <c r="N234">
        <v>1681.96</v>
      </c>
      <c r="O234" t="s">
        <v>58</v>
      </c>
      <c r="P234" t="s">
        <v>55</v>
      </c>
    </row>
    <row r="235" spans="1:16" x14ac:dyDescent="0.35">
      <c r="A235" t="s">
        <v>299</v>
      </c>
      <c r="B235">
        <v>27</v>
      </c>
      <c r="C235" t="s">
        <v>55</v>
      </c>
      <c r="D235" t="s">
        <v>56</v>
      </c>
      <c r="E235" t="s">
        <v>55</v>
      </c>
      <c r="F235">
        <v>70</v>
      </c>
      <c r="G235" t="s">
        <v>55</v>
      </c>
      <c r="H235" t="s">
        <v>60</v>
      </c>
      <c r="I235" t="s">
        <v>30</v>
      </c>
      <c r="J235" t="s">
        <v>12</v>
      </c>
      <c r="K235" t="s">
        <v>56</v>
      </c>
      <c r="L235" t="s">
        <v>26</v>
      </c>
      <c r="M235">
        <v>80.94</v>
      </c>
      <c r="N235">
        <v>5683.78</v>
      </c>
      <c r="O235" t="s">
        <v>58</v>
      </c>
      <c r="P235" t="s">
        <v>56</v>
      </c>
    </row>
    <row r="236" spans="1:16" x14ac:dyDescent="0.35">
      <c r="A236" t="s">
        <v>300</v>
      </c>
      <c r="B236">
        <v>30</v>
      </c>
      <c r="C236" t="s">
        <v>55</v>
      </c>
      <c r="D236" t="s">
        <v>56</v>
      </c>
      <c r="E236" t="s">
        <v>55</v>
      </c>
      <c r="F236">
        <v>23</v>
      </c>
      <c r="G236" t="s">
        <v>55</v>
      </c>
      <c r="H236" t="s">
        <v>60</v>
      </c>
      <c r="I236" t="s">
        <v>55</v>
      </c>
      <c r="J236" t="s">
        <v>12</v>
      </c>
      <c r="K236" t="s">
        <v>56</v>
      </c>
      <c r="L236" t="s">
        <v>57</v>
      </c>
      <c r="M236">
        <v>29.01</v>
      </c>
      <c r="N236">
        <v>689.2</v>
      </c>
      <c r="O236" t="s">
        <v>66</v>
      </c>
      <c r="P236" t="s">
        <v>55</v>
      </c>
    </row>
    <row r="237" spans="1:16" x14ac:dyDescent="0.35">
      <c r="A237" t="s">
        <v>301</v>
      </c>
      <c r="B237">
        <v>41</v>
      </c>
      <c r="C237" t="s">
        <v>55</v>
      </c>
      <c r="D237" t="s">
        <v>56</v>
      </c>
      <c r="E237" t="s">
        <v>55</v>
      </c>
      <c r="F237">
        <v>51</v>
      </c>
      <c r="G237" t="s">
        <v>55</v>
      </c>
      <c r="H237" t="s">
        <v>60</v>
      </c>
      <c r="I237" t="s">
        <v>29</v>
      </c>
      <c r="J237" t="s">
        <v>12</v>
      </c>
      <c r="K237" t="s">
        <v>56</v>
      </c>
      <c r="L237" t="s">
        <v>25</v>
      </c>
      <c r="M237">
        <v>69.290000000000006</v>
      </c>
      <c r="N237">
        <v>3507.02</v>
      </c>
      <c r="O237" t="s">
        <v>64</v>
      </c>
      <c r="P237" t="s">
        <v>55</v>
      </c>
    </row>
    <row r="238" spans="1:16" x14ac:dyDescent="0.35">
      <c r="A238" t="s">
        <v>302</v>
      </c>
      <c r="B238">
        <v>59</v>
      </c>
      <c r="C238" t="s">
        <v>55</v>
      </c>
      <c r="D238" t="s">
        <v>55</v>
      </c>
      <c r="E238" t="s">
        <v>56</v>
      </c>
      <c r="F238">
        <v>72</v>
      </c>
      <c r="G238" t="s">
        <v>55</v>
      </c>
      <c r="H238" t="s">
        <v>60</v>
      </c>
      <c r="I238" t="s">
        <v>29</v>
      </c>
      <c r="J238" t="s">
        <v>12</v>
      </c>
      <c r="K238" t="s">
        <v>56</v>
      </c>
      <c r="L238" t="s">
        <v>57</v>
      </c>
      <c r="M238">
        <v>69.36</v>
      </c>
      <c r="N238">
        <v>4870.78</v>
      </c>
      <c r="O238" t="s">
        <v>80</v>
      </c>
      <c r="P238" t="s">
        <v>56</v>
      </c>
    </row>
    <row r="239" spans="1:16" x14ac:dyDescent="0.35">
      <c r="A239" t="s">
        <v>303</v>
      </c>
      <c r="B239">
        <v>62</v>
      </c>
      <c r="C239" t="s">
        <v>56</v>
      </c>
      <c r="D239" t="s">
        <v>55</v>
      </c>
      <c r="E239" t="s">
        <v>56</v>
      </c>
      <c r="F239">
        <v>24</v>
      </c>
      <c r="G239" t="s">
        <v>56</v>
      </c>
      <c r="H239" t="s">
        <v>55</v>
      </c>
      <c r="I239" t="s">
        <v>29</v>
      </c>
      <c r="J239" t="s">
        <v>12</v>
      </c>
      <c r="K239" t="s">
        <v>55</v>
      </c>
      <c r="L239" t="s">
        <v>26</v>
      </c>
      <c r="M239">
        <v>69.81</v>
      </c>
      <c r="N239">
        <v>1622.76</v>
      </c>
      <c r="O239" t="s">
        <v>62</v>
      </c>
      <c r="P239" t="s">
        <v>55</v>
      </c>
    </row>
    <row r="240" spans="1:16" x14ac:dyDescent="0.35">
      <c r="A240" t="s">
        <v>304</v>
      </c>
      <c r="B240">
        <v>58</v>
      </c>
      <c r="C240" t="s">
        <v>55</v>
      </c>
      <c r="D240" t="s">
        <v>56</v>
      </c>
      <c r="E240" t="s">
        <v>55</v>
      </c>
      <c r="F240">
        <v>58</v>
      </c>
      <c r="G240" t="s">
        <v>56</v>
      </c>
      <c r="H240" t="s">
        <v>56</v>
      </c>
      <c r="I240" t="s">
        <v>30</v>
      </c>
      <c r="J240" t="s">
        <v>12</v>
      </c>
      <c r="K240" t="s">
        <v>55</v>
      </c>
      <c r="L240" t="s">
        <v>61</v>
      </c>
      <c r="M240">
        <v>106.02</v>
      </c>
      <c r="N240">
        <v>5815.74</v>
      </c>
      <c r="O240" t="s">
        <v>64</v>
      </c>
      <c r="P240" t="s">
        <v>56</v>
      </c>
    </row>
    <row r="241" spans="1:16" x14ac:dyDescent="0.35">
      <c r="A241" t="s">
        <v>305</v>
      </c>
      <c r="B241">
        <v>28</v>
      </c>
      <c r="C241" t="s">
        <v>55</v>
      </c>
      <c r="D241" t="s">
        <v>55</v>
      </c>
      <c r="E241" t="s">
        <v>55</v>
      </c>
      <c r="F241">
        <v>49</v>
      </c>
      <c r="G241" t="s">
        <v>55</v>
      </c>
      <c r="H241" t="s">
        <v>60</v>
      </c>
      <c r="I241" t="s">
        <v>30</v>
      </c>
      <c r="J241" t="s">
        <v>12</v>
      </c>
      <c r="K241" t="s">
        <v>55</v>
      </c>
      <c r="L241" t="s">
        <v>61</v>
      </c>
      <c r="M241">
        <v>98.9</v>
      </c>
      <c r="N241">
        <v>4996.28</v>
      </c>
      <c r="O241" t="s">
        <v>64</v>
      </c>
      <c r="P241" t="s">
        <v>56</v>
      </c>
    </row>
    <row r="242" spans="1:16" x14ac:dyDescent="0.35">
      <c r="A242" t="s">
        <v>306</v>
      </c>
      <c r="B242">
        <v>22</v>
      </c>
      <c r="C242" t="s">
        <v>55</v>
      </c>
      <c r="D242" t="s">
        <v>56</v>
      </c>
      <c r="E242" t="s">
        <v>55</v>
      </c>
      <c r="F242">
        <v>3</v>
      </c>
      <c r="G242" t="s">
        <v>56</v>
      </c>
      <c r="H242" t="s">
        <v>56</v>
      </c>
      <c r="I242" t="s">
        <v>30</v>
      </c>
      <c r="J242" t="s">
        <v>12</v>
      </c>
      <c r="K242" t="s">
        <v>55</v>
      </c>
      <c r="L242" t="s">
        <v>26</v>
      </c>
      <c r="M242">
        <v>73.75</v>
      </c>
      <c r="N242">
        <v>232.98</v>
      </c>
      <c r="O242" t="s">
        <v>76</v>
      </c>
      <c r="P242" t="s">
        <v>55</v>
      </c>
    </row>
    <row r="243" spans="1:16" x14ac:dyDescent="0.35">
      <c r="A243" t="s">
        <v>307</v>
      </c>
      <c r="B243">
        <v>56</v>
      </c>
      <c r="C243" t="s">
        <v>55</v>
      </c>
      <c r="D243" t="s">
        <v>55</v>
      </c>
      <c r="E243" t="s">
        <v>56</v>
      </c>
      <c r="F243">
        <v>56</v>
      </c>
      <c r="G243" t="s">
        <v>56</v>
      </c>
      <c r="H243" t="s">
        <v>55</v>
      </c>
      <c r="I243" t="s">
        <v>55</v>
      </c>
      <c r="J243" t="s">
        <v>12</v>
      </c>
      <c r="K243" t="s">
        <v>56</v>
      </c>
      <c r="L243" t="s">
        <v>26</v>
      </c>
      <c r="M243">
        <v>20.47</v>
      </c>
      <c r="N243">
        <v>1103.67</v>
      </c>
      <c r="O243" t="s">
        <v>69</v>
      </c>
      <c r="P243" t="s">
        <v>55</v>
      </c>
    </row>
    <row r="244" spans="1:16" x14ac:dyDescent="0.35">
      <c r="A244" t="s">
        <v>308</v>
      </c>
      <c r="B244">
        <v>64</v>
      </c>
      <c r="C244" t="s">
        <v>56</v>
      </c>
      <c r="D244" t="s">
        <v>55</v>
      </c>
      <c r="E244" t="s">
        <v>55</v>
      </c>
      <c r="F244">
        <v>39</v>
      </c>
      <c r="G244" t="s">
        <v>56</v>
      </c>
      <c r="H244" t="s">
        <v>55</v>
      </c>
      <c r="I244" t="s">
        <v>30</v>
      </c>
      <c r="J244" t="s">
        <v>12</v>
      </c>
      <c r="K244" t="s">
        <v>55</v>
      </c>
      <c r="L244" t="s">
        <v>26</v>
      </c>
      <c r="M244">
        <v>88.04</v>
      </c>
      <c r="N244">
        <v>3403.73</v>
      </c>
      <c r="O244" t="s">
        <v>69</v>
      </c>
      <c r="P244" t="s">
        <v>56</v>
      </c>
    </row>
    <row r="245" spans="1:16" x14ac:dyDescent="0.35">
      <c r="A245" t="s">
        <v>309</v>
      </c>
      <c r="B245">
        <v>58</v>
      </c>
      <c r="C245" t="s">
        <v>55</v>
      </c>
      <c r="D245" t="s">
        <v>55</v>
      </c>
      <c r="E245" t="s">
        <v>56</v>
      </c>
      <c r="F245">
        <v>13</v>
      </c>
      <c r="G245" t="s">
        <v>56</v>
      </c>
      <c r="H245" t="s">
        <v>55</v>
      </c>
      <c r="I245" t="s">
        <v>30</v>
      </c>
      <c r="J245" t="s">
        <v>14</v>
      </c>
      <c r="K245" t="s">
        <v>55</v>
      </c>
      <c r="L245" t="s">
        <v>61</v>
      </c>
      <c r="M245">
        <v>85.42</v>
      </c>
      <c r="N245">
        <v>1096.8</v>
      </c>
      <c r="O245" t="s">
        <v>69</v>
      </c>
      <c r="P245" t="s">
        <v>55</v>
      </c>
    </row>
    <row r="246" spans="1:16" x14ac:dyDescent="0.35">
      <c r="A246" t="s">
        <v>310</v>
      </c>
      <c r="B246">
        <v>34</v>
      </c>
      <c r="C246" t="s">
        <v>55</v>
      </c>
      <c r="D246" t="s">
        <v>56</v>
      </c>
      <c r="E246" t="s">
        <v>55</v>
      </c>
      <c r="F246">
        <v>24</v>
      </c>
      <c r="G246" t="s">
        <v>55</v>
      </c>
      <c r="H246" t="s">
        <v>60</v>
      </c>
      <c r="I246" t="s">
        <v>30</v>
      </c>
      <c r="J246" t="s">
        <v>12</v>
      </c>
      <c r="K246" t="s">
        <v>55</v>
      </c>
      <c r="L246" t="s">
        <v>26</v>
      </c>
      <c r="M246">
        <v>91.99</v>
      </c>
      <c r="N246">
        <v>2145.08</v>
      </c>
      <c r="O246" t="s">
        <v>58</v>
      </c>
      <c r="P246" t="s">
        <v>55</v>
      </c>
    </row>
    <row r="247" spans="1:16" x14ac:dyDescent="0.35">
      <c r="A247" t="s">
        <v>311</v>
      </c>
      <c r="B247">
        <v>21</v>
      </c>
      <c r="C247" t="s">
        <v>55</v>
      </c>
      <c r="D247" t="s">
        <v>56</v>
      </c>
      <c r="E247" t="s">
        <v>56</v>
      </c>
      <c r="F247">
        <v>11</v>
      </c>
      <c r="G247" t="s">
        <v>55</v>
      </c>
      <c r="H247" t="s">
        <v>60</v>
      </c>
      <c r="I247" t="s">
        <v>29</v>
      </c>
      <c r="J247" t="s">
        <v>14</v>
      </c>
      <c r="K247" t="s">
        <v>56</v>
      </c>
      <c r="L247" t="s">
        <v>57</v>
      </c>
      <c r="M247">
        <v>73.63</v>
      </c>
      <c r="N247">
        <v>840.88</v>
      </c>
      <c r="O247" t="s">
        <v>58</v>
      </c>
      <c r="P247" t="s">
        <v>55</v>
      </c>
    </row>
    <row r="248" spans="1:16" x14ac:dyDescent="0.35">
      <c r="A248" t="s">
        <v>312</v>
      </c>
      <c r="B248">
        <v>61</v>
      </c>
      <c r="C248" t="s">
        <v>56</v>
      </c>
      <c r="D248" t="s">
        <v>55</v>
      </c>
      <c r="E248" t="s">
        <v>56</v>
      </c>
      <c r="F248">
        <v>61</v>
      </c>
      <c r="G248" t="s">
        <v>55</v>
      </c>
      <c r="H248" t="s">
        <v>60</v>
      </c>
      <c r="I248" t="s">
        <v>30</v>
      </c>
      <c r="J248" t="s">
        <v>14</v>
      </c>
      <c r="K248" t="s">
        <v>56</v>
      </c>
      <c r="L248" t="s">
        <v>57</v>
      </c>
      <c r="M248">
        <v>115.02</v>
      </c>
      <c r="N248">
        <v>7269.18</v>
      </c>
      <c r="O248" t="s">
        <v>58</v>
      </c>
      <c r="P248" t="s">
        <v>55</v>
      </c>
    </row>
    <row r="249" spans="1:16" x14ac:dyDescent="0.35">
      <c r="A249" t="s">
        <v>313</v>
      </c>
      <c r="B249">
        <v>27</v>
      </c>
      <c r="C249" t="s">
        <v>55</v>
      </c>
      <c r="D249" t="s">
        <v>56</v>
      </c>
      <c r="E249" t="s">
        <v>55</v>
      </c>
      <c r="F249">
        <v>23</v>
      </c>
      <c r="G249" t="s">
        <v>56</v>
      </c>
      <c r="H249" t="s">
        <v>55</v>
      </c>
      <c r="I249" t="s">
        <v>55</v>
      </c>
      <c r="J249" t="s">
        <v>14</v>
      </c>
      <c r="K249" t="s">
        <v>56</v>
      </c>
      <c r="L249" t="s">
        <v>26</v>
      </c>
      <c r="M249">
        <v>18.940000000000001</v>
      </c>
      <c r="N249">
        <v>445.19</v>
      </c>
      <c r="O249" t="s">
        <v>66</v>
      </c>
      <c r="P249" t="s">
        <v>55</v>
      </c>
    </row>
    <row r="250" spans="1:16" x14ac:dyDescent="0.35">
      <c r="A250" t="s">
        <v>314</v>
      </c>
      <c r="B250">
        <v>58</v>
      </c>
      <c r="C250" t="s">
        <v>55</v>
      </c>
      <c r="D250" t="s">
        <v>56</v>
      </c>
      <c r="E250" t="s">
        <v>55</v>
      </c>
      <c r="F250">
        <v>41</v>
      </c>
      <c r="G250" t="s">
        <v>56</v>
      </c>
      <c r="H250" t="s">
        <v>56</v>
      </c>
      <c r="I250" t="s">
        <v>55</v>
      </c>
      <c r="J250" t="s">
        <v>13</v>
      </c>
      <c r="K250" t="s">
        <v>55</v>
      </c>
      <c r="L250" t="s">
        <v>25</v>
      </c>
      <c r="M250">
        <v>24.24</v>
      </c>
      <c r="N250">
        <v>1043.5899999999999</v>
      </c>
      <c r="O250" t="s">
        <v>69</v>
      </c>
      <c r="P250" t="s">
        <v>56</v>
      </c>
    </row>
    <row r="251" spans="1:16" x14ac:dyDescent="0.35">
      <c r="A251" t="s">
        <v>315</v>
      </c>
      <c r="B251">
        <v>57</v>
      </c>
      <c r="C251" t="s">
        <v>55</v>
      </c>
      <c r="D251" t="s">
        <v>55</v>
      </c>
      <c r="E251" t="s">
        <v>56</v>
      </c>
      <c r="F251">
        <v>54</v>
      </c>
      <c r="G251" t="s">
        <v>56</v>
      </c>
      <c r="H251" t="s">
        <v>55</v>
      </c>
      <c r="I251" t="s">
        <v>30</v>
      </c>
      <c r="J251" t="s">
        <v>13</v>
      </c>
      <c r="K251" t="s">
        <v>56</v>
      </c>
      <c r="L251" t="s">
        <v>61</v>
      </c>
      <c r="M251">
        <v>113.37</v>
      </c>
      <c r="N251">
        <v>6401.24</v>
      </c>
      <c r="O251" t="s">
        <v>76</v>
      </c>
      <c r="P251" t="s">
        <v>55</v>
      </c>
    </row>
    <row r="252" spans="1:16" x14ac:dyDescent="0.35">
      <c r="A252" t="s">
        <v>316</v>
      </c>
      <c r="B252">
        <v>42</v>
      </c>
      <c r="C252" t="s">
        <v>55</v>
      </c>
      <c r="D252" t="s">
        <v>55</v>
      </c>
      <c r="E252" t="s">
        <v>55</v>
      </c>
      <c r="F252">
        <v>5</v>
      </c>
      <c r="G252" t="s">
        <v>55</v>
      </c>
      <c r="H252" t="s">
        <v>60</v>
      </c>
      <c r="I252" t="s">
        <v>30</v>
      </c>
      <c r="J252" t="s">
        <v>12</v>
      </c>
      <c r="K252" t="s">
        <v>55</v>
      </c>
      <c r="L252" t="s">
        <v>26</v>
      </c>
      <c r="M252">
        <v>114.48</v>
      </c>
      <c r="N252">
        <v>560.83000000000004</v>
      </c>
      <c r="O252" t="s">
        <v>69</v>
      </c>
      <c r="P252" t="s">
        <v>56</v>
      </c>
    </row>
    <row r="253" spans="1:16" x14ac:dyDescent="0.35">
      <c r="A253" t="s">
        <v>317</v>
      </c>
      <c r="B253">
        <v>48</v>
      </c>
      <c r="C253" t="s">
        <v>55</v>
      </c>
      <c r="D253" t="s">
        <v>55</v>
      </c>
      <c r="E253" t="s">
        <v>55</v>
      </c>
      <c r="F253">
        <v>3</v>
      </c>
      <c r="G253" t="s">
        <v>55</v>
      </c>
      <c r="H253" t="s">
        <v>60</v>
      </c>
      <c r="I253" t="s">
        <v>30</v>
      </c>
      <c r="J253" t="s">
        <v>12</v>
      </c>
      <c r="K253" t="s">
        <v>55</v>
      </c>
      <c r="L253" t="s">
        <v>25</v>
      </c>
      <c r="M253">
        <v>104.24</v>
      </c>
      <c r="N253">
        <v>330.45</v>
      </c>
      <c r="O253" t="s">
        <v>76</v>
      </c>
      <c r="P253" t="s">
        <v>56</v>
      </c>
    </row>
    <row r="254" spans="1:16" x14ac:dyDescent="0.35">
      <c r="A254" t="s">
        <v>318</v>
      </c>
      <c r="B254">
        <v>65</v>
      </c>
      <c r="C254" t="s">
        <v>56</v>
      </c>
      <c r="D254" t="s">
        <v>55</v>
      </c>
      <c r="E254" t="s">
        <v>55</v>
      </c>
      <c r="F254">
        <v>35</v>
      </c>
      <c r="G254" t="s">
        <v>56</v>
      </c>
      <c r="H254" t="s">
        <v>56</v>
      </c>
      <c r="I254" t="s">
        <v>29</v>
      </c>
      <c r="J254" t="s">
        <v>12</v>
      </c>
      <c r="K254" t="s">
        <v>55</v>
      </c>
      <c r="L254" t="s">
        <v>61</v>
      </c>
      <c r="M254">
        <v>70.38</v>
      </c>
      <c r="N254">
        <v>2571.84</v>
      </c>
      <c r="O254" t="s">
        <v>58</v>
      </c>
      <c r="P254" t="s">
        <v>55</v>
      </c>
    </row>
    <row r="255" spans="1:16" x14ac:dyDescent="0.35">
      <c r="A255" t="s">
        <v>319</v>
      </c>
      <c r="B255">
        <v>68</v>
      </c>
      <c r="C255" t="s">
        <v>56</v>
      </c>
      <c r="D255" t="s">
        <v>56</v>
      </c>
      <c r="E255" t="s">
        <v>56</v>
      </c>
      <c r="F255">
        <v>40</v>
      </c>
      <c r="G255" t="s">
        <v>55</v>
      </c>
      <c r="H255" t="s">
        <v>60</v>
      </c>
      <c r="I255" t="s">
        <v>29</v>
      </c>
      <c r="J255" t="s">
        <v>12</v>
      </c>
      <c r="K255" t="s">
        <v>56</v>
      </c>
      <c r="L255" t="s">
        <v>26</v>
      </c>
      <c r="M255">
        <v>75.010000000000005</v>
      </c>
      <c r="N255">
        <v>2892.65</v>
      </c>
      <c r="O255" t="s">
        <v>80</v>
      </c>
      <c r="P255" t="s">
        <v>56</v>
      </c>
    </row>
    <row r="256" spans="1:16" x14ac:dyDescent="0.35">
      <c r="A256" t="s">
        <v>320</v>
      </c>
      <c r="B256">
        <v>47</v>
      </c>
      <c r="C256" t="s">
        <v>55</v>
      </c>
      <c r="D256" t="s">
        <v>56</v>
      </c>
      <c r="E256" t="s">
        <v>55</v>
      </c>
      <c r="F256">
        <v>26</v>
      </c>
      <c r="G256" t="s">
        <v>55</v>
      </c>
      <c r="H256" t="s">
        <v>60</v>
      </c>
      <c r="I256" t="s">
        <v>30</v>
      </c>
      <c r="J256" t="s">
        <v>12</v>
      </c>
      <c r="K256" t="s">
        <v>56</v>
      </c>
      <c r="L256" t="s">
        <v>61</v>
      </c>
      <c r="M256">
        <v>82.1</v>
      </c>
      <c r="N256">
        <v>2131.73</v>
      </c>
      <c r="O256" t="s">
        <v>66</v>
      </c>
      <c r="P256" t="s">
        <v>55</v>
      </c>
    </row>
    <row r="257" spans="1:16" x14ac:dyDescent="0.35">
      <c r="A257" t="s">
        <v>321</v>
      </c>
      <c r="B257">
        <v>48</v>
      </c>
      <c r="C257" t="s">
        <v>55</v>
      </c>
      <c r="D257" t="s">
        <v>55</v>
      </c>
      <c r="E257" t="s">
        <v>55</v>
      </c>
      <c r="F257">
        <v>21</v>
      </c>
      <c r="G257" t="s">
        <v>55</v>
      </c>
      <c r="H257" t="s">
        <v>60</v>
      </c>
      <c r="I257" t="s">
        <v>55</v>
      </c>
      <c r="J257" t="s">
        <v>13</v>
      </c>
      <c r="K257" t="s">
        <v>56</v>
      </c>
      <c r="L257" t="s">
        <v>26</v>
      </c>
      <c r="M257">
        <v>22.64</v>
      </c>
      <c r="N257">
        <v>456.21</v>
      </c>
      <c r="O257" t="s">
        <v>62</v>
      </c>
      <c r="P257" t="s">
        <v>55</v>
      </c>
    </row>
    <row r="258" spans="1:16" x14ac:dyDescent="0.35">
      <c r="A258" t="s">
        <v>322</v>
      </c>
      <c r="B258">
        <v>72</v>
      </c>
      <c r="C258" t="s">
        <v>56</v>
      </c>
      <c r="D258" t="s">
        <v>56</v>
      </c>
      <c r="E258" t="s">
        <v>56</v>
      </c>
      <c r="F258">
        <v>27</v>
      </c>
      <c r="G258" t="s">
        <v>55</v>
      </c>
      <c r="H258" t="s">
        <v>60</v>
      </c>
      <c r="I258" t="s">
        <v>30</v>
      </c>
      <c r="J258" t="s">
        <v>12</v>
      </c>
      <c r="K258" t="s">
        <v>56</v>
      </c>
      <c r="L258" t="s">
        <v>57</v>
      </c>
      <c r="M258">
        <v>76.62</v>
      </c>
      <c r="N258">
        <v>1987.61</v>
      </c>
      <c r="O258" t="s">
        <v>62</v>
      </c>
      <c r="P258" t="s">
        <v>55</v>
      </c>
    </row>
    <row r="259" spans="1:16" x14ac:dyDescent="0.35">
      <c r="A259" t="s">
        <v>323</v>
      </c>
      <c r="B259">
        <v>34</v>
      </c>
      <c r="C259" t="s">
        <v>55</v>
      </c>
      <c r="D259" t="s">
        <v>55</v>
      </c>
      <c r="E259" t="s">
        <v>55</v>
      </c>
      <c r="F259">
        <v>55</v>
      </c>
      <c r="G259" t="s">
        <v>55</v>
      </c>
      <c r="H259" t="s">
        <v>60</v>
      </c>
      <c r="I259" t="s">
        <v>55</v>
      </c>
      <c r="J259" t="s">
        <v>12</v>
      </c>
      <c r="K259" t="s">
        <v>56</v>
      </c>
      <c r="L259" t="s">
        <v>57</v>
      </c>
      <c r="M259">
        <v>26.13</v>
      </c>
      <c r="N259">
        <v>1493.08</v>
      </c>
      <c r="O259" t="s">
        <v>80</v>
      </c>
      <c r="P259" t="s">
        <v>55</v>
      </c>
    </row>
    <row r="260" spans="1:16" x14ac:dyDescent="0.35">
      <c r="A260" t="s">
        <v>324</v>
      </c>
      <c r="B260">
        <v>18</v>
      </c>
      <c r="C260" t="s">
        <v>55</v>
      </c>
      <c r="D260" t="s">
        <v>55</v>
      </c>
      <c r="E260" t="s">
        <v>55</v>
      </c>
      <c r="F260">
        <v>39</v>
      </c>
      <c r="G260" t="s">
        <v>55</v>
      </c>
      <c r="H260" t="s">
        <v>60</v>
      </c>
      <c r="I260" t="s">
        <v>29</v>
      </c>
      <c r="J260" t="s">
        <v>12</v>
      </c>
      <c r="K260" t="s">
        <v>55</v>
      </c>
      <c r="L260" t="s">
        <v>61</v>
      </c>
      <c r="M260">
        <v>74.459999999999994</v>
      </c>
      <c r="N260">
        <v>2820.71</v>
      </c>
      <c r="O260" t="s">
        <v>69</v>
      </c>
      <c r="P260" t="s">
        <v>55</v>
      </c>
    </row>
    <row r="261" spans="1:16" x14ac:dyDescent="0.35">
      <c r="A261" t="s">
        <v>325</v>
      </c>
      <c r="B261">
        <v>37</v>
      </c>
      <c r="C261" t="s">
        <v>55</v>
      </c>
      <c r="D261" t="s">
        <v>56</v>
      </c>
      <c r="E261" t="s">
        <v>56</v>
      </c>
      <c r="F261">
        <v>67</v>
      </c>
      <c r="G261" t="s">
        <v>56</v>
      </c>
      <c r="H261" t="s">
        <v>55</v>
      </c>
      <c r="I261" t="s">
        <v>29</v>
      </c>
      <c r="J261" t="s">
        <v>14</v>
      </c>
      <c r="K261" t="s">
        <v>55</v>
      </c>
      <c r="L261" t="s">
        <v>61</v>
      </c>
      <c r="M261">
        <v>67.23</v>
      </c>
      <c r="N261">
        <v>4624.0200000000004</v>
      </c>
      <c r="O261" t="s">
        <v>76</v>
      </c>
      <c r="P261" t="s">
        <v>55</v>
      </c>
    </row>
    <row r="262" spans="1:16" x14ac:dyDescent="0.35">
      <c r="A262" t="s">
        <v>326</v>
      </c>
      <c r="B262">
        <v>34</v>
      </c>
      <c r="C262" t="s">
        <v>55</v>
      </c>
      <c r="D262" t="s">
        <v>55</v>
      </c>
      <c r="E262" t="s">
        <v>55</v>
      </c>
      <c r="F262">
        <v>50</v>
      </c>
      <c r="G262" t="s">
        <v>56</v>
      </c>
      <c r="H262" t="s">
        <v>56</v>
      </c>
      <c r="I262" t="s">
        <v>29</v>
      </c>
      <c r="J262" t="s">
        <v>13</v>
      </c>
      <c r="K262" t="s">
        <v>55</v>
      </c>
      <c r="L262" t="s">
        <v>25</v>
      </c>
      <c r="M262">
        <v>66.87</v>
      </c>
      <c r="N262">
        <v>3346.43</v>
      </c>
      <c r="O262" t="s">
        <v>66</v>
      </c>
      <c r="P262" t="s">
        <v>55</v>
      </c>
    </row>
    <row r="263" spans="1:16" x14ac:dyDescent="0.35">
      <c r="A263" t="s">
        <v>327</v>
      </c>
      <c r="B263">
        <v>60</v>
      </c>
      <c r="C263" t="s">
        <v>56</v>
      </c>
      <c r="D263" t="s">
        <v>56</v>
      </c>
      <c r="E263" t="s">
        <v>55</v>
      </c>
      <c r="F263">
        <v>13</v>
      </c>
      <c r="G263" t="s">
        <v>55</v>
      </c>
      <c r="H263" t="s">
        <v>60</v>
      </c>
      <c r="I263" t="s">
        <v>29</v>
      </c>
      <c r="J263" t="s">
        <v>13</v>
      </c>
      <c r="K263" t="s">
        <v>56</v>
      </c>
      <c r="L263" t="s">
        <v>25</v>
      </c>
      <c r="M263">
        <v>75.98</v>
      </c>
      <c r="N263">
        <v>1006.04</v>
      </c>
      <c r="O263" t="s">
        <v>62</v>
      </c>
      <c r="P263" t="s">
        <v>55</v>
      </c>
    </row>
    <row r="264" spans="1:16" x14ac:dyDescent="0.35">
      <c r="A264" t="s">
        <v>328</v>
      </c>
      <c r="B264">
        <v>65</v>
      </c>
      <c r="C264" t="s">
        <v>56</v>
      </c>
      <c r="D264" t="s">
        <v>55</v>
      </c>
      <c r="E264" t="s">
        <v>55</v>
      </c>
      <c r="F264">
        <v>43</v>
      </c>
      <c r="G264" t="s">
        <v>55</v>
      </c>
      <c r="H264" t="s">
        <v>60</v>
      </c>
      <c r="I264" t="s">
        <v>30</v>
      </c>
      <c r="J264" t="s">
        <v>12</v>
      </c>
      <c r="K264" t="s">
        <v>56</v>
      </c>
      <c r="L264" t="s">
        <v>57</v>
      </c>
      <c r="M264">
        <v>113.32</v>
      </c>
      <c r="N264">
        <v>4921.63</v>
      </c>
      <c r="O264" t="s">
        <v>80</v>
      </c>
      <c r="P264" t="s">
        <v>55</v>
      </c>
    </row>
    <row r="265" spans="1:16" x14ac:dyDescent="0.35">
      <c r="A265" t="s">
        <v>329</v>
      </c>
      <c r="B265">
        <v>48</v>
      </c>
      <c r="C265" t="s">
        <v>55</v>
      </c>
      <c r="D265" t="s">
        <v>56</v>
      </c>
      <c r="E265" t="s">
        <v>56</v>
      </c>
      <c r="F265">
        <v>49</v>
      </c>
      <c r="G265" t="s">
        <v>55</v>
      </c>
      <c r="H265" t="s">
        <v>60</v>
      </c>
      <c r="I265" t="s">
        <v>29</v>
      </c>
      <c r="J265" t="s">
        <v>12</v>
      </c>
      <c r="K265" t="s">
        <v>56</v>
      </c>
      <c r="L265" t="s">
        <v>26</v>
      </c>
      <c r="M265">
        <v>48.01</v>
      </c>
      <c r="N265">
        <v>2326.85</v>
      </c>
      <c r="O265" t="s">
        <v>64</v>
      </c>
      <c r="P265" t="s">
        <v>55</v>
      </c>
    </row>
    <row r="266" spans="1:16" x14ac:dyDescent="0.35">
      <c r="A266" t="s">
        <v>330</v>
      </c>
      <c r="B266">
        <v>27</v>
      </c>
      <c r="C266" t="s">
        <v>55</v>
      </c>
      <c r="D266" t="s">
        <v>55</v>
      </c>
      <c r="E266" t="s">
        <v>56</v>
      </c>
      <c r="F266">
        <v>11</v>
      </c>
      <c r="G266" t="s">
        <v>56</v>
      </c>
      <c r="H266" t="s">
        <v>56</v>
      </c>
      <c r="I266" t="s">
        <v>29</v>
      </c>
      <c r="J266" t="s">
        <v>12</v>
      </c>
      <c r="K266" t="s">
        <v>55</v>
      </c>
      <c r="L266" t="s">
        <v>26</v>
      </c>
      <c r="M266">
        <v>70.45</v>
      </c>
      <c r="N266">
        <v>744.13</v>
      </c>
      <c r="O266" t="s">
        <v>64</v>
      </c>
      <c r="P266" t="s">
        <v>55</v>
      </c>
    </row>
    <row r="267" spans="1:16" x14ac:dyDescent="0.35">
      <c r="A267" t="s">
        <v>331</v>
      </c>
      <c r="B267">
        <v>68</v>
      </c>
      <c r="C267" t="s">
        <v>56</v>
      </c>
      <c r="D267" t="s">
        <v>56</v>
      </c>
      <c r="E267" t="s">
        <v>56</v>
      </c>
      <c r="F267">
        <v>56</v>
      </c>
      <c r="G267" t="s">
        <v>55</v>
      </c>
      <c r="H267" t="s">
        <v>60</v>
      </c>
      <c r="I267" t="s">
        <v>29</v>
      </c>
      <c r="J267" t="s">
        <v>12</v>
      </c>
      <c r="K267" t="s">
        <v>55</v>
      </c>
      <c r="L267" t="s">
        <v>57</v>
      </c>
      <c r="M267">
        <v>41.51</v>
      </c>
      <c r="N267">
        <v>2240.71</v>
      </c>
      <c r="O267" t="s">
        <v>80</v>
      </c>
      <c r="P267" t="s">
        <v>55</v>
      </c>
    </row>
    <row r="268" spans="1:16" x14ac:dyDescent="0.35">
      <c r="A268" t="s">
        <v>332</v>
      </c>
      <c r="B268">
        <v>75</v>
      </c>
      <c r="C268" t="s">
        <v>56</v>
      </c>
      <c r="D268" t="s">
        <v>55</v>
      </c>
      <c r="E268" t="s">
        <v>56</v>
      </c>
      <c r="F268">
        <v>3</v>
      </c>
      <c r="G268" t="s">
        <v>56</v>
      </c>
      <c r="H268" t="s">
        <v>56</v>
      </c>
      <c r="I268" t="s">
        <v>29</v>
      </c>
      <c r="J268" t="s">
        <v>14</v>
      </c>
      <c r="K268" t="s">
        <v>55</v>
      </c>
      <c r="L268" t="s">
        <v>26</v>
      </c>
      <c r="M268">
        <v>55.34</v>
      </c>
      <c r="N268">
        <v>167.79</v>
      </c>
      <c r="O268" t="s">
        <v>66</v>
      </c>
      <c r="P268" t="s">
        <v>56</v>
      </c>
    </row>
    <row r="269" spans="1:16" x14ac:dyDescent="0.35">
      <c r="A269" t="s">
        <v>333</v>
      </c>
      <c r="B269">
        <v>20</v>
      </c>
      <c r="C269" t="s">
        <v>55</v>
      </c>
      <c r="D269" t="s">
        <v>55</v>
      </c>
      <c r="E269" t="s">
        <v>55</v>
      </c>
      <c r="F269">
        <v>59</v>
      </c>
      <c r="G269" t="s">
        <v>55</v>
      </c>
      <c r="H269" t="s">
        <v>60</v>
      </c>
      <c r="I269" t="s">
        <v>29</v>
      </c>
      <c r="J269" t="s">
        <v>12</v>
      </c>
      <c r="K269" t="s">
        <v>56</v>
      </c>
      <c r="L269" t="s">
        <v>26</v>
      </c>
      <c r="M269">
        <v>76.06</v>
      </c>
      <c r="N269">
        <v>4411.75</v>
      </c>
      <c r="O269" t="s">
        <v>66</v>
      </c>
      <c r="P269" t="s">
        <v>56</v>
      </c>
    </row>
    <row r="270" spans="1:16" x14ac:dyDescent="0.35">
      <c r="A270" t="s">
        <v>334</v>
      </c>
      <c r="B270">
        <v>43</v>
      </c>
      <c r="C270" t="s">
        <v>55</v>
      </c>
      <c r="D270" t="s">
        <v>56</v>
      </c>
      <c r="E270" t="s">
        <v>56</v>
      </c>
      <c r="F270">
        <v>29</v>
      </c>
      <c r="G270" t="s">
        <v>56</v>
      </c>
      <c r="H270" t="s">
        <v>56</v>
      </c>
      <c r="I270" t="s">
        <v>29</v>
      </c>
      <c r="J270" t="s">
        <v>12</v>
      </c>
      <c r="K270" t="s">
        <v>56</v>
      </c>
      <c r="L270" t="s">
        <v>26</v>
      </c>
      <c r="M270">
        <v>68.44</v>
      </c>
      <c r="N270">
        <v>2054.34</v>
      </c>
      <c r="O270" t="s">
        <v>69</v>
      </c>
      <c r="P270" t="s">
        <v>55</v>
      </c>
    </row>
    <row r="271" spans="1:16" x14ac:dyDescent="0.35">
      <c r="A271" t="s">
        <v>335</v>
      </c>
      <c r="B271">
        <v>34</v>
      </c>
      <c r="C271" t="s">
        <v>55</v>
      </c>
      <c r="D271" t="s">
        <v>56</v>
      </c>
      <c r="E271" t="s">
        <v>56</v>
      </c>
      <c r="F271">
        <v>14</v>
      </c>
      <c r="G271" t="s">
        <v>56</v>
      </c>
      <c r="H271" t="s">
        <v>56</v>
      </c>
      <c r="I271" t="s">
        <v>29</v>
      </c>
      <c r="J271" t="s">
        <v>12</v>
      </c>
      <c r="K271" t="s">
        <v>55</v>
      </c>
      <c r="L271" t="s">
        <v>57</v>
      </c>
      <c r="M271">
        <v>61.89</v>
      </c>
      <c r="N271">
        <v>863.8</v>
      </c>
      <c r="O271" t="s">
        <v>69</v>
      </c>
      <c r="P271" t="s">
        <v>56</v>
      </c>
    </row>
    <row r="272" spans="1:16" x14ac:dyDescent="0.35">
      <c r="A272" t="s">
        <v>336</v>
      </c>
      <c r="B272">
        <v>61</v>
      </c>
      <c r="C272" t="s">
        <v>56</v>
      </c>
      <c r="D272" t="s">
        <v>56</v>
      </c>
      <c r="E272" t="s">
        <v>55</v>
      </c>
      <c r="F272">
        <v>54</v>
      </c>
      <c r="G272" t="s">
        <v>55</v>
      </c>
      <c r="H272" t="s">
        <v>60</v>
      </c>
      <c r="I272" t="s">
        <v>29</v>
      </c>
      <c r="J272" t="s">
        <v>13</v>
      </c>
      <c r="K272" t="s">
        <v>56</v>
      </c>
      <c r="L272" t="s">
        <v>57</v>
      </c>
      <c r="M272">
        <v>75.94</v>
      </c>
      <c r="N272">
        <v>4106.46</v>
      </c>
      <c r="O272" t="s">
        <v>76</v>
      </c>
      <c r="P272" t="s">
        <v>55</v>
      </c>
    </row>
    <row r="273" spans="1:16" x14ac:dyDescent="0.35">
      <c r="A273" t="s">
        <v>337</v>
      </c>
      <c r="B273">
        <v>25</v>
      </c>
      <c r="C273" t="s">
        <v>55</v>
      </c>
      <c r="D273" t="s">
        <v>56</v>
      </c>
      <c r="E273" t="s">
        <v>55</v>
      </c>
      <c r="F273">
        <v>26</v>
      </c>
      <c r="G273" t="s">
        <v>55</v>
      </c>
      <c r="H273" t="s">
        <v>60</v>
      </c>
      <c r="I273" t="s">
        <v>29</v>
      </c>
      <c r="J273" t="s">
        <v>14</v>
      </c>
      <c r="K273" t="s">
        <v>56</v>
      </c>
      <c r="L273" t="s">
        <v>57</v>
      </c>
      <c r="M273">
        <v>56.39</v>
      </c>
      <c r="N273">
        <v>1406.39</v>
      </c>
      <c r="O273" t="s">
        <v>62</v>
      </c>
      <c r="P273" t="s">
        <v>55</v>
      </c>
    </row>
    <row r="274" spans="1:16" x14ac:dyDescent="0.35">
      <c r="A274" t="s">
        <v>338</v>
      </c>
      <c r="B274">
        <v>62</v>
      </c>
      <c r="C274" t="s">
        <v>56</v>
      </c>
      <c r="D274" t="s">
        <v>55</v>
      </c>
      <c r="E274" t="s">
        <v>55</v>
      </c>
      <c r="F274">
        <v>31</v>
      </c>
      <c r="G274" t="s">
        <v>56</v>
      </c>
      <c r="H274" t="s">
        <v>55</v>
      </c>
      <c r="I274" t="s">
        <v>30</v>
      </c>
      <c r="J274" t="s">
        <v>14</v>
      </c>
      <c r="K274" t="s">
        <v>55</v>
      </c>
      <c r="L274" t="s">
        <v>26</v>
      </c>
      <c r="M274">
        <v>74.5</v>
      </c>
      <c r="N274">
        <v>2312.7399999999998</v>
      </c>
      <c r="O274" t="s">
        <v>80</v>
      </c>
      <c r="P274" t="s">
        <v>55</v>
      </c>
    </row>
    <row r="275" spans="1:16" x14ac:dyDescent="0.35">
      <c r="A275" t="s">
        <v>339</v>
      </c>
      <c r="B275">
        <v>75</v>
      </c>
      <c r="C275" t="s">
        <v>56</v>
      </c>
      <c r="D275" t="s">
        <v>55</v>
      </c>
      <c r="E275" t="s">
        <v>56</v>
      </c>
      <c r="F275">
        <v>59</v>
      </c>
      <c r="G275" t="s">
        <v>55</v>
      </c>
      <c r="H275" t="s">
        <v>60</v>
      </c>
      <c r="I275" t="s">
        <v>55</v>
      </c>
      <c r="J275" t="s">
        <v>12</v>
      </c>
      <c r="K275" t="s">
        <v>56</v>
      </c>
      <c r="L275" t="s">
        <v>26</v>
      </c>
      <c r="M275">
        <v>20.100000000000001</v>
      </c>
      <c r="N275">
        <v>1120.3599999999999</v>
      </c>
      <c r="O275" t="s">
        <v>66</v>
      </c>
      <c r="P275" t="s">
        <v>56</v>
      </c>
    </row>
    <row r="276" spans="1:16" x14ac:dyDescent="0.35">
      <c r="A276" t="s">
        <v>340</v>
      </c>
      <c r="B276">
        <v>61</v>
      </c>
      <c r="C276" t="s">
        <v>56</v>
      </c>
      <c r="D276" t="s">
        <v>55</v>
      </c>
      <c r="E276" t="s">
        <v>55</v>
      </c>
      <c r="F276">
        <v>15</v>
      </c>
      <c r="G276" t="s">
        <v>56</v>
      </c>
      <c r="H276" t="s">
        <v>56</v>
      </c>
      <c r="I276" t="s">
        <v>30</v>
      </c>
      <c r="J276" t="s">
        <v>12</v>
      </c>
      <c r="K276" t="s">
        <v>56</v>
      </c>
      <c r="L276" t="s">
        <v>26</v>
      </c>
      <c r="M276">
        <v>114.73</v>
      </c>
      <c r="N276">
        <v>1814.93</v>
      </c>
      <c r="O276" t="s">
        <v>69</v>
      </c>
      <c r="P276" t="s">
        <v>56</v>
      </c>
    </row>
    <row r="277" spans="1:16" x14ac:dyDescent="0.35">
      <c r="A277" t="s">
        <v>341</v>
      </c>
      <c r="B277">
        <v>23</v>
      </c>
      <c r="C277" t="s">
        <v>55</v>
      </c>
      <c r="D277" t="s">
        <v>55</v>
      </c>
      <c r="E277" t="s">
        <v>55</v>
      </c>
      <c r="F277">
        <v>24</v>
      </c>
      <c r="G277" t="s">
        <v>55</v>
      </c>
      <c r="H277" t="s">
        <v>60</v>
      </c>
      <c r="I277" t="s">
        <v>30</v>
      </c>
      <c r="J277" t="s">
        <v>14</v>
      </c>
      <c r="K277" t="s">
        <v>55</v>
      </c>
      <c r="L277" t="s">
        <v>61</v>
      </c>
      <c r="M277">
        <v>104.5</v>
      </c>
      <c r="N277">
        <v>2501.4499999999998</v>
      </c>
      <c r="O277" t="s">
        <v>66</v>
      </c>
      <c r="P277" t="s">
        <v>55</v>
      </c>
    </row>
    <row r="278" spans="1:16" x14ac:dyDescent="0.35">
      <c r="A278" t="s">
        <v>342</v>
      </c>
      <c r="B278">
        <v>28</v>
      </c>
      <c r="C278" t="s">
        <v>55</v>
      </c>
      <c r="D278" t="s">
        <v>56</v>
      </c>
      <c r="E278" t="s">
        <v>56</v>
      </c>
      <c r="F278">
        <v>8</v>
      </c>
      <c r="G278" t="s">
        <v>56</v>
      </c>
      <c r="H278" t="s">
        <v>56</v>
      </c>
      <c r="I278" t="s">
        <v>55</v>
      </c>
      <c r="J278" t="s">
        <v>14</v>
      </c>
      <c r="K278" t="s">
        <v>55</v>
      </c>
      <c r="L278" t="s">
        <v>61</v>
      </c>
      <c r="M278">
        <v>26.14</v>
      </c>
      <c r="N278">
        <v>201.12</v>
      </c>
      <c r="O278" t="s">
        <v>76</v>
      </c>
      <c r="P278" t="s">
        <v>55</v>
      </c>
    </row>
    <row r="279" spans="1:16" x14ac:dyDescent="0.35">
      <c r="A279" t="s">
        <v>343</v>
      </c>
      <c r="B279">
        <v>57</v>
      </c>
      <c r="C279" t="s">
        <v>55</v>
      </c>
      <c r="D279" t="s">
        <v>56</v>
      </c>
      <c r="E279" t="s">
        <v>56</v>
      </c>
      <c r="F279">
        <v>62</v>
      </c>
      <c r="G279" t="s">
        <v>56</v>
      </c>
      <c r="H279" t="s">
        <v>55</v>
      </c>
      <c r="I279" t="s">
        <v>55</v>
      </c>
      <c r="J279" t="s">
        <v>12</v>
      </c>
      <c r="K279" t="s">
        <v>56</v>
      </c>
      <c r="L279" t="s">
        <v>26</v>
      </c>
      <c r="M279">
        <v>21.77</v>
      </c>
      <c r="N279">
        <v>1382.87</v>
      </c>
      <c r="O279" t="s">
        <v>66</v>
      </c>
      <c r="P279" t="s">
        <v>55</v>
      </c>
    </row>
    <row r="280" spans="1:16" x14ac:dyDescent="0.35">
      <c r="A280" t="s">
        <v>344</v>
      </c>
      <c r="B280">
        <v>65</v>
      </c>
      <c r="C280" t="s">
        <v>56</v>
      </c>
      <c r="D280" t="s">
        <v>56</v>
      </c>
      <c r="E280" t="s">
        <v>55</v>
      </c>
      <c r="F280">
        <v>67</v>
      </c>
      <c r="G280" t="s">
        <v>56</v>
      </c>
      <c r="H280" t="s">
        <v>55</v>
      </c>
      <c r="I280" t="s">
        <v>29</v>
      </c>
      <c r="J280" t="s">
        <v>13</v>
      </c>
      <c r="K280" t="s">
        <v>55</v>
      </c>
      <c r="L280" t="s">
        <v>26</v>
      </c>
      <c r="M280">
        <v>67.05</v>
      </c>
      <c r="N280">
        <v>4430.29</v>
      </c>
      <c r="O280" t="s">
        <v>58</v>
      </c>
      <c r="P280" t="s">
        <v>55</v>
      </c>
    </row>
    <row r="281" spans="1:16" x14ac:dyDescent="0.35">
      <c r="A281" t="s">
        <v>345</v>
      </c>
      <c r="B281">
        <v>75</v>
      </c>
      <c r="C281" t="s">
        <v>56</v>
      </c>
      <c r="D281" t="s">
        <v>56</v>
      </c>
      <c r="E281" t="s">
        <v>56</v>
      </c>
      <c r="F281">
        <v>21</v>
      </c>
      <c r="G281" t="s">
        <v>55</v>
      </c>
      <c r="H281" t="s">
        <v>60</v>
      </c>
      <c r="I281" t="s">
        <v>29</v>
      </c>
      <c r="J281" t="s">
        <v>14</v>
      </c>
      <c r="K281" t="s">
        <v>56</v>
      </c>
      <c r="L281" t="s">
        <v>26</v>
      </c>
      <c r="M281">
        <v>59.67</v>
      </c>
      <c r="N281">
        <v>1214.1099999999999</v>
      </c>
      <c r="O281" t="s">
        <v>80</v>
      </c>
      <c r="P281" t="s">
        <v>55</v>
      </c>
    </row>
    <row r="282" spans="1:16" x14ac:dyDescent="0.35">
      <c r="A282" t="s">
        <v>346</v>
      </c>
      <c r="B282">
        <v>50</v>
      </c>
      <c r="C282" t="s">
        <v>55</v>
      </c>
      <c r="D282" t="s">
        <v>56</v>
      </c>
      <c r="E282" t="s">
        <v>55</v>
      </c>
      <c r="F282">
        <v>52</v>
      </c>
      <c r="G282" t="s">
        <v>56</v>
      </c>
      <c r="H282" t="s">
        <v>55</v>
      </c>
      <c r="I282" t="s">
        <v>55</v>
      </c>
      <c r="J282" t="s">
        <v>14</v>
      </c>
      <c r="K282" t="s">
        <v>55</v>
      </c>
      <c r="L282" t="s">
        <v>26</v>
      </c>
      <c r="M282">
        <v>23.98</v>
      </c>
      <c r="N282">
        <v>1219.44</v>
      </c>
      <c r="O282" t="s">
        <v>69</v>
      </c>
      <c r="P282" t="s">
        <v>55</v>
      </c>
    </row>
    <row r="283" spans="1:16" x14ac:dyDescent="0.35">
      <c r="A283" t="s">
        <v>347</v>
      </c>
      <c r="B283">
        <v>59</v>
      </c>
      <c r="C283" t="s">
        <v>55</v>
      </c>
      <c r="D283" t="s">
        <v>56</v>
      </c>
      <c r="E283" t="s">
        <v>56</v>
      </c>
      <c r="F283">
        <v>52</v>
      </c>
      <c r="G283" t="s">
        <v>56</v>
      </c>
      <c r="H283" t="s">
        <v>55</v>
      </c>
      <c r="I283" t="s">
        <v>30</v>
      </c>
      <c r="J283" t="s">
        <v>13</v>
      </c>
      <c r="K283" t="s">
        <v>55</v>
      </c>
      <c r="L283" t="s">
        <v>25</v>
      </c>
      <c r="M283">
        <v>98.12</v>
      </c>
      <c r="N283">
        <v>5196.8900000000003</v>
      </c>
      <c r="O283" t="s">
        <v>76</v>
      </c>
      <c r="P283" t="s">
        <v>55</v>
      </c>
    </row>
    <row r="284" spans="1:16" x14ac:dyDescent="0.35">
      <c r="A284" t="s">
        <v>348</v>
      </c>
      <c r="B284">
        <v>41</v>
      </c>
      <c r="C284" t="s">
        <v>55</v>
      </c>
      <c r="D284" t="s">
        <v>56</v>
      </c>
      <c r="E284" t="s">
        <v>56</v>
      </c>
      <c r="F284">
        <v>59</v>
      </c>
      <c r="G284" t="s">
        <v>55</v>
      </c>
      <c r="H284" t="s">
        <v>60</v>
      </c>
      <c r="I284" t="s">
        <v>30</v>
      </c>
      <c r="J284" t="s">
        <v>13</v>
      </c>
      <c r="K284" t="s">
        <v>55</v>
      </c>
      <c r="L284" t="s">
        <v>61</v>
      </c>
      <c r="M284">
        <v>75.7</v>
      </c>
      <c r="N284">
        <v>4605.28</v>
      </c>
      <c r="O284" t="s">
        <v>76</v>
      </c>
      <c r="P284" t="s">
        <v>55</v>
      </c>
    </row>
    <row r="285" spans="1:16" x14ac:dyDescent="0.35">
      <c r="A285" t="s">
        <v>349</v>
      </c>
      <c r="B285">
        <v>40</v>
      </c>
      <c r="C285" t="s">
        <v>55</v>
      </c>
      <c r="D285" t="s">
        <v>55</v>
      </c>
      <c r="E285" t="s">
        <v>55</v>
      </c>
      <c r="F285">
        <v>14</v>
      </c>
      <c r="G285" t="s">
        <v>56</v>
      </c>
      <c r="H285" t="s">
        <v>55</v>
      </c>
      <c r="I285" t="s">
        <v>30</v>
      </c>
      <c r="J285" t="s">
        <v>14</v>
      </c>
      <c r="K285" t="s">
        <v>55</v>
      </c>
      <c r="L285" t="s">
        <v>26</v>
      </c>
      <c r="M285">
        <v>100.54</v>
      </c>
      <c r="N285">
        <v>1354.78</v>
      </c>
      <c r="O285" t="s">
        <v>64</v>
      </c>
      <c r="P285" t="s">
        <v>55</v>
      </c>
    </row>
    <row r="286" spans="1:16" x14ac:dyDescent="0.35">
      <c r="A286" t="s">
        <v>350</v>
      </c>
      <c r="B286">
        <v>31</v>
      </c>
      <c r="C286" t="s">
        <v>55</v>
      </c>
      <c r="D286" t="s">
        <v>55</v>
      </c>
      <c r="E286" t="s">
        <v>56</v>
      </c>
      <c r="F286">
        <v>44</v>
      </c>
      <c r="G286" t="s">
        <v>55</v>
      </c>
      <c r="H286" t="s">
        <v>60</v>
      </c>
      <c r="I286" t="s">
        <v>30</v>
      </c>
      <c r="J286" t="s">
        <v>12</v>
      </c>
      <c r="K286" t="s">
        <v>56</v>
      </c>
      <c r="L286" t="s">
        <v>61</v>
      </c>
      <c r="M286">
        <v>92.53</v>
      </c>
      <c r="N286">
        <v>4148.74</v>
      </c>
      <c r="O286" t="s">
        <v>62</v>
      </c>
      <c r="P286" t="s">
        <v>55</v>
      </c>
    </row>
    <row r="287" spans="1:16" x14ac:dyDescent="0.35">
      <c r="A287" t="s">
        <v>351</v>
      </c>
      <c r="B287">
        <v>49</v>
      </c>
      <c r="C287" t="s">
        <v>55</v>
      </c>
      <c r="D287" t="s">
        <v>56</v>
      </c>
      <c r="E287" t="s">
        <v>56</v>
      </c>
      <c r="F287">
        <v>71</v>
      </c>
      <c r="G287" t="s">
        <v>55</v>
      </c>
      <c r="H287" t="s">
        <v>60</v>
      </c>
      <c r="I287" t="s">
        <v>55</v>
      </c>
      <c r="J287" t="s">
        <v>14</v>
      </c>
      <c r="K287" t="s">
        <v>56</v>
      </c>
      <c r="L287" t="s">
        <v>61</v>
      </c>
      <c r="M287">
        <v>20.079999999999998</v>
      </c>
      <c r="N287">
        <v>1479.61</v>
      </c>
      <c r="O287" t="s">
        <v>69</v>
      </c>
      <c r="P287" t="s">
        <v>55</v>
      </c>
    </row>
    <row r="288" spans="1:16" x14ac:dyDescent="0.35">
      <c r="A288" t="s">
        <v>352</v>
      </c>
      <c r="B288">
        <v>56</v>
      </c>
      <c r="C288" t="s">
        <v>55</v>
      </c>
      <c r="D288" t="s">
        <v>55</v>
      </c>
      <c r="E288" t="s">
        <v>55</v>
      </c>
      <c r="F288">
        <v>54</v>
      </c>
      <c r="G288" t="s">
        <v>56</v>
      </c>
      <c r="H288" t="s">
        <v>56</v>
      </c>
      <c r="I288" t="s">
        <v>55</v>
      </c>
      <c r="J288" t="s">
        <v>14</v>
      </c>
      <c r="K288" t="s">
        <v>55</v>
      </c>
      <c r="L288" t="s">
        <v>57</v>
      </c>
      <c r="M288">
        <v>19.600000000000001</v>
      </c>
      <c r="N288">
        <v>1047.32</v>
      </c>
      <c r="O288" t="s">
        <v>69</v>
      </c>
      <c r="P288" t="s">
        <v>55</v>
      </c>
    </row>
    <row r="289" spans="1:16" x14ac:dyDescent="0.35">
      <c r="A289" t="s">
        <v>353</v>
      </c>
      <c r="B289">
        <v>50</v>
      </c>
      <c r="C289" t="s">
        <v>55</v>
      </c>
      <c r="D289" t="s">
        <v>55</v>
      </c>
      <c r="E289" t="s">
        <v>55</v>
      </c>
      <c r="F289">
        <v>71</v>
      </c>
      <c r="G289" t="s">
        <v>56</v>
      </c>
      <c r="H289" t="s">
        <v>56</v>
      </c>
      <c r="I289" t="s">
        <v>29</v>
      </c>
      <c r="J289" t="s">
        <v>13</v>
      </c>
      <c r="K289" t="s">
        <v>55</v>
      </c>
      <c r="L289" t="s">
        <v>25</v>
      </c>
      <c r="M289">
        <v>45.31</v>
      </c>
      <c r="N289">
        <v>3298.23</v>
      </c>
      <c r="O289" t="s">
        <v>62</v>
      </c>
      <c r="P289" t="s">
        <v>55</v>
      </c>
    </row>
    <row r="290" spans="1:16" x14ac:dyDescent="0.35">
      <c r="A290" t="s">
        <v>354</v>
      </c>
      <c r="B290">
        <v>50</v>
      </c>
      <c r="C290" t="s">
        <v>55</v>
      </c>
      <c r="D290" t="s">
        <v>55</v>
      </c>
      <c r="E290" t="s">
        <v>56</v>
      </c>
      <c r="F290">
        <v>46</v>
      </c>
      <c r="G290" t="s">
        <v>55</v>
      </c>
      <c r="H290" t="s">
        <v>60</v>
      </c>
      <c r="I290" t="s">
        <v>29</v>
      </c>
      <c r="J290" t="s">
        <v>13</v>
      </c>
      <c r="K290" t="s">
        <v>55</v>
      </c>
      <c r="L290" t="s">
        <v>25</v>
      </c>
      <c r="M290">
        <v>56.9</v>
      </c>
      <c r="N290">
        <v>2464.37</v>
      </c>
      <c r="O290" t="s">
        <v>64</v>
      </c>
      <c r="P290" t="s">
        <v>56</v>
      </c>
    </row>
    <row r="291" spans="1:16" x14ac:dyDescent="0.35">
      <c r="A291" t="s">
        <v>355</v>
      </c>
      <c r="B291">
        <v>27</v>
      </c>
      <c r="C291" t="s">
        <v>55</v>
      </c>
      <c r="D291" t="s">
        <v>56</v>
      </c>
      <c r="E291" t="s">
        <v>56</v>
      </c>
      <c r="F291">
        <v>26</v>
      </c>
      <c r="G291" t="s">
        <v>56</v>
      </c>
      <c r="H291" t="s">
        <v>55</v>
      </c>
      <c r="I291" t="s">
        <v>30</v>
      </c>
      <c r="J291" t="s">
        <v>13</v>
      </c>
      <c r="K291" t="s">
        <v>56</v>
      </c>
      <c r="L291" t="s">
        <v>61</v>
      </c>
      <c r="M291">
        <v>104.53</v>
      </c>
      <c r="N291">
        <v>2650.97</v>
      </c>
      <c r="O291" t="s">
        <v>80</v>
      </c>
      <c r="P291" t="s">
        <v>55</v>
      </c>
    </row>
    <row r="292" spans="1:16" x14ac:dyDescent="0.35">
      <c r="A292" t="s">
        <v>356</v>
      </c>
      <c r="B292">
        <v>40</v>
      </c>
      <c r="C292" t="s">
        <v>55</v>
      </c>
      <c r="D292" t="s">
        <v>55</v>
      </c>
      <c r="E292" t="s">
        <v>56</v>
      </c>
      <c r="F292">
        <v>72</v>
      </c>
      <c r="G292" t="s">
        <v>55</v>
      </c>
      <c r="H292" t="s">
        <v>60</v>
      </c>
      <c r="I292" t="s">
        <v>55</v>
      </c>
      <c r="J292" t="s">
        <v>12</v>
      </c>
      <c r="K292" t="s">
        <v>55</v>
      </c>
      <c r="L292" t="s">
        <v>61</v>
      </c>
      <c r="M292">
        <v>18.559999999999999</v>
      </c>
      <c r="N292">
        <v>1317.33</v>
      </c>
      <c r="O292" t="s">
        <v>66</v>
      </c>
      <c r="P292" t="s">
        <v>55</v>
      </c>
    </row>
    <row r="293" spans="1:16" x14ac:dyDescent="0.35">
      <c r="A293" t="s">
        <v>357</v>
      </c>
      <c r="B293">
        <v>61</v>
      </c>
      <c r="C293" t="s">
        <v>56</v>
      </c>
      <c r="D293" t="s">
        <v>55</v>
      </c>
      <c r="E293" t="s">
        <v>56</v>
      </c>
      <c r="F293">
        <v>2</v>
      </c>
      <c r="G293" t="s">
        <v>56</v>
      </c>
      <c r="H293" t="s">
        <v>55</v>
      </c>
      <c r="I293" t="s">
        <v>29</v>
      </c>
      <c r="J293" t="s">
        <v>13</v>
      </c>
      <c r="K293" t="s">
        <v>55</v>
      </c>
      <c r="L293" t="s">
        <v>61</v>
      </c>
      <c r="M293">
        <v>76.459999999999994</v>
      </c>
      <c r="N293">
        <v>156.68</v>
      </c>
      <c r="O293" t="s">
        <v>66</v>
      </c>
      <c r="P293" t="s">
        <v>55</v>
      </c>
    </row>
    <row r="294" spans="1:16" x14ac:dyDescent="0.35">
      <c r="A294" t="s">
        <v>358</v>
      </c>
      <c r="B294">
        <v>55</v>
      </c>
      <c r="C294" t="s">
        <v>55</v>
      </c>
      <c r="D294" t="s">
        <v>56</v>
      </c>
      <c r="E294" t="s">
        <v>56</v>
      </c>
      <c r="F294">
        <v>38</v>
      </c>
      <c r="G294" t="s">
        <v>56</v>
      </c>
      <c r="H294" t="s">
        <v>56</v>
      </c>
      <c r="I294" t="s">
        <v>30</v>
      </c>
      <c r="J294" t="s">
        <v>12</v>
      </c>
      <c r="K294" t="s">
        <v>56</v>
      </c>
      <c r="L294" t="s">
        <v>57</v>
      </c>
      <c r="M294">
        <v>91.43</v>
      </c>
      <c r="N294">
        <v>3497.94</v>
      </c>
      <c r="O294" t="s">
        <v>58</v>
      </c>
      <c r="P294" t="s">
        <v>56</v>
      </c>
    </row>
    <row r="295" spans="1:16" x14ac:dyDescent="0.35">
      <c r="A295" t="s">
        <v>359</v>
      </c>
      <c r="B295">
        <v>72</v>
      </c>
      <c r="C295" t="s">
        <v>56</v>
      </c>
      <c r="D295" t="s">
        <v>55</v>
      </c>
      <c r="E295" t="s">
        <v>56</v>
      </c>
      <c r="F295">
        <v>43</v>
      </c>
      <c r="G295" t="s">
        <v>56</v>
      </c>
      <c r="H295" t="s">
        <v>56</v>
      </c>
      <c r="I295" t="s">
        <v>29</v>
      </c>
      <c r="J295" t="s">
        <v>14</v>
      </c>
      <c r="K295" t="s">
        <v>56</v>
      </c>
      <c r="L295" t="s">
        <v>61</v>
      </c>
      <c r="M295">
        <v>65.010000000000005</v>
      </c>
      <c r="N295">
        <v>2910.54</v>
      </c>
      <c r="O295" t="s">
        <v>66</v>
      </c>
      <c r="P295" t="s">
        <v>55</v>
      </c>
    </row>
    <row r="296" spans="1:16" x14ac:dyDescent="0.35">
      <c r="A296" t="s">
        <v>360</v>
      </c>
      <c r="B296">
        <v>54</v>
      </c>
      <c r="C296" t="s">
        <v>55</v>
      </c>
      <c r="D296" t="s">
        <v>55</v>
      </c>
      <c r="E296" t="s">
        <v>56</v>
      </c>
      <c r="F296">
        <v>41</v>
      </c>
      <c r="G296" t="s">
        <v>56</v>
      </c>
      <c r="H296" t="s">
        <v>55</v>
      </c>
      <c r="I296" t="s">
        <v>29</v>
      </c>
      <c r="J296" t="s">
        <v>13</v>
      </c>
      <c r="K296" t="s">
        <v>56</v>
      </c>
      <c r="L296" t="s">
        <v>57</v>
      </c>
      <c r="M296">
        <v>61.48</v>
      </c>
      <c r="N296">
        <v>2397.25</v>
      </c>
      <c r="O296" t="s">
        <v>62</v>
      </c>
      <c r="P296" t="s">
        <v>55</v>
      </c>
    </row>
    <row r="297" spans="1:16" x14ac:dyDescent="0.35">
      <c r="A297" t="s">
        <v>361</v>
      </c>
      <c r="B297">
        <v>60</v>
      </c>
      <c r="C297" t="s">
        <v>56</v>
      </c>
      <c r="D297" t="s">
        <v>55</v>
      </c>
      <c r="E297" t="s">
        <v>55</v>
      </c>
      <c r="F297">
        <v>47</v>
      </c>
      <c r="G297" t="s">
        <v>55</v>
      </c>
      <c r="H297" t="s">
        <v>60</v>
      </c>
      <c r="I297" t="s">
        <v>30</v>
      </c>
      <c r="J297" t="s">
        <v>14</v>
      </c>
      <c r="K297" t="s">
        <v>56</v>
      </c>
      <c r="L297" t="s">
        <v>26</v>
      </c>
      <c r="M297">
        <v>87.3</v>
      </c>
      <c r="N297">
        <v>3975.25</v>
      </c>
      <c r="O297" t="s">
        <v>58</v>
      </c>
      <c r="P297" t="s">
        <v>55</v>
      </c>
    </row>
    <row r="298" spans="1:16" x14ac:dyDescent="0.35">
      <c r="A298" t="s">
        <v>362</v>
      </c>
      <c r="B298">
        <v>33</v>
      </c>
      <c r="C298" t="s">
        <v>55</v>
      </c>
      <c r="D298" t="s">
        <v>56</v>
      </c>
      <c r="E298" t="s">
        <v>55</v>
      </c>
      <c r="F298">
        <v>49</v>
      </c>
      <c r="G298" t="s">
        <v>56</v>
      </c>
      <c r="H298" t="s">
        <v>55</v>
      </c>
      <c r="I298" t="s">
        <v>55</v>
      </c>
      <c r="J298" t="s">
        <v>12</v>
      </c>
      <c r="K298" t="s">
        <v>55</v>
      </c>
      <c r="L298" t="s">
        <v>26</v>
      </c>
      <c r="M298">
        <v>24.2</v>
      </c>
      <c r="N298">
        <v>1224.29</v>
      </c>
      <c r="O298" t="s">
        <v>58</v>
      </c>
      <c r="P298" t="s">
        <v>55</v>
      </c>
    </row>
    <row r="299" spans="1:16" x14ac:dyDescent="0.35">
      <c r="A299" t="s">
        <v>363</v>
      </c>
      <c r="B299">
        <v>46</v>
      </c>
      <c r="C299" t="s">
        <v>55</v>
      </c>
      <c r="D299" t="s">
        <v>55</v>
      </c>
      <c r="E299" t="s">
        <v>56</v>
      </c>
      <c r="F299">
        <v>38</v>
      </c>
      <c r="G299" t="s">
        <v>56</v>
      </c>
      <c r="H299" t="s">
        <v>56</v>
      </c>
      <c r="I299" t="s">
        <v>55</v>
      </c>
      <c r="J299" t="s">
        <v>12</v>
      </c>
      <c r="K299" t="s">
        <v>56</v>
      </c>
      <c r="L299" t="s">
        <v>26</v>
      </c>
      <c r="M299">
        <v>29.48</v>
      </c>
      <c r="N299">
        <v>1125.3399999999999</v>
      </c>
      <c r="O299" t="s">
        <v>80</v>
      </c>
      <c r="P299" t="s">
        <v>56</v>
      </c>
    </row>
    <row r="300" spans="1:16" x14ac:dyDescent="0.35">
      <c r="A300" t="s">
        <v>364</v>
      </c>
      <c r="B300">
        <v>31</v>
      </c>
      <c r="C300" t="s">
        <v>55</v>
      </c>
      <c r="D300" t="s">
        <v>56</v>
      </c>
      <c r="E300" t="s">
        <v>55</v>
      </c>
      <c r="F300">
        <v>14</v>
      </c>
      <c r="G300" t="s">
        <v>55</v>
      </c>
      <c r="H300" t="s">
        <v>60</v>
      </c>
      <c r="I300" t="s">
        <v>30</v>
      </c>
      <c r="J300" t="s">
        <v>13</v>
      </c>
      <c r="K300" t="s">
        <v>56</v>
      </c>
      <c r="L300" t="s">
        <v>61</v>
      </c>
      <c r="M300">
        <v>77.69</v>
      </c>
      <c r="N300">
        <v>1082.3399999999999</v>
      </c>
      <c r="O300" t="s">
        <v>80</v>
      </c>
      <c r="P300" t="s">
        <v>55</v>
      </c>
    </row>
    <row r="301" spans="1:16" x14ac:dyDescent="0.35">
      <c r="A301" t="s">
        <v>365</v>
      </c>
      <c r="B301">
        <v>22</v>
      </c>
      <c r="C301" t="s">
        <v>55</v>
      </c>
      <c r="D301" t="s">
        <v>56</v>
      </c>
      <c r="E301" t="s">
        <v>56</v>
      </c>
      <c r="F301">
        <v>33</v>
      </c>
      <c r="G301" t="s">
        <v>56</v>
      </c>
      <c r="H301" t="s">
        <v>55</v>
      </c>
      <c r="I301" t="s">
        <v>29</v>
      </c>
      <c r="J301" t="s">
        <v>12</v>
      </c>
      <c r="K301" t="s">
        <v>55</v>
      </c>
      <c r="L301" t="s">
        <v>61</v>
      </c>
      <c r="M301">
        <v>57.32</v>
      </c>
      <c r="N301">
        <v>1781.9</v>
      </c>
      <c r="O301" t="s">
        <v>58</v>
      </c>
      <c r="P301" t="s">
        <v>55</v>
      </c>
    </row>
    <row r="302" spans="1:16" x14ac:dyDescent="0.35">
      <c r="A302" t="s">
        <v>366</v>
      </c>
      <c r="B302">
        <v>18</v>
      </c>
      <c r="C302" t="s">
        <v>55</v>
      </c>
      <c r="D302" t="s">
        <v>56</v>
      </c>
      <c r="E302" t="s">
        <v>56</v>
      </c>
      <c r="F302">
        <v>10</v>
      </c>
      <c r="G302" t="s">
        <v>56</v>
      </c>
      <c r="H302" t="s">
        <v>56</v>
      </c>
      <c r="I302" t="s">
        <v>30</v>
      </c>
      <c r="J302" t="s">
        <v>13</v>
      </c>
      <c r="K302" t="s">
        <v>56</v>
      </c>
      <c r="L302" t="s">
        <v>26</v>
      </c>
      <c r="M302">
        <v>116.33</v>
      </c>
      <c r="N302">
        <v>1146.75</v>
      </c>
      <c r="O302" t="s">
        <v>80</v>
      </c>
      <c r="P302" t="s">
        <v>55</v>
      </c>
    </row>
    <row r="303" spans="1:16" x14ac:dyDescent="0.35">
      <c r="A303" t="s">
        <v>367</v>
      </c>
      <c r="B303">
        <v>48</v>
      </c>
      <c r="C303" t="s">
        <v>55</v>
      </c>
      <c r="D303" t="s">
        <v>56</v>
      </c>
      <c r="E303" t="s">
        <v>56</v>
      </c>
      <c r="F303">
        <v>18</v>
      </c>
      <c r="G303" t="s">
        <v>55</v>
      </c>
      <c r="H303" t="s">
        <v>60</v>
      </c>
      <c r="I303" t="s">
        <v>29</v>
      </c>
      <c r="J303" t="s">
        <v>14</v>
      </c>
      <c r="K303" t="s">
        <v>56</v>
      </c>
      <c r="L303" t="s">
        <v>26</v>
      </c>
      <c r="M303">
        <v>75.48</v>
      </c>
      <c r="N303">
        <v>1434.51</v>
      </c>
      <c r="O303" t="s">
        <v>69</v>
      </c>
      <c r="P303" t="s">
        <v>55</v>
      </c>
    </row>
    <row r="304" spans="1:16" x14ac:dyDescent="0.35">
      <c r="A304" t="s">
        <v>368</v>
      </c>
      <c r="B304">
        <v>41</v>
      </c>
      <c r="C304" t="s">
        <v>55</v>
      </c>
      <c r="D304" t="s">
        <v>56</v>
      </c>
      <c r="E304" t="s">
        <v>56</v>
      </c>
      <c r="F304">
        <v>16</v>
      </c>
      <c r="G304" t="s">
        <v>55</v>
      </c>
      <c r="H304" t="s">
        <v>60</v>
      </c>
      <c r="I304" t="s">
        <v>30</v>
      </c>
      <c r="J304" t="s">
        <v>12</v>
      </c>
      <c r="K304" t="s">
        <v>56</v>
      </c>
      <c r="L304" t="s">
        <v>26</v>
      </c>
      <c r="M304">
        <v>107.41</v>
      </c>
      <c r="N304">
        <v>1801.78</v>
      </c>
      <c r="O304" t="s">
        <v>64</v>
      </c>
      <c r="P304" t="s">
        <v>56</v>
      </c>
    </row>
    <row r="305" spans="1:16" x14ac:dyDescent="0.35">
      <c r="A305" t="s">
        <v>369</v>
      </c>
      <c r="B305">
        <v>75</v>
      </c>
      <c r="C305" t="s">
        <v>56</v>
      </c>
      <c r="D305" t="s">
        <v>56</v>
      </c>
      <c r="E305" t="s">
        <v>56</v>
      </c>
      <c r="F305">
        <v>24</v>
      </c>
      <c r="G305" t="s">
        <v>55</v>
      </c>
      <c r="H305" t="s">
        <v>60</v>
      </c>
      <c r="I305" t="s">
        <v>30</v>
      </c>
      <c r="J305" t="s">
        <v>12</v>
      </c>
      <c r="K305" t="s">
        <v>56</v>
      </c>
      <c r="L305" t="s">
        <v>61</v>
      </c>
      <c r="M305">
        <v>98.36</v>
      </c>
      <c r="N305">
        <v>2234.41</v>
      </c>
      <c r="O305" t="s">
        <v>58</v>
      </c>
      <c r="P305" t="s">
        <v>55</v>
      </c>
    </row>
    <row r="306" spans="1:16" x14ac:dyDescent="0.35">
      <c r="A306" t="s">
        <v>370</v>
      </c>
      <c r="B306">
        <v>47</v>
      </c>
      <c r="C306" t="s">
        <v>55</v>
      </c>
      <c r="D306" t="s">
        <v>56</v>
      </c>
      <c r="E306" t="s">
        <v>55</v>
      </c>
      <c r="F306">
        <v>9</v>
      </c>
      <c r="G306" t="s">
        <v>56</v>
      </c>
      <c r="H306" t="s">
        <v>55</v>
      </c>
      <c r="I306" t="s">
        <v>30</v>
      </c>
      <c r="J306" t="s">
        <v>12</v>
      </c>
      <c r="K306" t="s">
        <v>55</v>
      </c>
      <c r="L306" t="s">
        <v>57</v>
      </c>
      <c r="M306">
        <v>103.56</v>
      </c>
      <c r="N306">
        <v>902.35</v>
      </c>
      <c r="O306" t="s">
        <v>80</v>
      </c>
      <c r="P306" t="s">
        <v>56</v>
      </c>
    </row>
    <row r="307" spans="1:16" x14ac:dyDescent="0.35">
      <c r="A307" t="s">
        <v>371</v>
      </c>
      <c r="B307">
        <v>75</v>
      </c>
      <c r="C307" t="s">
        <v>56</v>
      </c>
      <c r="D307" t="s">
        <v>56</v>
      </c>
      <c r="E307" t="s">
        <v>55</v>
      </c>
      <c r="F307">
        <v>63</v>
      </c>
      <c r="G307" t="s">
        <v>55</v>
      </c>
      <c r="H307" t="s">
        <v>60</v>
      </c>
      <c r="I307" t="s">
        <v>29</v>
      </c>
      <c r="J307" t="s">
        <v>13</v>
      </c>
      <c r="K307" t="s">
        <v>56</v>
      </c>
      <c r="L307" t="s">
        <v>57</v>
      </c>
      <c r="M307">
        <v>54.58</v>
      </c>
      <c r="N307">
        <v>3362.75</v>
      </c>
      <c r="O307" t="s">
        <v>80</v>
      </c>
      <c r="P307" t="s">
        <v>55</v>
      </c>
    </row>
    <row r="308" spans="1:16" x14ac:dyDescent="0.35">
      <c r="A308" t="s">
        <v>372</v>
      </c>
      <c r="B308">
        <v>38</v>
      </c>
      <c r="C308" t="s">
        <v>55</v>
      </c>
      <c r="D308" t="s">
        <v>56</v>
      </c>
      <c r="E308" t="s">
        <v>56</v>
      </c>
      <c r="F308">
        <v>56</v>
      </c>
      <c r="G308" t="s">
        <v>55</v>
      </c>
      <c r="H308" t="s">
        <v>60</v>
      </c>
      <c r="I308" t="s">
        <v>30</v>
      </c>
      <c r="J308" t="s">
        <v>12</v>
      </c>
      <c r="K308" t="s">
        <v>55</v>
      </c>
      <c r="L308" t="s">
        <v>25</v>
      </c>
      <c r="M308">
        <v>93.14</v>
      </c>
      <c r="N308">
        <v>5127.43</v>
      </c>
      <c r="O308" t="s">
        <v>58</v>
      </c>
      <c r="P308" t="s">
        <v>56</v>
      </c>
    </row>
    <row r="309" spans="1:16" x14ac:dyDescent="0.35">
      <c r="A309" t="s">
        <v>373</v>
      </c>
      <c r="B309">
        <v>24</v>
      </c>
      <c r="C309" t="s">
        <v>55</v>
      </c>
      <c r="D309" t="s">
        <v>56</v>
      </c>
      <c r="E309" t="s">
        <v>56</v>
      </c>
      <c r="F309">
        <v>36</v>
      </c>
      <c r="G309" t="s">
        <v>56</v>
      </c>
      <c r="H309" t="s">
        <v>55</v>
      </c>
      <c r="I309" t="s">
        <v>55</v>
      </c>
      <c r="J309" t="s">
        <v>12</v>
      </c>
      <c r="K309" t="s">
        <v>56</v>
      </c>
      <c r="L309" t="s">
        <v>61</v>
      </c>
      <c r="M309">
        <v>28.71</v>
      </c>
      <c r="N309">
        <v>1076.92</v>
      </c>
      <c r="O309" t="s">
        <v>66</v>
      </c>
      <c r="P309" t="s">
        <v>55</v>
      </c>
    </row>
    <row r="310" spans="1:16" x14ac:dyDescent="0.35">
      <c r="A310" t="s">
        <v>374</v>
      </c>
      <c r="B310">
        <v>55</v>
      </c>
      <c r="C310" t="s">
        <v>55</v>
      </c>
      <c r="D310" t="s">
        <v>55</v>
      </c>
      <c r="E310" t="s">
        <v>56</v>
      </c>
      <c r="F310">
        <v>5</v>
      </c>
      <c r="G310" t="s">
        <v>55</v>
      </c>
      <c r="H310" t="s">
        <v>60</v>
      </c>
      <c r="I310" t="s">
        <v>29</v>
      </c>
      <c r="J310" t="s">
        <v>13</v>
      </c>
      <c r="K310" t="s">
        <v>56</v>
      </c>
      <c r="L310" t="s">
        <v>57</v>
      </c>
      <c r="M310">
        <v>48.93</v>
      </c>
      <c r="N310">
        <v>252.64</v>
      </c>
      <c r="O310" t="s">
        <v>76</v>
      </c>
      <c r="P310" t="s">
        <v>55</v>
      </c>
    </row>
    <row r="311" spans="1:16" x14ac:dyDescent="0.35">
      <c r="A311" t="s">
        <v>375</v>
      </c>
      <c r="B311">
        <v>26</v>
      </c>
      <c r="C311" t="s">
        <v>55</v>
      </c>
      <c r="D311" t="s">
        <v>55</v>
      </c>
      <c r="E311" t="s">
        <v>56</v>
      </c>
      <c r="F311">
        <v>51</v>
      </c>
      <c r="G311" t="s">
        <v>56</v>
      </c>
      <c r="H311" t="s">
        <v>55</v>
      </c>
      <c r="I311" t="s">
        <v>30</v>
      </c>
      <c r="J311" t="s">
        <v>14</v>
      </c>
      <c r="K311" t="s">
        <v>56</v>
      </c>
      <c r="L311" t="s">
        <v>61</v>
      </c>
      <c r="M311">
        <v>77.02</v>
      </c>
      <c r="N311">
        <v>3767.39</v>
      </c>
      <c r="O311" t="s">
        <v>58</v>
      </c>
      <c r="P311" t="s">
        <v>55</v>
      </c>
    </row>
    <row r="312" spans="1:16" x14ac:dyDescent="0.35">
      <c r="A312" t="s">
        <v>376</v>
      </c>
      <c r="B312">
        <v>60</v>
      </c>
      <c r="C312" t="s">
        <v>56</v>
      </c>
      <c r="D312" t="s">
        <v>56</v>
      </c>
      <c r="E312" t="s">
        <v>55</v>
      </c>
      <c r="F312">
        <v>46</v>
      </c>
      <c r="G312" t="s">
        <v>55</v>
      </c>
      <c r="H312" t="s">
        <v>60</v>
      </c>
      <c r="I312" t="s">
        <v>30</v>
      </c>
      <c r="J312" t="s">
        <v>12</v>
      </c>
      <c r="K312" t="s">
        <v>55</v>
      </c>
      <c r="L312" t="s">
        <v>57</v>
      </c>
      <c r="M312">
        <v>72.14</v>
      </c>
      <c r="N312">
        <v>3201.67</v>
      </c>
      <c r="O312" t="s">
        <v>76</v>
      </c>
      <c r="P312" t="s">
        <v>55</v>
      </c>
    </row>
    <row r="313" spans="1:16" x14ac:dyDescent="0.35">
      <c r="A313" t="s">
        <v>377</v>
      </c>
      <c r="B313">
        <v>42</v>
      </c>
      <c r="C313" t="s">
        <v>55</v>
      </c>
      <c r="D313" t="s">
        <v>55</v>
      </c>
      <c r="E313" t="s">
        <v>55</v>
      </c>
      <c r="F313">
        <v>6</v>
      </c>
      <c r="G313" t="s">
        <v>55</v>
      </c>
      <c r="H313" t="s">
        <v>60</v>
      </c>
      <c r="I313" t="s">
        <v>30</v>
      </c>
      <c r="J313" t="s">
        <v>12</v>
      </c>
      <c r="K313" t="s">
        <v>55</v>
      </c>
      <c r="L313" t="s">
        <v>61</v>
      </c>
      <c r="M313">
        <v>83.17</v>
      </c>
      <c r="N313">
        <v>501.68</v>
      </c>
      <c r="O313" t="s">
        <v>69</v>
      </c>
      <c r="P313" t="s">
        <v>56</v>
      </c>
    </row>
    <row r="314" spans="1:16" x14ac:dyDescent="0.35">
      <c r="A314" t="s">
        <v>378</v>
      </c>
      <c r="B314">
        <v>42</v>
      </c>
      <c r="C314" t="s">
        <v>55</v>
      </c>
      <c r="D314" t="s">
        <v>55</v>
      </c>
      <c r="E314" t="s">
        <v>56</v>
      </c>
      <c r="F314">
        <v>67</v>
      </c>
      <c r="G314" t="s">
        <v>56</v>
      </c>
      <c r="H314" t="s">
        <v>55</v>
      </c>
      <c r="I314" t="s">
        <v>30</v>
      </c>
      <c r="J314" t="s">
        <v>12</v>
      </c>
      <c r="K314" t="s">
        <v>55</v>
      </c>
      <c r="L314" t="s">
        <v>57</v>
      </c>
      <c r="M314">
        <v>94.11</v>
      </c>
      <c r="N314">
        <v>6384.22</v>
      </c>
      <c r="O314" t="s">
        <v>62</v>
      </c>
      <c r="P314" t="s">
        <v>55</v>
      </c>
    </row>
    <row r="315" spans="1:16" x14ac:dyDescent="0.35">
      <c r="A315" t="s">
        <v>379</v>
      </c>
      <c r="B315">
        <v>46</v>
      </c>
      <c r="C315" t="s">
        <v>55</v>
      </c>
      <c r="D315" t="s">
        <v>56</v>
      </c>
      <c r="E315" t="s">
        <v>56</v>
      </c>
      <c r="F315">
        <v>10</v>
      </c>
      <c r="G315" t="s">
        <v>55</v>
      </c>
      <c r="H315" t="s">
        <v>60</v>
      </c>
      <c r="I315" t="s">
        <v>29</v>
      </c>
      <c r="J315" t="s">
        <v>12</v>
      </c>
      <c r="K315" t="s">
        <v>56</v>
      </c>
      <c r="L315" t="s">
        <v>26</v>
      </c>
      <c r="M315">
        <v>64.08</v>
      </c>
      <c r="N315">
        <v>665.17</v>
      </c>
      <c r="O315" t="s">
        <v>64</v>
      </c>
      <c r="P315" t="s">
        <v>55</v>
      </c>
    </row>
    <row r="316" spans="1:16" x14ac:dyDescent="0.35">
      <c r="A316" t="s">
        <v>380</v>
      </c>
      <c r="B316">
        <v>69</v>
      </c>
      <c r="C316" t="s">
        <v>56</v>
      </c>
      <c r="D316" t="s">
        <v>55</v>
      </c>
      <c r="E316" t="s">
        <v>56</v>
      </c>
      <c r="F316">
        <v>62</v>
      </c>
      <c r="G316" t="s">
        <v>55</v>
      </c>
      <c r="H316" t="s">
        <v>60</v>
      </c>
      <c r="I316" t="s">
        <v>29</v>
      </c>
      <c r="J316" t="s">
        <v>12</v>
      </c>
      <c r="K316" t="s">
        <v>56</v>
      </c>
      <c r="L316" t="s">
        <v>61</v>
      </c>
      <c r="M316">
        <v>56.44</v>
      </c>
      <c r="N316">
        <v>3391.64</v>
      </c>
      <c r="O316" t="s">
        <v>58</v>
      </c>
      <c r="P316" t="s">
        <v>56</v>
      </c>
    </row>
    <row r="317" spans="1:16" x14ac:dyDescent="0.35">
      <c r="A317" t="s">
        <v>381</v>
      </c>
      <c r="B317">
        <v>28</v>
      </c>
      <c r="C317" t="s">
        <v>55</v>
      </c>
      <c r="D317" t="s">
        <v>56</v>
      </c>
      <c r="E317" t="s">
        <v>56</v>
      </c>
      <c r="F317">
        <v>19</v>
      </c>
      <c r="G317" t="s">
        <v>55</v>
      </c>
      <c r="H317" t="s">
        <v>60</v>
      </c>
      <c r="I317" t="s">
        <v>30</v>
      </c>
      <c r="J317" t="s">
        <v>14</v>
      </c>
      <c r="K317" t="s">
        <v>55</v>
      </c>
      <c r="L317" t="s">
        <v>57</v>
      </c>
      <c r="M317">
        <v>98.18</v>
      </c>
      <c r="N317">
        <v>1757.66</v>
      </c>
      <c r="O317" t="s">
        <v>69</v>
      </c>
      <c r="P317" t="s">
        <v>55</v>
      </c>
    </row>
    <row r="318" spans="1:16" x14ac:dyDescent="0.35">
      <c r="A318" t="s">
        <v>382</v>
      </c>
      <c r="B318">
        <v>70</v>
      </c>
      <c r="C318" t="s">
        <v>56</v>
      </c>
      <c r="D318" t="s">
        <v>55</v>
      </c>
      <c r="E318" t="s">
        <v>56</v>
      </c>
      <c r="F318">
        <v>28</v>
      </c>
      <c r="G318" t="s">
        <v>55</v>
      </c>
      <c r="H318" t="s">
        <v>60</v>
      </c>
      <c r="I318" t="s">
        <v>30</v>
      </c>
      <c r="J318" t="s">
        <v>14</v>
      </c>
      <c r="K318" t="s">
        <v>56</v>
      </c>
      <c r="L318" t="s">
        <v>26</v>
      </c>
      <c r="M318">
        <v>90.54</v>
      </c>
      <c r="N318">
        <v>2426.4299999999998</v>
      </c>
      <c r="O318" t="s">
        <v>66</v>
      </c>
      <c r="P318" t="s">
        <v>55</v>
      </c>
    </row>
    <row r="319" spans="1:16" x14ac:dyDescent="0.35">
      <c r="A319" t="s">
        <v>383</v>
      </c>
      <c r="B319">
        <v>29</v>
      </c>
      <c r="C319" t="s">
        <v>55</v>
      </c>
      <c r="D319" t="s">
        <v>55</v>
      </c>
      <c r="E319" t="s">
        <v>56</v>
      </c>
      <c r="F319">
        <v>44</v>
      </c>
      <c r="G319" t="s">
        <v>56</v>
      </c>
      <c r="H319" t="s">
        <v>56</v>
      </c>
      <c r="I319" t="s">
        <v>55</v>
      </c>
      <c r="J319" t="s">
        <v>12</v>
      </c>
      <c r="K319" t="s">
        <v>56</v>
      </c>
      <c r="L319" t="s">
        <v>26</v>
      </c>
      <c r="M319">
        <v>24.27</v>
      </c>
      <c r="N319">
        <v>1120.3399999999999</v>
      </c>
      <c r="O319" t="s">
        <v>66</v>
      </c>
      <c r="P319" t="s">
        <v>55</v>
      </c>
    </row>
    <row r="320" spans="1:16" x14ac:dyDescent="0.35">
      <c r="A320" t="s">
        <v>384</v>
      </c>
      <c r="B320">
        <v>27</v>
      </c>
      <c r="C320" t="s">
        <v>55</v>
      </c>
      <c r="D320" t="s">
        <v>56</v>
      </c>
      <c r="E320" t="s">
        <v>56</v>
      </c>
      <c r="F320">
        <v>61</v>
      </c>
      <c r="G320" t="s">
        <v>56</v>
      </c>
      <c r="H320" t="s">
        <v>55</v>
      </c>
      <c r="I320" t="s">
        <v>55</v>
      </c>
      <c r="J320" t="s">
        <v>12</v>
      </c>
      <c r="K320" t="s">
        <v>56</v>
      </c>
      <c r="L320" t="s">
        <v>26</v>
      </c>
      <c r="M320">
        <v>25.91</v>
      </c>
      <c r="N320">
        <v>1656.75</v>
      </c>
      <c r="O320" t="s">
        <v>80</v>
      </c>
      <c r="P320" t="s">
        <v>55</v>
      </c>
    </row>
    <row r="321" spans="1:16" x14ac:dyDescent="0.35">
      <c r="A321" t="s">
        <v>385</v>
      </c>
      <c r="B321">
        <v>75</v>
      </c>
      <c r="C321" t="s">
        <v>56</v>
      </c>
      <c r="D321" t="s">
        <v>55</v>
      </c>
      <c r="E321" t="s">
        <v>55</v>
      </c>
      <c r="F321">
        <v>48</v>
      </c>
      <c r="G321" t="s">
        <v>55</v>
      </c>
      <c r="H321" t="s">
        <v>60</v>
      </c>
      <c r="I321" t="s">
        <v>55</v>
      </c>
      <c r="J321" t="s">
        <v>12</v>
      </c>
      <c r="K321" t="s">
        <v>55</v>
      </c>
      <c r="L321" t="s">
        <v>61</v>
      </c>
      <c r="M321">
        <v>22.57</v>
      </c>
      <c r="N321">
        <v>1094.94</v>
      </c>
      <c r="O321" t="s">
        <v>66</v>
      </c>
      <c r="P321" t="s">
        <v>55</v>
      </c>
    </row>
    <row r="322" spans="1:16" x14ac:dyDescent="0.35">
      <c r="A322" t="s">
        <v>386</v>
      </c>
      <c r="B322">
        <v>71</v>
      </c>
      <c r="C322" t="s">
        <v>56</v>
      </c>
      <c r="D322" t="s">
        <v>56</v>
      </c>
      <c r="E322" t="s">
        <v>55</v>
      </c>
      <c r="F322">
        <v>18</v>
      </c>
      <c r="G322" t="s">
        <v>56</v>
      </c>
      <c r="H322" t="s">
        <v>55</v>
      </c>
      <c r="I322" t="s">
        <v>30</v>
      </c>
      <c r="J322" t="s">
        <v>12</v>
      </c>
      <c r="K322" t="s">
        <v>55</v>
      </c>
      <c r="L322" t="s">
        <v>26</v>
      </c>
      <c r="M322">
        <v>70.27</v>
      </c>
      <c r="N322">
        <v>1301.8399999999999</v>
      </c>
      <c r="O322" t="s">
        <v>58</v>
      </c>
      <c r="P322" t="s">
        <v>56</v>
      </c>
    </row>
    <row r="323" spans="1:16" x14ac:dyDescent="0.35">
      <c r="A323" t="s">
        <v>387</v>
      </c>
      <c r="B323">
        <v>25</v>
      </c>
      <c r="C323" t="s">
        <v>55</v>
      </c>
      <c r="D323" t="s">
        <v>56</v>
      </c>
      <c r="E323" t="s">
        <v>55</v>
      </c>
      <c r="F323">
        <v>27</v>
      </c>
      <c r="G323" t="s">
        <v>55</v>
      </c>
      <c r="H323" t="s">
        <v>60</v>
      </c>
      <c r="I323" t="s">
        <v>29</v>
      </c>
      <c r="J323" t="s">
        <v>12</v>
      </c>
      <c r="K323" t="s">
        <v>56</v>
      </c>
      <c r="L323" t="s">
        <v>26</v>
      </c>
      <c r="M323">
        <v>66.06</v>
      </c>
      <c r="N323">
        <v>1730.89</v>
      </c>
      <c r="O323" t="s">
        <v>64</v>
      </c>
      <c r="P323" t="s">
        <v>55</v>
      </c>
    </row>
    <row r="324" spans="1:16" x14ac:dyDescent="0.35">
      <c r="A324" t="s">
        <v>388</v>
      </c>
      <c r="B324">
        <v>54</v>
      </c>
      <c r="C324" t="s">
        <v>55</v>
      </c>
      <c r="D324" t="s">
        <v>55</v>
      </c>
      <c r="E324" t="s">
        <v>55</v>
      </c>
      <c r="F324">
        <v>51</v>
      </c>
      <c r="G324" t="s">
        <v>55</v>
      </c>
      <c r="H324" t="s">
        <v>60</v>
      </c>
      <c r="I324" t="s">
        <v>29</v>
      </c>
      <c r="J324" t="s">
        <v>13</v>
      </c>
      <c r="K324" t="s">
        <v>55</v>
      </c>
      <c r="L324" t="s">
        <v>26</v>
      </c>
      <c r="M324">
        <v>62.36</v>
      </c>
      <c r="N324">
        <v>3174.16</v>
      </c>
      <c r="O324" t="s">
        <v>58</v>
      </c>
      <c r="P324" t="s">
        <v>55</v>
      </c>
    </row>
    <row r="325" spans="1:16" x14ac:dyDescent="0.35">
      <c r="A325" t="s">
        <v>389</v>
      </c>
      <c r="B325">
        <v>40</v>
      </c>
      <c r="C325" t="s">
        <v>55</v>
      </c>
      <c r="D325" t="s">
        <v>55</v>
      </c>
      <c r="E325" t="s">
        <v>56</v>
      </c>
      <c r="F325">
        <v>16</v>
      </c>
      <c r="G325" t="s">
        <v>55</v>
      </c>
      <c r="H325" t="s">
        <v>60</v>
      </c>
      <c r="I325" t="s">
        <v>29</v>
      </c>
      <c r="J325" t="s">
        <v>13</v>
      </c>
      <c r="K325" t="s">
        <v>56</v>
      </c>
      <c r="L325" t="s">
        <v>26</v>
      </c>
      <c r="M325">
        <v>60.33</v>
      </c>
      <c r="N325">
        <v>998.42</v>
      </c>
      <c r="O325" t="s">
        <v>58</v>
      </c>
      <c r="P325" t="s">
        <v>55</v>
      </c>
    </row>
    <row r="326" spans="1:16" x14ac:dyDescent="0.35">
      <c r="A326" t="s">
        <v>390</v>
      </c>
      <c r="B326">
        <v>62</v>
      </c>
      <c r="C326" t="s">
        <v>56</v>
      </c>
      <c r="D326" t="s">
        <v>56</v>
      </c>
      <c r="E326" t="s">
        <v>56</v>
      </c>
      <c r="F326">
        <v>50</v>
      </c>
      <c r="G326" t="s">
        <v>56</v>
      </c>
      <c r="H326" t="s">
        <v>55</v>
      </c>
      <c r="I326" t="s">
        <v>55</v>
      </c>
      <c r="J326" t="s">
        <v>14</v>
      </c>
      <c r="K326" t="s">
        <v>55</v>
      </c>
      <c r="L326" t="s">
        <v>25</v>
      </c>
      <c r="M326">
        <v>23.22</v>
      </c>
      <c r="N326">
        <v>1100.27</v>
      </c>
      <c r="O326" t="s">
        <v>80</v>
      </c>
      <c r="P326" t="s">
        <v>55</v>
      </c>
    </row>
    <row r="327" spans="1:16" x14ac:dyDescent="0.35">
      <c r="A327" t="s">
        <v>391</v>
      </c>
      <c r="B327">
        <v>56</v>
      </c>
      <c r="C327" t="s">
        <v>55</v>
      </c>
      <c r="D327" t="s">
        <v>56</v>
      </c>
      <c r="E327" t="s">
        <v>55</v>
      </c>
      <c r="F327">
        <v>52</v>
      </c>
      <c r="G327" t="s">
        <v>55</v>
      </c>
      <c r="H327" t="s">
        <v>60</v>
      </c>
      <c r="I327" t="s">
        <v>29</v>
      </c>
      <c r="J327" t="s">
        <v>13</v>
      </c>
      <c r="K327" t="s">
        <v>56</v>
      </c>
      <c r="L327" t="s">
        <v>25</v>
      </c>
      <c r="M327">
        <v>72.81</v>
      </c>
      <c r="N327">
        <v>3849.86</v>
      </c>
      <c r="O327" t="s">
        <v>62</v>
      </c>
      <c r="P327" t="s">
        <v>55</v>
      </c>
    </row>
    <row r="328" spans="1:16" x14ac:dyDescent="0.35">
      <c r="A328" t="s">
        <v>392</v>
      </c>
      <c r="B328">
        <v>72</v>
      </c>
      <c r="C328" t="s">
        <v>56</v>
      </c>
      <c r="D328" t="s">
        <v>55</v>
      </c>
      <c r="E328" t="s">
        <v>56</v>
      </c>
      <c r="F328">
        <v>5</v>
      </c>
      <c r="G328" t="s">
        <v>56</v>
      </c>
      <c r="H328" t="s">
        <v>55</v>
      </c>
      <c r="I328" t="s">
        <v>29</v>
      </c>
      <c r="J328" t="s">
        <v>13</v>
      </c>
      <c r="K328" t="s">
        <v>55</v>
      </c>
      <c r="L328" t="s">
        <v>26</v>
      </c>
      <c r="M328">
        <v>40.01</v>
      </c>
      <c r="N328">
        <v>191.83</v>
      </c>
      <c r="O328" t="s">
        <v>66</v>
      </c>
      <c r="P328" t="s">
        <v>55</v>
      </c>
    </row>
    <row r="329" spans="1:16" x14ac:dyDescent="0.35">
      <c r="A329" t="s">
        <v>393</v>
      </c>
      <c r="B329">
        <v>43</v>
      </c>
      <c r="C329" t="s">
        <v>55</v>
      </c>
      <c r="D329" t="s">
        <v>55</v>
      </c>
      <c r="E329" t="s">
        <v>55</v>
      </c>
      <c r="F329">
        <v>52</v>
      </c>
      <c r="G329" t="s">
        <v>56</v>
      </c>
      <c r="H329" t="s">
        <v>55</v>
      </c>
      <c r="I329" t="s">
        <v>29</v>
      </c>
      <c r="J329" t="s">
        <v>12</v>
      </c>
      <c r="K329" t="s">
        <v>56</v>
      </c>
      <c r="L329" t="s">
        <v>57</v>
      </c>
      <c r="M329">
        <v>69.05</v>
      </c>
      <c r="N329">
        <v>3616.07</v>
      </c>
      <c r="O329" t="s">
        <v>76</v>
      </c>
      <c r="P329" t="s">
        <v>55</v>
      </c>
    </row>
    <row r="330" spans="1:16" x14ac:dyDescent="0.35">
      <c r="A330" t="s">
        <v>394</v>
      </c>
      <c r="B330">
        <v>70</v>
      </c>
      <c r="C330" t="s">
        <v>56</v>
      </c>
      <c r="D330" t="s">
        <v>55</v>
      </c>
      <c r="E330" t="s">
        <v>56</v>
      </c>
      <c r="F330">
        <v>25</v>
      </c>
      <c r="G330" t="s">
        <v>55</v>
      </c>
      <c r="H330" t="s">
        <v>60</v>
      </c>
      <c r="I330" t="s">
        <v>29</v>
      </c>
      <c r="J330" t="s">
        <v>13</v>
      </c>
      <c r="K330" t="s">
        <v>55</v>
      </c>
      <c r="L330" t="s">
        <v>26</v>
      </c>
      <c r="M330">
        <v>60.25</v>
      </c>
      <c r="N330">
        <v>1516.85</v>
      </c>
      <c r="O330" t="s">
        <v>76</v>
      </c>
      <c r="P330" t="s">
        <v>55</v>
      </c>
    </row>
    <row r="331" spans="1:16" x14ac:dyDescent="0.35">
      <c r="A331" t="s">
        <v>395</v>
      </c>
      <c r="B331">
        <v>25</v>
      </c>
      <c r="C331" t="s">
        <v>55</v>
      </c>
      <c r="D331" t="s">
        <v>55</v>
      </c>
      <c r="E331" t="s">
        <v>55</v>
      </c>
      <c r="F331">
        <v>57</v>
      </c>
      <c r="G331" t="s">
        <v>55</v>
      </c>
      <c r="H331" t="s">
        <v>60</v>
      </c>
      <c r="I331" t="s">
        <v>55</v>
      </c>
      <c r="J331" t="s">
        <v>13</v>
      </c>
      <c r="K331" t="s">
        <v>55</v>
      </c>
      <c r="L331" t="s">
        <v>25</v>
      </c>
      <c r="M331">
        <v>23.51</v>
      </c>
      <c r="N331">
        <v>1333.75</v>
      </c>
      <c r="O331" t="s">
        <v>80</v>
      </c>
      <c r="P331" t="s">
        <v>55</v>
      </c>
    </row>
    <row r="332" spans="1:16" x14ac:dyDescent="0.35">
      <c r="A332" t="s">
        <v>396</v>
      </c>
      <c r="B332">
        <v>48</v>
      </c>
      <c r="C332" t="s">
        <v>55</v>
      </c>
      <c r="D332" t="s">
        <v>56</v>
      </c>
      <c r="E332" t="s">
        <v>55</v>
      </c>
      <c r="F332">
        <v>9</v>
      </c>
      <c r="G332" t="s">
        <v>56</v>
      </c>
      <c r="H332" t="s">
        <v>55</v>
      </c>
      <c r="I332" t="s">
        <v>30</v>
      </c>
      <c r="J332" t="s">
        <v>12</v>
      </c>
      <c r="K332" t="s">
        <v>55</v>
      </c>
      <c r="L332" t="s">
        <v>57</v>
      </c>
      <c r="M332">
        <v>87.65</v>
      </c>
      <c r="N332">
        <v>792.22</v>
      </c>
      <c r="O332" t="s">
        <v>76</v>
      </c>
      <c r="P332" t="s">
        <v>55</v>
      </c>
    </row>
    <row r="333" spans="1:16" x14ac:dyDescent="0.35">
      <c r="A333" t="s">
        <v>397</v>
      </c>
      <c r="B333">
        <v>33</v>
      </c>
      <c r="C333" t="s">
        <v>55</v>
      </c>
      <c r="D333" t="s">
        <v>55</v>
      </c>
      <c r="E333" t="s">
        <v>56</v>
      </c>
      <c r="F333">
        <v>52</v>
      </c>
      <c r="G333" t="s">
        <v>55</v>
      </c>
      <c r="H333" t="s">
        <v>60</v>
      </c>
      <c r="I333" t="s">
        <v>29</v>
      </c>
      <c r="J333" t="s">
        <v>12</v>
      </c>
      <c r="K333" t="s">
        <v>56</v>
      </c>
      <c r="L333" t="s">
        <v>57</v>
      </c>
      <c r="M333">
        <v>54.14</v>
      </c>
      <c r="N333">
        <v>2948.49</v>
      </c>
      <c r="O333" t="s">
        <v>69</v>
      </c>
      <c r="P333" t="s">
        <v>56</v>
      </c>
    </row>
    <row r="334" spans="1:16" x14ac:dyDescent="0.35">
      <c r="A334" t="s">
        <v>398</v>
      </c>
      <c r="B334">
        <v>61</v>
      </c>
      <c r="C334" t="s">
        <v>56</v>
      </c>
      <c r="D334" t="s">
        <v>56</v>
      </c>
      <c r="E334" t="s">
        <v>55</v>
      </c>
      <c r="F334">
        <v>26</v>
      </c>
      <c r="G334" t="s">
        <v>56</v>
      </c>
      <c r="H334" t="s">
        <v>55</v>
      </c>
      <c r="I334" t="s">
        <v>30</v>
      </c>
      <c r="J334" t="s">
        <v>12</v>
      </c>
      <c r="K334" t="s">
        <v>56</v>
      </c>
      <c r="L334" t="s">
        <v>61</v>
      </c>
      <c r="M334">
        <v>111.82</v>
      </c>
      <c r="N334">
        <v>2857.09</v>
      </c>
      <c r="O334" t="s">
        <v>80</v>
      </c>
      <c r="P334" t="s">
        <v>55</v>
      </c>
    </row>
    <row r="335" spans="1:16" x14ac:dyDescent="0.35">
      <c r="A335" t="s">
        <v>399</v>
      </c>
      <c r="B335">
        <v>23</v>
      </c>
      <c r="C335" t="s">
        <v>55</v>
      </c>
      <c r="D335" t="s">
        <v>55</v>
      </c>
      <c r="E335" t="s">
        <v>56</v>
      </c>
      <c r="F335">
        <v>70</v>
      </c>
      <c r="G335" t="s">
        <v>55</v>
      </c>
      <c r="H335" t="s">
        <v>60</v>
      </c>
      <c r="I335" t="s">
        <v>55</v>
      </c>
      <c r="J335" t="s">
        <v>12</v>
      </c>
      <c r="K335" t="s">
        <v>55</v>
      </c>
      <c r="L335" t="s">
        <v>57</v>
      </c>
      <c r="M335">
        <v>29.82</v>
      </c>
      <c r="N335">
        <v>2186.84</v>
      </c>
      <c r="O335" t="s">
        <v>64</v>
      </c>
      <c r="P335" t="s">
        <v>55</v>
      </c>
    </row>
    <row r="336" spans="1:16" x14ac:dyDescent="0.35">
      <c r="A336" t="s">
        <v>400</v>
      </c>
      <c r="B336">
        <v>29</v>
      </c>
      <c r="C336" t="s">
        <v>55</v>
      </c>
      <c r="D336" t="s">
        <v>55</v>
      </c>
      <c r="E336" t="s">
        <v>55</v>
      </c>
      <c r="F336">
        <v>29</v>
      </c>
      <c r="G336" t="s">
        <v>56</v>
      </c>
      <c r="H336" t="s">
        <v>56</v>
      </c>
      <c r="I336" t="s">
        <v>29</v>
      </c>
      <c r="J336" t="s">
        <v>13</v>
      </c>
      <c r="K336" t="s">
        <v>55</v>
      </c>
      <c r="L336" t="s">
        <v>25</v>
      </c>
      <c r="M336">
        <v>41.3</v>
      </c>
      <c r="N336">
        <v>1175.75</v>
      </c>
      <c r="O336" t="s">
        <v>66</v>
      </c>
      <c r="P336" t="s">
        <v>55</v>
      </c>
    </row>
    <row r="337" spans="1:16" x14ac:dyDescent="0.35">
      <c r="A337" t="s">
        <v>401</v>
      </c>
      <c r="B337">
        <v>29</v>
      </c>
      <c r="C337" t="s">
        <v>55</v>
      </c>
      <c r="D337" t="s">
        <v>55</v>
      </c>
      <c r="E337" t="s">
        <v>56</v>
      </c>
      <c r="F337">
        <v>67</v>
      </c>
      <c r="G337" t="s">
        <v>56</v>
      </c>
      <c r="H337" t="s">
        <v>56</v>
      </c>
      <c r="I337" t="s">
        <v>29</v>
      </c>
      <c r="J337" t="s">
        <v>12</v>
      </c>
      <c r="K337" t="s">
        <v>56</v>
      </c>
      <c r="L337" t="s">
        <v>26</v>
      </c>
      <c r="M337">
        <v>64.510000000000005</v>
      </c>
      <c r="N337">
        <v>4197.54</v>
      </c>
      <c r="O337" t="s">
        <v>62</v>
      </c>
      <c r="P337" t="s">
        <v>55</v>
      </c>
    </row>
    <row r="338" spans="1:16" x14ac:dyDescent="0.35">
      <c r="A338" t="s">
        <v>402</v>
      </c>
      <c r="B338">
        <v>35</v>
      </c>
      <c r="C338" t="s">
        <v>55</v>
      </c>
      <c r="D338" t="s">
        <v>55</v>
      </c>
      <c r="E338" t="s">
        <v>55</v>
      </c>
      <c r="F338">
        <v>47</v>
      </c>
      <c r="G338" t="s">
        <v>55</v>
      </c>
      <c r="H338" t="s">
        <v>60</v>
      </c>
      <c r="I338" t="s">
        <v>30</v>
      </c>
      <c r="J338" t="s">
        <v>12</v>
      </c>
      <c r="K338" t="s">
        <v>55</v>
      </c>
      <c r="L338" t="s">
        <v>57</v>
      </c>
      <c r="M338">
        <v>90.03</v>
      </c>
      <c r="N338">
        <v>4206.3900000000003</v>
      </c>
      <c r="O338" t="s">
        <v>58</v>
      </c>
      <c r="P338" t="s">
        <v>55</v>
      </c>
    </row>
    <row r="339" spans="1:16" x14ac:dyDescent="0.35">
      <c r="A339" t="s">
        <v>403</v>
      </c>
      <c r="B339">
        <v>61</v>
      </c>
      <c r="C339" t="s">
        <v>56</v>
      </c>
      <c r="D339" t="s">
        <v>56</v>
      </c>
      <c r="E339" t="s">
        <v>56</v>
      </c>
      <c r="F339">
        <v>35</v>
      </c>
      <c r="G339" t="s">
        <v>55</v>
      </c>
      <c r="H339" t="s">
        <v>60</v>
      </c>
      <c r="I339" t="s">
        <v>55</v>
      </c>
      <c r="J339" t="s">
        <v>14</v>
      </c>
      <c r="K339" t="s">
        <v>56</v>
      </c>
      <c r="L339" t="s">
        <v>26</v>
      </c>
      <c r="M339">
        <v>29.51</v>
      </c>
      <c r="N339">
        <v>989.41</v>
      </c>
      <c r="O339" t="s">
        <v>62</v>
      </c>
      <c r="P339" t="s">
        <v>55</v>
      </c>
    </row>
    <row r="340" spans="1:16" x14ac:dyDescent="0.35">
      <c r="A340" t="s">
        <v>404</v>
      </c>
      <c r="B340">
        <v>44</v>
      </c>
      <c r="C340" t="s">
        <v>55</v>
      </c>
      <c r="D340" t="s">
        <v>55</v>
      </c>
      <c r="E340" t="s">
        <v>56</v>
      </c>
      <c r="F340">
        <v>67</v>
      </c>
      <c r="G340" t="s">
        <v>55</v>
      </c>
      <c r="H340" t="s">
        <v>60</v>
      </c>
      <c r="I340" t="s">
        <v>29</v>
      </c>
      <c r="J340" t="s">
        <v>13</v>
      </c>
      <c r="K340" t="s">
        <v>55</v>
      </c>
      <c r="L340" t="s">
        <v>26</v>
      </c>
      <c r="M340">
        <v>74.34</v>
      </c>
      <c r="N340">
        <v>4710.45</v>
      </c>
      <c r="O340" t="s">
        <v>62</v>
      </c>
      <c r="P340" t="s">
        <v>56</v>
      </c>
    </row>
    <row r="341" spans="1:16" x14ac:dyDescent="0.35">
      <c r="A341" t="s">
        <v>405</v>
      </c>
      <c r="B341">
        <v>21</v>
      </c>
      <c r="C341" t="s">
        <v>55</v>
      </c>
      <c r="D341" t="s">
        <v>56</v>
      </c>
      <c r="E341" t="s">
        <v>55</v>
      </c>
      <c r="F341">
        <v>61</v>
      </c>
      <c r="G341" t="s">
        <v>56</v>
      </c>
      <c r="H341" t="s">
        <v>55</v>
      </c>
      <c r="I341" t="s">
        <v>55</v>
      </c>
      <c r="J341" t="s">
        <v>12</v>
      </c>
      <c r="K341" t="s">
        <v>55</v>
      </c>
      <c r="L341" t="s">
        <v>57</v>
      </c>
      <c r="M341">
        <v>24.69</v>
      </c>
      <c r="N341">
        <v>1562.12</v>
      </c>
      <c r="O341" t="s">
        <v>64</v>
      </c>
      <c r="P341" t="s">
        <v>55</v>
      </c>
    </row>
    <row r="342" spans="1:16" x14ac:dyDescent="0.35">
      <c r="A342" t="s">
        <v>406</v>
      </c>
      <c r="B342">
        <v>25</v>
      </c>
      <c r="C342" t="s">
        <v>55</v>
      </c>
      <c r="D342" t="s">
        <v>55</v>
      </c>
      <c r="E342" t="s">
        <v>56</v>
      </c>
      <c r="F342">
        <v>69</v>
      </c>
      <c r="G342" t="s">
        <v>55</v>
      </c>
      <c r="H342" t="s">
        <v>60</v>
      </c>
      <c r="I342" t="s">
        <v>30</v>
      </c>
      <c r="J342" t="s">
        <v>12</v>
      </c>
      <c r="K342" t="s">
        <v>55</v>
      </c>
      <c r="L342" t="s">
        <v>61</v>
      </c>
      <c r="M342">
        <v>92.35</v>
      </c>
      <c r="N342">
        <v>6049.78</v>
      </c>
      <c r="O342" t="s">
        <v>64</v>
      </c>
      <c r="P342" t="s">
        <v>55</v>
      </c>
    </row>
    <row r="343" spans="1:16" x14ac:dyDescent="0.35">
      <c r="A343" t="s">
        <v>407</v>
      </c>
      <c r="B343">
        <v>58</v>
      </c>
      <c r="C343" t="s">
        <v>55</v>
      </c>
      <c r="D343" t="s">
        <v>56</v>
      </c>
      <c r="E343" t="s">
        <v>56</v>
      </c>
      <c r="F343">
        <v>44</v>
      </c>
      <c r="G343" t="s">
        <v>55</v>
      </c>
      <c r="H343" t="s">
        <v>60</v>
      </c>
      <c r="I343" t="s">
        <v>30</v>
      </c>
      <c r="J343" t="s">
        <v>14</v>
      </c>
      <c r="K343" t="s">
        <v>56</v>
      </c>
      <c r="L343" t="s">
        <v>26</v>
      </c>
      <c r="M343">
        <v>87.18</v>
      </c>
      <c r="N343">
        <v>3750.06</v>
      </c>
      <c r="O343" t="s">
        <v>69</v>
      </c>
      <c r="P343" t="s">
        <v>55</v>
      </c>
    </row>
    <row r="344" spans="1:16" x14ac:dyDescent="0.35">
      <c r="A344" t="s">
        <v>408</v>
      </c>
      <c r="B344">
        <v>35</v>
      </c>
      <c r="C344" t="s">
        <v>55</v>
      </c>
      <c r="D344" t="s">
        <v>55</v>
      </c>
      <c r="E344" t="s">
        <v>55</v>
      </c>
      <c r="F344">
        <v>57</v>
      </c>
      <c r="G344" t="s">
        <v>55</v>
      </c>
      <c r="H344" t="s">
        <v>60</v>
      </c>
      <c r="I344" t="s">
        <v>29</v>
      </c>
      <c r="J344" t="s">
        <v>13</v>
      </c>
      <c r="K344" t="s">
        <v>55</v>
      </c>
      <c r="L344" t="s">
        <v>57</v>
      </c>
      <c r="M344">
        <v>47.36</v>
      </c>
      <c r="N344">
        <v>2545.0300000000002</v>
      </c>
      <c r="O344" t="s">
        <v>69</v>
      </c>
      <c r="P344" t="s">
        <v>55</v>
      </c>
    </row>
    <row r="345" spans="1:16" x14ac:dyDescent="0.35">
      <c r="A345" t="s">
        <v>409</v>
      </c>
      <c r="B345">
        <v>34</v>
      </c>
      <c r="C345" t="s">
        <v>55</v>
      </c>
      <c r="D345" t="s">
        <v>56</v>
      </c>
      <c r="E345" t="s">
        <v>56</v>
      </c>
      <c r="F345">
        <v>22</v>
      </c>
      <c r="G345" t="s">
        <v>56</v>
      </c>
      <c r="H345" t="s">
        <v>56</v>
      </c>
      <c r="I345" t="s">
        <v>30</v>
      </c>
      <c r="J345" t="s">
        <v>14</v>
      </c>
      <c r="K345" t="s">
        <v>56</v>
      </c>
      <c r="L345" t="s">
        <v>26</v>
      </c>
      <c r="M345">
        <v>89.85</v>
      </c>
      <c r="N345">
        <v>2039.56</v>
      </c>
      <c r="O345" t="s">
        <v>76</v>
      </c>
      <c r="P345" t="s">
        <v>56</v>
      </c>
    </row>
    <row r="346" spans="1:16" x14ac:dyDescent="0.35">
      <c r="A346" t="s">
        <v>410</v>
      </c>
      <c r="B346">
        <v>57</v>
      </c>
      <c r="C346" t="s">
        <v>55</v>
      </c>
      <c r="D346" t="s">
        <v>56</v>
      </c>
      <c r="E346" t="s">
        <v>56</v>
      </c>
      <c r="F346">
        <v>50</v>
      </c>
      <c r="G346" t="s">
        <v>56</v>
      </c>
      <c r="H346" t="s">
        <v>55</v>
      </c>
      <c r="I346" t="s">
        <v>30</v>
      </c>
      <c r="J346" t="s">
        <v>12</v>
      </c>
      <c r="K346" t="s">
        <v>56</v>
      </c>
      <c r="L346" t="s">
        <v>26</v>
      </c>
      <c r="M346">
        <v>111.93</v>
      </c>
      <c r="N346">
        <v>5279.9</v>
      </c>
      <c r="O346" t="s">
        <v>66</v>
      </c>
      <c r="P346" t="s">
        <v>55</v>
      </c>
    </row>
    <row r="347" spans="1:16" x14ac:dyDescent="0.35">
      <c r="A347" t="s">
        <v>411</v>
      </c>
      <c r="B347">
        <v>38</v>
      </c>
      <c r="C347" t="s">
        <v>55</v>
      </c>
      <c r="D347" t="s">
        <v>55</v>
      </c>
      <c r="E347" t="s">
        <v>55</v>
      </c>
      <c r="F347">
        <v>70</v>
      </c>
      <c r="G347" t="s">
        <v>55</v>
      </c>
      <c r="H347" t="s">
        <v>60</v>
      </c>
      <c r="I347" t="s">
        <v>55</v>
      </c>
      <c r="J347" t="s">
        <v>12</v>
      </c>
      <c r="K347" t="s">
        <v>56</v>
      </c>
      <c r="L347" t="s">
        <v>57</v>
      </c>
      <c r="M347">
        <v>23.48</v>
      </c>
      <c r="N347">
        <v>1692.69</v>
      </c>
      <c r="O347" t="s">
        <v>64</v>
      </c>
      <c r="P347" t="s">
        <v>55</v>
      </c>
    </row>
    <row r="348" spans="1:16" x14ac:dyDescent="0.35">
      <c r="A348" t="s">
        <v>412</v>
      </c>
      <c r="B348">
        <v>51</v>
      </c>
      <c r="C348" t="s">
        <v>55</v>
      </c>
      <c r="D348" t="s">
        <v>55</v>
      </c>
      <c r="E348" t="s">
        <v>55</v>
      </c>
      <c r="F348">
        <v>62</v>
      </c>
      <c r="G348" t="s">
        <v>56</v>
      </c>
      <c r="H348" t="s">
        <v>55</v>
      </c>
      <c r="I348" t="s">
        <v>29</v>
      </c>
      <c r="J348" t="s">
        <v>12</v>
      </c>
      <c r="K348" t="s">
        <v>55</v>
      </c>
      <c r="L348" t="s">
        <v>26</v>
      </c>
      <c r="M348">
        <v>40.42</v>
      </c>
      <c r="N348">
        <v>2513.0500000000002</v>
      </c>
      <c r="O348" t="s">
        <v>62</v>
      </c>
      <c r="P348" t="s">
        <v>55</v>
      </c>
    </row>
    <row r="349" spans="1:16" x14ac:dyDescent="0.35">
      <c r="A349" t="s">
        <v>413</v>
      </c>
      <c r="B349">
        <v>40</v>
      </c>
      <c r="C349" t="s">
        <v>55</v>
      </c>
      <c r="D349" t="s">
        <v>55</v>
      </c>
      <c r="E349" t="s">
        <v>55</v>
      </c>
      <c r="F349">
        <v>69</v>
      </c>
      <c r="G349" t="s">
        <v>55</v>
      </c>
      <c r="H349" t="s">
        <v>60</v>
      </c>
      <c r="I349" t="s">
        <v>30</v>
      </c>
      <c r="J349" t="s">
        <v>14</v>
      </c>
      <c r="K349" t="s">
        <v>55</v>
      </c>
      <c r="L349" t="s">
        <v>26</v>
      </c>
      <c r="M349">
        <v>108.29</v>
      </c>
      <c r="N349">
        <v>7739.18</v>
      </c>
      <c r="O349" t="s">
        <v>66</v>
      </c>
      <c r="P349" t="s">
        <v>55</v>
      </c>
    </row>
    <row r="350" spans="1:16" x14ac:dyDescent="0.35">
      <c r="A350" t="s">
        <v>414</v>
      </c>
      <c r="B350">
        <v>18</v>
      </c>
      <c r="C350" t="s">
        <v>55</v>
      </c>
      <c r="D350" t="s">
        <v>55</v>
      </c>
      <c r="E350" t="s">
        <v>56</v>
      </c>
      <c r="F350">
        <v>53</v>
      </c>
      <c r="G350" t="s">
        <v>55</v>
      </c>
      <c r="H350" t="s">
        <v>60</v>
      </c>
      <c r="I350" t="s">
        <v>55</v>
      </c>
      <c r="J350" t="s">
        <v>12</v>
      </c>
      <c r="K350" t="s">
        <v>56</v>
      </c>
      <c r="L350" t="s">
        <v>61</v>
      </c>
      <c r="M350">
        <v>25.75</v>
      </c>
      <c r="N350">
        <v>1418.54</v>
      </c>
      <c r="O350" t="s">
        <v>80</v>
      </c>
      <c r="P350" t="s">
        <v>56</v>
      </c>
    </row>
    <row r="351" spans="1:16" x14ac:dyDescent="0.35">
      <c r="A351" t="s">
        <v>415</v>
      </c>
      <c r="B351">
        <v>45</v>
      </c>
      <c r="C351" t="s">
        <v>55</v>
      </c>
      <c r="D351" t="s">
        <v>56</v>
      </c>
      <c r="E351" t="s">
        <v>55</v>
      </c>
      <c r="F351">
        <v>37</v>
      </c>
      <c r="G351" t="s">
        <v>55</v>
      </c>
      <c r="H351" t="s">
        <v>60</v>
      </c>
      <c r="I351" t="s">
        <v>29</v>
      </c>
      <c r="J351" t="s">
        <v>12</v>
      </c>
      <c r="K351" t="s">
        <v>56</v>
      </c>
      <c r="L351" t="s">
        <v>26</v>
      </c>
      <c r="M351">
        <v>51.58</v>
      </c>
      <c r="N351">
        <v>1939.81</v>
      </c>
      <c r="O351" t="s">
        <v>76</v>
      </c>
      <c r="P351" t="s">
        <v>55</v>
      </c>
    </row>
    <row r="352" spans="1:16" x14ac:dyDescent="0.35">
      <c r="A352" t="s">
        <v>416</v>
      </c>
      <c r="B352">
        <v>62</v>
      </c>
      <c r="C352" t="s">
        <v>56</v>
      </c>
      <c r="D352" t="s">
        <v>55</v>
      </c>
      <c r="E352" t="s">
        <v>56</v>
      </c>
      <c r="F352">
        <v>42</v>
      </c>
      <c r="G352" t="s">
        <v>56</v>
      </c>
      <c r="H352" t="s">
        <v>55</v>
      </c>
      <c r="I352" t="s">
        <v>30</v>
      </c>
      <c r="J352" t="s">
        <v>12</v>
      </c>
      <c r="K352" t="s">
        <v>56</v>
      </c>
      <c r="L352" t="s">
        <v>26</v>
      </c>
      <c r="M352">
        <v>76.25</v>
      </c>
      <c r="N352">
        <v>3178.83</v>
      </c>
      <c r="O352" t="s">
        <v>80</v>
      </c>
      <c r="P352" t="s">
        <v>56</v>
      </c>
    </row>
    <row r="353" spans="1:16" x14ac:dyDescent="0.35">
      <c r="A353" t="s">
        <v>417</v>
      </c>
      <c r="B353">
        <v>27</v>
      </c>
      <c r="C353" t="s">
        <v>55</v>
      </c>
      <c r="D353" t="s">
        <v>56</v>
      </c>
      <c r="E353" t="s">
        <v>55</v>
      </c>
      <c r="F353">
        <v>28</v>
      </c>
      <c r="G353" t="s">
        <v>55</v>
      </c>
      <c r="H353" t="s">
        <v>60</v>
      </c>
      <c r="I353" t="s">
        <v>30</v>
      </c>
      <c r="J353" t="s">
        <v>13</v>
      </c>
      <c r="K353" t="s">
        <v>55</v>
      </c>
      <c r="L353" t="s">
        <v>25</v>
      </c>
      <c r="M353">
        <v>93.18</v>
      </c>
      <c r="N353">
        <v>2700.28</v>
      </c>
      <c r="O353" t="s">
        <v>66</v>
      </c>
      <c r="P353" t="s">
        <v>55</v>
      </c>
    </row>
    <row r="354" spans="1:16" x14ac:dyDescent="0.35">
      <c r="A354" t="s">
        <v>418</v>
      </c>
      <c r="B354">
        <v>66</v>
      </c>
      <c r="C354" t="s">
        <v>56</v>
      </c>
      <c r="D354" t="s">
        <v>56</v>
      </c>
      <c r="E354" t="s">
        <v>56</v>
      </c>
      <c r="F354">
        <v>35</v>
      </c>
      <c r="G354" t="s">
        <v>56</v>
      </c>
      <c r="H354" t="s">
        <v>55</v>
      </c>
      <c r="I354" t="s">
        <v>29</v>
      </c>
      <c r="J354" t="s">
        <v>12</v>
      </c>
      <c r="K354" t="s">
        <v>55</v>
      </c>
      <c r="L354" t="s">
        <v>61</v>
      </c>
      <c r="M354">
        <v>73.13</v>
      </c>
      <c r="N354">
        <v>2443.44</v>
      </c>
      <c r="O354" t="s">
        <v>62</v>
      </c>
      <c r="P354" t="s">
        <v>55</v>
      </c>
    </row>
    <row r="355" spans="1:16" x14ac:dyDescent="0.35">
      <c r="A355" t="s">
        <v>419</v>
      </c>
      <c r="B355">
        <v>42</v>
      </c>
      <c r="C355" t="s">
        <v>55</v>
      </c>
      <c r="D355" t="s">
        <v>55</v>
      </c>
      <c r="E355" t="s">
        <v>56</v>
      </c>
      <c r="F355">
        <v>5</v>
      </c>
      <c r="G355" t="s">
        <v>56</v>
      </c>
      <c r="H355" t="s">
        <v>55</v>
      </c>
      <c r="I355" t="s">
        <v>30</v>
      </c>
      <c r="J355" t="s">
        <v>14</v>
      </c>
      <c r="K355" t="s">
        <v>55</v>
      </c>
      <c r="L355" t="s">
        <v>57</v>
      </c>
      <c r="M355">
        <v>118.06</v>
      </c>
      <c r="N355">
        <v>621.20000000000005</v>
      </c>
      <c r="O355" t="s">
        <v>69</v>
      </c>
      <c r="P355" t="s">
        <v>56</v>
      </c>
    </row>
    <row r="356" spans="1:16" x14ac:dyDescent="0.35">
      <c r="A356" t="s">
        <v>420</v>
      </c>
      <c r="B356">
        <v>20</v>
      </c>
      <c r="C356" t="s">
        <v>55</v>
      </c>
      <c r="D356" t="s">
        <v>56</v>
      </c>
      <c r="E356" t="s">
        <v>55</v>
      </c>
      <c r="F356">
        <v>62</v>
      </c>
      <c r="G356" t="s">
        <v>56</v>
      </c>
      <c r="H356" t="s">
        <v>55</v>
      </c>
      <c r="I356" t="s">
        <v>29</v>
      </c>
      <c r="J356" t="s">
        <v>12</v>
      </c>
      <c r="K356" t="s">
        <v>56</v>
      </c>
      <c r="L356" t="s">
        <v>25</v>
      </c>
      <c r="M356">
        <v>49.44</v>
      </c>
      <c r="N356">
        <v>3041.06</v>
      </c>
      <c r="O356" t="s">
        <v>66</v>
      </c>
      <c r="P356" t="s">
        <v>56</v>
      </c>
    </row>
    <row r="357" spans="1:16" x14ac:dyDescent="0.35">
      <c r="A357" t="s">
        <v>421</v>
      </c>
      <c r="B357">
        <v>35</v>
      </c>
      <c r="C357" t="s">
        <v>55</v>
      </c>
      <c r="D357" t="s">
        <v>56</v>
      </c>
      <c r="E357" t="s">
        <v>55</v>
      </c>
      <c r="F357">
        <v>32</v>
      </c>
      <c r="G357" t="s">
        <v>56</v>
      </c>
      <c r="H357" t="s">
        <v>55</v>
      </c>
      <c r="I357" t="s">
        <v>30</v>
      </c>
      <c r="J357" t="s">
        <v>13</v>
      </c>
      <c r="K357" t="s">
        <v>56</v>
      </c>
      <c r="L357" t="s">
        <v>57</v>
      </c>
      <c r="M357">
        <v>74.47</v>
      </c>
      <c r="N357">
        <v>2285.15</v>
      </c>
      <c r="O357" t="s">
        <v>58</v>
      </c>
      <c r="P357" t="s">
        <v>56</v>
      </c>
    </row>
    <row r="358" spans="1:16" x14ac:dyDescent="0.35">
      <c r="A358" t="s">
        <v>422</v>
      </c>
      <c r="B358">
        <v>39</v>
      </c>
      <c r="C358" t="s">
        <v>55</v>
      </c>
      <c r="D358" t="s">
        <v>56</v>
      </c>
      <c r="E358" t="s">
        <v>56</v>
      </c>
      <c r="F358">
        <v>46</v>
      </c>
      <c r="G358" t="s">
        <v>56</v>
      </c>
      <c r="H358" t="s">
        <v>56</v>
      </c>
      <c r="I358" t="s">
        <v>29</v>
      </c>
      <c r="J358" t="s">
        <v>12</v>
      </c>
      <c r="K358" t="s">
        <v>55</v>
      </c>
      <c r="L358" t="s">
        <v>61</v>
      </c>
      <c r="M358">
        <v>57.55</v>
      </c>
      <c r="N358">
        <v>2549.7600000000002</v>
      </c>
      <c r="O358" t="s">
        <v>76</v>
      </c>
      <c r="P358" t="s">
        <v>55</v>
      </c>
    </row>
    <row r="359" spans="1:16" x14ac:dyDescent="0.35">
      <c r="A359" t="s">
        <v>423</v>
      </c>
      <c r="B359">
        <v>64</v>
      </c>
      <c r="C359" t="s">
        <v>56</v>
      </c>
      <c r="D359" t="s">
        <v>56</v>
      </c>
      <c r="E359" t="s">
        <v>55</v>
      </c>
      <c r="F359">
        <v>6</v>
      </c>
      <c r="G359" t="s">
        <v>55</v>
      </c>
      <c r="H359" t="s">
        <v>60</v>
      </c>
      <c r="I359" t="s">
        <v>29</v>
      </c>
      <c r="J359" t="s">
        <v>13</v>
      </c>
      <c r="K359" t="s">
        <v>55</v>
      </c>
      <c r="L359" t="s">
        <v>26</v>
      </c>
      <c r="M359">
        <v>47.47</v>
      </c>
      <c r="N359">
        <v>279.61</v>
      </c>
      <c r="O359" t="s">
        <v>76</v>
      </c>
      <c r="P359" t="s">
        <v>55</v>
      </c>
    </row>
    <row r="360" spans="1:16" x14ac:dyDescent="0.35">
      <c r="A360" t="s">
        <v>424</v>
      </c>
      <c r="B360">
        <v>73</v>
      </c>
      <c r="C360" t="s">
        <v>56</v>
      </c>
      <c r="D360" t="s">
        <v>56</v>
      </c>
      <c r="E360" t="s">
        <v>56</v>
      </c>
      <c r="F360">
        <v>68</v>
      </c>
      <c r="G360" t="s">
        <v>55</v>
      </c>
      <c r="H360" t="s">
        <v>60</v>
      </c>
      <c r="I360" t="s">
        <v>30</v>
      </c>
      <c r="J360" t="s">
        <v>14</v>
      </c>
      <c r="K360" t="s">
        <v>55</v>
      </c>
      <c r="L360" t="s">
        <v>57</v>
      </c>
      <c r="M360">
        <v>108.8</v>
      </c>
      <c r="N360">
        <v>7403.69</v>
      </c>
      <c r="O360" t="s">
        <v>80</v>
      </c>
      <c r="P360" t="s">
        <v>55</v>
      </c>
    </row>
    <row r="361" spans="1:16" x14ac:dyDescent="0.35">
      <c r="A361" t="s">
        <v>425</v>
      </c>
      <c r="B361">
        <v>57</v>
      </c>
      <c r="C361" t="s">
        <v>55</v>
      </c>
      <c r="D361" t="s">
        <v>55</v>
      </c>
      <c r="E361" t="s">
        <v>56</v>
      </c>
      <c r="F361">
        <v>42</v>
      </c>
      <c r="G361" t="s">
        <v>55</v>
      </c>
      <c r="H361" t="s">
        <v>60</v>
      </c>
      <c r="I361" t="s">
        <v>29</v>
      </c>
      <c r="J361" t="s">
        <v>12</v>
      </c>
      <c r="K361" t="s">
        <v>55</v>
      </c>
      <c r="L361" t="s">
        <v>61</v>
      </c>
      <c r="M361">
        <v>46.17</v>
      </c>
      <c r="N361">
        <v>1888.67</v>
      </c>
      <c r="O361" t="s">
        <v>76</v>
      </c>
      <c r="P361" t="s">
        <v>55</v>
      </c>
    </row>
    <row r="362" spans="1:16" x14ac:dyDescent="0.35">
      <c r="A362" t="s">
        <v>426</v>
      </c>
      <c r="B362">
        <v>25</v>
      </c>
      <c r="C362" t="s">
        <v>55</v>
      </c>
      <c r="D362" t="s">
        <v>56</v>
      </c>
      <c r="E362" t="s">
        <v>56</v>
      </c>
      <c r="F362">
        <v>6</v>
      </c>
      <c r="G362" t="s">
        <v>56</v>
      </c>
      <c r="H362" t="s">
        <v>56</v>
      </c>
      <c r="I362" t="s">
        <v>55</v>
      </c>
      <c r="J362" t="s">
        <v>12</v>
      </c>
      <c r="K362" t="s">
        <v>56</v>
      </c>
      <c r="L362" t="s">
        <v>57</v>
      </c>
      <c r="M362">
        <v>19.190000000000001</v>
      </c>
      <c r="N362">
        <v>116.12</v>
      </c>
      <c r="O362" t="s">
        <v>69</v>
      </c>
      <c r="P362" t="s">
        <v>55</v>
      </c>
    </row>
    <row r="363" spans="1:16" x14ac:dyDescent="0.35">
      <c r="A363" t="s">
        <v>427</v>
      </c>
      <c r="B363">
        <v>49</v>
      </c>
      <c r="C363" t="s">
        <v>55</v>
      </c>
      <c r="D363" t="s">
        <v>55</v>
      </c>
      <c r="E363" t="s">
        <v>56</v>
      </c>
      <c r="F363">
        <v>47</v>
      </c>
      <c r="G363" t="s">
        <v>56</v>
      </c>
      <c r="H363" t="s">
        <v>56</v>
      </c>
      <c r="I363" t="s">
        <v>30</v>
      </c>
      <c r="J363" t="s">
        <v>14</v>
      </c>
      <c r="K363" t="s">
        <v>55</v>
      </c>
      <c r="L363" t="s">
        <v>25</v>
      </c>
      <c r="M363">
        <v>111.6</v>
      </c>
      <c r="N363">
        <v>5225.1000000000004</v>
      </c>
      <c r="O363" t="s">
        <v>76</v>
      </c>
      <c r="P363" t="s">
        <v>55</v>
      </c>
    </row>
    <row r="364" spans="1:16" x14ac:dyDescent="0.35">
      <c r="A364" t="s">
        <v>428</v>
      </c>
      <c r="B364">
        <v>53</v>
      </c>
      <c r="C364" t="s">
        <v>55</v>
      </c>
      <c r="D364" t="s">
        <v>55</v>
      </c>
      <c r="E364" t="s">
        <v>55</v>
      </c>
      <c r="F364">
        <v>8</v>
      </c>
      <c r="G364" t="s">
        <v>55</v>
      </c>
      <c r="H364" t="s">
        <v>60</v>
      </c>
      <c r="I364" t="s">
        <v>55</v>
      </c>
      <c r="J364" t="s">
        <v>12</v>
      </c>
      <c r="K364" t="s">
        <v>56</v>
      </c>
      <c r="L364" t="s">
        <v>61</v>
      </c>
      <c r="M364">
        <v>18.940000000000001</v>
      </c>
      <c r="N364">
        <v>146.35</v>
      </c>
      <c r="O364" t="s">
        <v>80</v>
      </c>
      <c r="P364" t="s">
        <v>55</v>
      </c>
    </row>
    <row r="365" spans="1:16" x14ac:dyDescent="0.35">
      <c r="A365" t="s">
        <v>429</v>
      </c>
      <c r="B365">
        <v>64</v>
      </c>
      <c r="C365" t="s">
        <v>56</v>
      </c>
      <c r="D365" t="s">
        <v>56</v>
      </c>
      <c r="E365" t="s">
        <v>55</v>
      </c>
      <c r="F365">
        <v>25</v>
      </c>
      <c r="G365" t="s">
        <v>56</v>
      </c>
      <c r="H365" t="s">
        <v>55</v>
      </c>
      <c r="I365" t="s">
        <v>30</v>
      </c>
      <c r="J365" t="s">
        <v>14</v>
      </c>
      <c r="K365" t="s">
        <v>55</v>
      </c>
      <c r="L365" t="s">
        <v>61</v>
      </c>
      <c r="M365">
        <v>108.31</v>
      </c>
      <c r="N365">
        <v>2732.63</v>
      </c>
      <c r="O365" t="s">
        <v>69</v>
      </c>
      <c r="P365" t="s">
        <v>55</v>
      </c>
    </row>
    <row r="366" spans="1:16" x14ac:dyDescent="0.35">
      <c r="A366" t="s">
        <v>430</v>
      </c>
      <c r="B366">
        <v>60</v>
      </c>
      <c r="C366" t="s">
        <v>56</v>
      </c>
      <c r="D366" t="s">
        <v>55</v>
      </c>
      <c r="E366" t="s">
        <v>56</v>
      </c>
      <c r="F366">
        <v>22</v>
      </c>
      <c r="G366" t="s">
        <v>55</v>
      </c>
      <c r="H366" t="s">
        <v>60</v>
      </c>
      <c r="I366" t="s">
        <v>29</v>
      </c>
      <c r="J366" t="s">
        <v>12</v>
      </c>
      <c r="K366" t="s">
        <v>56</v>
      </c>
      <c r="L366" t="s">
        <v>57</v>
      </c>
      <c r="M366">
        <v>64</v>
      </c>
      <c r="N366">
        <v>1481.25</v>
      </c>
      <c r="O366" t="s">
        <v>58</v>
      </c>
      <c r="P366" t="s">
        <v>55</v>
      </c>
    </row>
    <row r="367" spans="1:16" x14ac:dyDescent="0.35">
      <c r="A367" t="s">
        <v>431</v>
      </c>
      <c r="B367">
        <v>38</v>
      </c>
      <c r="C367" t="s">
        <v>55</v>
      </c>
      <c r="D367" t="s">
        <v>55</v>
      </c>
      <c r="E367" t="s">
        <v>55</v>
      </c>
      <c r="F367">
        <v>56</v>
      </c>
      <c r="G367" t="s">
        <v>55</v>
      </c>
      <c r="H367" t="s">
        <v>60</v>
      </c>
      <c r="I367" t="s">
        <v>55</v>
      </c>
      <c r="J367" t="s">
        <v>13</v>
      </c>
      <c r="K367" t="s">
        <v>56</v>
      </c>
      <c r="L367" t="s">
        <v>57</v>
      </c>
      <c r="M367">
        <v>24.6</v>
      </c>
      <c r="N367">
        <v>1418.03</v>
      </c>
      <c r="O367" t="s">
        <v>64</v>
      </c>
      <c r="P367" t="s">
        <v>55</v>
      </c>
    </row>
    <row r="368" spans="1:16" x14ac:dyDescent="0.35">
      <c r="A368" t="s">
        <v>432</v>
      </c>
      <c r="B368">
        <v>46</v>
      </c>
      <c r="C368" t="s">
        <v>55</v>
      </c>
      <c r="D368" t="s">
        <v>55</v>
      </c>
      <c r="E368" t="s">
        <v>56</v>
      </c>
      <c r="F368">
        <v>5</v>
      </c>
      <c r="G368" t="s">
        <v>56</v>
      </c>
      <c r="H368" t="s">
        <v>55</v>
      </c>
      <c r="I368" t="s">
        <v>55</v>
      </c>
      <c r="J368" t="s">
        <v>14</v>
      </c>
      <c r="K368" t="s">
        <v>55</v>
      </c>
      <c r="L368" t="s">
        <v>26</v>
      </c>
      <c r="M368">
        <v>29.81</v>
      </c>
      <c r="N368">
        <v>143.94999999999999</v>
      </c>
      <c r="O368" t="s">
        <v>66</v>
      </c>
      <c r="P368" t="s">
        <v>56</v>
      </c>
    </row>
    <row r="369" spans="1:16" x14ac:dyDescent="0.35">
      <c r="A369" t="s">
        <v>433</v>
      </c>
      <c r="B369">
        <v>70</v>
      </c>
      <c r="C369" t="s">
        <v>56</v>
      </c>
      <c r="D369" t="s">
        <v>55</v>
      </c>
      <c r="E369" t="s">
        <v>56</v>
      </c>
      <c r="F369">
        <v>13</v>
      </c>
      <c r="G369" t="s">
        <v>55</v>
      </c>
      <c r="H369" t="s">
        <v>60</v>
      </c>
      <c r="I369" t="s">
        <v>30</v>
      </c>
      <c r="J369" t="s">
        <v>12</v>
      </c>
      <c r="K369" t="s">
        <v>55</v>
      </c>
      <c r="L369" t="s">
        <v>57</v>
      </c>
      <c r="M369">
        <v>99.11</v>
      </c>
      <c r="N369">
        <v>1247.1500000000001</v>
      </c>
      <c r="O369" t="s">
        <v>80</v>
      </c>
      <c r="P369" t="s">
        <v>55</v>
      </c>
    </row>
    <row r="370" spans="1:16" x14ac:dyDescent="0.35">
      <c r="A370" t="s">
        <v>434</v>
      </c>
      <c r="B370">
        <v>54</v>
      </c>
      <c r="C370" t="s">
        <v>55</v>
      </c>
      <c r="D370" t="s">
        <v>55</v>
      </c>
      <c r="E370" t="s">
        <v>56</v>
      </c>
      <c r="F370">
        <v>10</v>
      </c>
      <c r="G370" t="s">
        <v>55</v>
      </c>
      <c r="H370" t="s">
        <v>60</v>
      </c>
      <c r="I370" t="s">
        <v>29</v>
      </c>
      <c r="J370" t="s">
        <v>12</v>
      </c>
      <c r="K370" t="s">
        <v>56</v>
      </c>
      <c r="L370" t="s">
        <v>57</v>
      </c>
      <c r="M370">
        <v>52.02</v>
      </c>
      <c r="N370">
        <v>534.61</v>
      </c>
      <c r="O370" t="s">
        <v>80</v>
      </c>
      <c r="P370" t="s">
        <v>55</v>
      </c>
    </row>
    <row r="371" spans="1:16" x14ac:dyDescent="0.35">
      <c r="A371" t="s">
        <v>435</v>
      </c>
      <c r="B371">
        <v>67</v>
      </c>
      <c r="C371" t="s">
        <v>56</v>
      </c>
      <c r="D371" t="s">
        <v>56</v>
      </c>
      <c r="E371" t="s">
        <v>55</v>
      </c>
      <c r="F371">
        <v>45</v>
      </c>
      <c r="G371" t="s">
        <v>55</v>
      </c>
      <c r="H371" t="s">
        <v>60</v>
      </c>
      <c r="I371" t="s">
        <v>55</v>
      </c>
      <c r="J371" t="s">
        <v>12</v>
      </c>
      <c r="K371" t="s">
        <v>56</v>
      </c>
      <c r="L371" t="s">
        <v>25</v>
      </c>
      <c r="M371">
        <v>20.72</v>
      </c>
      <c r="N371">
        <v>949.49</v>
      </c>
      <c r="O371" t="s">
        <v>80</v>
      </c>
      <c r="P371" t="s">
        <v>55</v>
      </c>
    </row>
    <row r="372" spans="1:16" x14ac:dyDescent="0.35">
      <c r="A372" t="s">
        <v>436</v>
      </c>
      <c r="B372">
        <v>58</v>
      </c>
      <c r="C372" t="s">
        <v>55</v>
      </c>
      <c r="D372" t="s">
        <v>55</v>
      </c>
      <c r="E372" t="s">
        <v>56</v>
      </c>
      <c r="F372">
        <v>40</v>
      </c>
      <c r="G372" t="s">
        <v>55</v>
      </c>
      <c r="H372" t="s">
        <v>60</v>
      </c>
      <c r="I372" t="s">
        <v>29</v>
      </c>
      <c r="J372" t="s">
        <v>12</v>
      </c>
      <c r="K372" t="s">
        <v>56</v>
      </c>
      <c r="L372" t="s">
        <v>26</v>
      </c>
      <c r="M372">
        <v>67.91</v>
      </c>
      <c r="N372">
        <v>2603.35</v>
      </c>
      <c r="O372" t="s">
        <v>64</v>
      </c>
      <c r="P372" t="s">
        <v>55</v>
      </c>
    </row>
    <row r="373" spans="1:16" x14ac:dyDescent="0.35">
      <c r="A373" t="s">
        <v>437</v>
      </c>
      <c r="B373">
        <v>46</v>
      </c>
      <c r="C373" t="s">
        <v>55</v>
      </c>
      <c r="D373" t="s">
        <v>56</v>
      </c>
      <c r="E373" t="s">
        <v>56</v>
      </c>
      <c r="F373">
        <v>56</v>
      </c>
      <c r="G373" t="s">
        <v>55</v>
      </c>
      <c r="H373" t="s">
        <v>60</v>
      </c>
      <c r="I373" t="s">
        <v>30</v>
      </c>
      <c r="J373" t="s">
        <v>12</v>
      </c>
      <c r="K373" t="s">
        <v>55</v>
      </c>
      <c r="L373" t="s">
        <v>26</v>
      </c>
      <c r="M373">
        <v>98.57</v>
      </c>
      <c r="N373">
        <v>5221.3900000000003</v>
      </c>
      <c r="O373" t="s">
        <v>80</v>
      </c>
      <c r="P373" t="s">
        <v>56</v>
      </c>
    </row>
    <row r="374" spans="1:16" x14ac:dyDescent="0.35">
      <c r="A374" t="s">
        <v>438</v>
      </c>
      <c r="B374">
        <v>43</v>
      </c>
      <c r="C374" t="s">
        <v>55</v>
      </c>
      <c r="D374" t="s">
        <v>55</v>
      </c>
      <c r="E374" t="s">
        <v>56</v>
      </c>
      <c r="F374">
        <v>18</v>
      </c>
      <c r="G374" t="s">
        <v>56</v>
      </c>
      <c r="H374" t="s">
        <v>55</v>
      </c>
      <c r="I374" t="s">
        <v>29</v>
      </c>
      <c r="J374" t="s">
        <v>13</v>
      </c>
      <c r="K374" t="s">
        <v>56</v>
      </c>
      <c r="L374" t="s">
        <v>57</v>
      </c>
      <c r="M374">
        <v>79.88</v>
      </c>
      <c r="N374">
        <v>1442.02</v>
      </c>
      <c r="O374" t="s">
        <v>76</v>
      </c>
      <c r="P374" t="s">
        <v>55</v>
      </c>
    </row>
    <row r="375" spans="1:16" x14ac:dyDescent="0.35">
      <c r="A375" t="s">
        <v>439</v>
      </c>
      <c r="B375">
        <v>67</v>
      </c>
      <c r="C375" t="s">
        <v>56</v>
      </c>
      <c r="D375" t="s">
        <v>55</v>
      </c>
      <c r="E375" t="s">
        <v>55</v>
      </c>
      <c r="F375">
        <v>12</v>
      </c>
      <c r="G375" t="s">
        <v>55</v>
      </c>
      <c r="H375" t="s">
        <v>60</v>
      </c>
      <c r="I375" t="s">
        <v>30</v>
      </c>
      <c r="J375" t="s">
        <v>12</v>
      </c>
      <c r="K375" t="s">
        <v>55</v>
      </c>
      <c r="L375" t="s">
        <v>26</v>
      </c>
      <c r="M375">
        <v>87.23</v>
      </c>
      <c r="N375">
        <v>1066.28</v>
      </c>
      <c r="O375" t="s">
        <v>62</v>
      </c>
      <c r="P375" t="s">
        <v>55</v>
      </c>
    </row>
    <row r="376" spans="1:16" x14ac:dyDescent="0.35">
      <c r="A376" t="s">
        <v>440</v>
      </c>
      <c r="B376">
        <v>40</v>
      </c>
      <c r="C376" t="s">
        <v>55</v>
      </c>
      <c r="D376" t="s">
        <v>55</v>
      </c>
      <c r="E376" t="s">
        <v>56</v>
      </c>
      <c r="F376">
        <v>57</v>
      </c>
      <c r="G376" t="s">
        <v>56</v>
      </c>
      <c r="H376" t="s">
        <v>56</v>
      </c>
      <c r="I376" t="s">
        <v>30</v>
      </c>
      <c r="J376" t="s">
        <v>12</v>
      </c>
      <c r="K376" t="s">
        <v>56</v>
      </c>
      <c r="L376" t="s">
        <v>26</v>
      </c>
      <c r="M376">
        <v>72.73</v>
      </c>
      <c r="N376">
        <v>4368.95</v>
      </c>
      <c r="O376" t="s">
        <v>66</v>
      </c>
      <c r="P376" t="s">
        <v>55</v>
      </c>
    </row>
    <row r="377" spans="1:16" x14ac:dyDescent="0.35">
      <c r="A377" t="s">
        <v>441</v>
      </c>
      <c r="B377">
        <v>71</v>
      </c>
      <c r="C377" t="s">
        <v>56</v>
      </c>
      <c r="D377" t="s">
        <v>55</v>
      </c>
      <c r="E377" t="s">
        <v>56</v>
      </c>
      <c r="F377">
        <v>44</v>
      </c>
      <c r="G377" t="s">
        <v>56</v>
      </c>
      <c r="H377" t="s">
        <v>56</v>
      </c>
      <c r="I377" t="s">
        <v>29</v>
      </c>
      <c r="J377" t="s">
        <v>12</v>
      </c>
      <c r="K377" t="s">
        <v>55</v>
      </c>
      <c r="L377" t="s">
        <v>26</v>
      </c>
      <c r="M377">
        <v>61.52</v>
      </c>
      <c r="N377">
        <v>2610.67</v>
      </c>
      <c r="O377" t="s">
        <v>76</v>
      </c>
      <c r="P377" t="s">
        <v>55</v>
      </c>
    </row>
    <row r="378" spans="1:16" x14ac:dyDescent="0.35">
      <c r="A378" t="s">
        <v>442</v>
      </c>
      <c r="B378">
        <v>53</v>
      </c>
      <c r="C378" t="s">
        <v>55</v>
      </c>
      <c r="D378" t="s">
        <v>55</v>
      </c>
      <c r="E378" t="s">
        <v>56</v>
      </c>
      <c r="F378">
        <v>3</v>
      </c>
      <c r="G378" t="s">
        <v>56</v>
      </c>
      <c r="H378" t="s">
        <v>56</v>
      </c>
      <c r="I378" t="s">
        <v>30</v>
      </c>
      <c r="J378" t="s">
        <v>12</v>
      </c>
      <c r="K378" t="s">
        <v>56</v>
      </c>
      <c r="L378" t="s">
        <v>61</v>
      </c>
      <c r="M378">
        <v>100.9</v>
      </c>
      <c r="N378">
        <v>286.47000000000003</v>
      </c>
      <c r="O378" t="s">
        <v>80</v>
      </c>
      <c r="P378" t="s">
        <v>55</v>
      </c>
    </row>
    <row r="379" spans="1:16" x14ac:dyDescent="0.35">
      <c r="A379" t="s">
        <v>443</v>
      </c>
      <c r="B379">
        <v>22</v>
      </c>
      <c r="C379" t="s">
        <v>55</v>
      </c>
      <c r="D379" t="s">
        <v>55</v>
      </c>
      <c r="E379" t="s">
        <v>55</v>
      </c>
      <c r="F379">
        <v>47</v>
      </c>
      <c r="G379" t="s">
        <v>56</v>
      </c>
      <c r="H379" t="s">
        <v>56</v>
      </c>
      <c r="I379" t="s">
        <v>55</v>
      </c>
      <c r="J379" t="s">
        <v>14</v>
      </c>
      <c r="K379" t="s">
        <v>55</v>
      </c>
      <c r="L379" t="s">
        <v>26</v>
      </c>
      <c r="M379">
        <v>22.57</v>
      </c>
      <c r="N379">
        <v>1121.46</v>
      </c>
      <c r="O379" t="s">
        <v>76</v>
      </c>
      <c r="P379" t="s">
        <v>56</v>
      </c>
    </row>
    <row r="380" spans="1:16" x14ac:dyDescent="0.35">
      <c r="A380" t="s">
        <v>444</v>
      </c>
      <c r="B380">
        <v>49</v>
      </c>
      <c r="C380" t="s">
        <v>55</v>
      </c>
      <c r="D380" t="s">
        <v>56</v>
      </c>
      <c r="E380" t="s">
        <v>56</v>
      </c>
      <c r="F380">
        <v>26</v>
      </c>
      <c r="G380" t="s">
        <v>55</v>
      </c>
      <c r="H380" t="s">
        <v>60</v>
      </c>
      <c r="I380" t="s">
        <v>29</v>
      </c>
      <c r="J380" t="s">
        <v>13</v>
      </c>
      <c r="K380" t="s">
        <v>56</v>
      </c>
      <c r="L380" t="s">
        <v>26</v>
      </c>
      <c r="M380">
        <v>76.89</v>
      </c>
      <c r="N380">
        <v>1952.34</v>
      </c>
      <c r="O380" t="s">
        <v>69</v>
      </c>
      <c r="P380" t="s">
        <v>55</v>
      </c>
    </row>
    <row r="381" spans="1:16" x14ac:dyDescent="0.35">
      <c r="A381" t="s">
        <v>445</v>
      </c>
      <c r="B381">
        <v>28</v>
      </c>
      <c r="C381" t="s">
        <v>55</v>
      </c>
      <c r="D381" t="s">
        <v>56</v>
      </c>
      <c r="E381" t="s">
        <v>55</v>
      </c>
      <c r="F381">
        <v>46</v>
      </c>
      <c r="G381" t="s">
        <v>55</v>
      </c>
      <c r="H381" t="s">
        <v>60</v>
      </c>
      <c r="I381" t="s">
        <v>30</v>
      </c>
      <c r="J381" t="s">
        <v>12</v>
      </c>
      <c r="K381" t="s">
        <v>55</v>
      </c>
      <c r="L381" t="s">
        <v>61</v>
      </c>
      <c r="M381">
        <v>101.29</v>
      </c>
      <c r="N381">
        <v>4871.07</v>
      </c>
      <c r="O381" t="s">
        <v>66</v>
      </c>
      <c r="P381" t="s">
        <v>55</v>
      </c>
    </row>
    <row r="382" spans="1:16" x14ac:dyDescent="0.35">
      <c r="A382" t="s">
        <v>446</v>
      </c>
      <c r="B382">
        <v>19</v>
      </c>
      <c r="C382" t="s">
        <v>55</v>
      </c>
      <c r="D382" t="s">
        <v>55</v>
      </c>
      <c r="E382" t="s">
        <v>56</v>
      </c>
      <c r="F382">
        <v>20</v>
      </c>
      <c r="G382" t="s">
        <v>55</v>
      </c>
      <c r="H382" t="s">
        <v>60</v>
      </c>
      <c r="I382" t="s">
        <v>30</v>
      </c>
      <c r="J382" t="s">
        <v>13</v>
      </c>
      <c r="K382" t="s">
        <v>56</v>
      </c>
      <c r="L382" t="s">
        <v>61</v>
      </c>
      <c r="M382">
        <v>96.04</v>
      </c>
      <c r="N382">
        <v>1961.83</v>
      </c>
      <c r="O382" t="s">
        <v>69</v>
      </c>
      <c r="P382" t="s">
        <v>55</v>
      </c>
    </row>
    <row r="383" spans="1:16" x14ac:dyDescent="0.35">
      <c r="A383" t="s">
        <v>447</v>
      </c>
      <c r="B383">
        <v>32</v>
      </c>
      <c r="C383" t="s">
        <v>55</v>
      </c>
      <c r="D383" t="s">
        <v>55</v>
      </c>
      <c r="E383" t="s">
        <v>56</v>
      </c>
      <c r="F383">
        <v>20</v>
      </c>
      <c r="G383" t="s">
        <v>55</v>
      </c>
      <c r="H383" t="s">
        <v>60</v>
      </c>
      <c r="I383" t="s">
        <v>30</v>
      </c>
      <c r="J383" t="s">
        <v>14</v>
      </c>
      <c r="K383" t="s">
        <v>55</v>
      </c>
      <c r="L383" t="s">
        <v>57</v>
      </c>
      <c r="M383">
        <v>76.59</v>
      </c>
      <c r="N383">
        <v>1559.83</v>
      </c>
      <c r="O383" t="s">
        <v>69</v>
      </c>
      <c r="P383" t="s">
        <v>55</v>
      </c>
    </row>
    <row r="384" spans="1:16" x14ac:dyDescent="0.35">
      <c r="A384" t="s">
        <v>448</v>
      </c>
      <c r="B384">
        <v>69</v>
      </c>
      <c r="C384" t="s">
        <v>56</v>
      </c>
      <c r="D384" t="s">
        <v>56</v>
      </c>
      <c r="E384" t="s">
        <v>56</v>
      </c>
      <c r="F384">
        <v>40</v>
      </c>
      <c r="G384" t="s">
        <v>56</v>
      </c>
      <c r="H384" t="s">
        <v>55</v>
      </c>
      <c r="I384" t="s">
        <v>29</v>
      </c>
      <c r="J384" t="s">
        <v>14</v>
      </c>
      <c r="K384" t="s">
        <v>56</v>
      </c>
      <c r="L384" t="s">
        <v>61</v>
      </c>
      <c r="M384">
        <v>62.59</v>
      </c>
      <c r="N384">
        <v>2400.87</v>
      </c>
      <c r="O384" t="s">
        <v>58</v>
      </c>
      <c r="P384" t="s">
        <v>56</v>
      </c>
    </row>
    <row r="385" spans="1:16" x14ac:dyDescent="0.35">
      <c r="A385" t="s">
        <v>449</v>
      </c>
      <c r="B385">
        <v>64</v>
      </c>
      <c r="C385" t="s">
        <v>56</v>
      </c>
      <c r="D385" t="s">
        <v>56</v>
      </c>
      <c r="E385" t="s">
        <v>56</v>
      </c>
      <c r="F385">
        <v>41</v>
      </c>
      <c r="G385" t="s">
        <v>56</v>
      </c>
      <c r="H385" t="s">
        <v>55</v>
      </c>
      <c r="I385" t="s">
        <v>55</v>
      </c>
      <c r="J385" t="s">
        <v>13</v>
      </c>
      <c r="K385" t="s">
        <v>55</v>
      </c>
      <c r="L385" t="s">
        <v>25</v>
      </c>
      <c r="M385">
        <v>21.64</v>
      </c>
      <c r="N385">
        <v>913.39</v>
      </c>
      <c r="O385" t="s">
        <v>69</v>
      </c>
      <c r="P385" t="s">
        <v>55</v>
      </c>
    </row>
    <row r="386" spans="1:16" x14ac:dyDescent="0.35">
      <c r="A386" t="s">
        <v>450</v>
      </c>
      <c r="B386">
        <v>65</v>
      </c>
      <c r="C386" t="s">
        <v>56</v>
      </c>
      <c r="D386" t="s">
        <v>55</v>
      </c>
      <c r="E386" t="s">
        <v>56</v>
      </c>
      <c r="F386">
        <v>25</v>
      </c>
      <c r="G386" t="s">
        <v>56</v>
      </c>
      <c r="H386" t="s">
        <v>56</v>
      </c>
      <c r="I386" t="s">
        <v>30</v>
      </c>
      <c r="J386" t="s">
        <v>14</v>
      </c>
      <c r="K386" t="s">
        <v>55</v>
      </c>
      <c r="L386" t="s">
        <v>61</v>
      </c>
      <c r="M386">
        <v>100.62</v>
      </c>
      <c r="N386">
        <v>2544.59</v>
      </c>
      <c r="O386" t="s">
        <v>80</v>
      </c>
      <c r="P386" t="s">
        <v>56</v>
      </c>
    </row>
    <row r="387" spans="1:16" x14ac:dyDescent="0.35">
      <c r="A387" t="s">
        <v>451</v>
      </c>
      <c r="B387">
        <v>40</v>
      </c>
      <c r="C387" t="s">
        <v>55</v>
      </c>
      <c r="D387" t="s">
        <v>56</v>
      </c>
      <c r="E387" t="s">
        <v>55</v>
      </c>
      <c r="F387">
        <v>18</v>
      </c>
      <c r="G387" t="s">
        <v>55</v>
      </c>
      <c r="H387" t="s">
        <v>60</v>
      </c>
      <c r="I387" t="s">
        <v>29</v>
      </c>
      <c r="J387" t="s">
        <v>13</v>
      </c>
      <c r="K387" t="s">
        <v>55</v>
      </c>
      <c r="L387" t="s">
        <v>26</v>
      </c>
      <c r="M387">
        <v>55.5</v>
      </c>
      <c r="N387">
        <v>995.86</v>
      </c>
      <c r="O387" t="s">
        <v>62</v>
      </c>
      <c r="P387" t="s">
        <v>56</v>
      </c>
    </row>
    <row r="388" spans="1:16" x14ac:dyDescent="0.35">
      <c r="A388" t="s">
        <v>452</v>
      </c>
      <c r="B388">
        <v>20</v>
      </c>
      <c r="C388" t="s">
        <v>55</v>
      </c>
      <c r="D388" t="s">
        <v>55</v>
      </c>
      <c r="E388" t="s">
        <v>56</v>
      </c>
      <c r="F388">
        <v>35</v>
      </c>
      <c r="G388" t="s">
        <v>56</v>
      </c>
      <c r="H388" t="s">
        <v>55</v>
      </c>
      <c r="I388" t="s">
        <v>55</v>
      </c>
      <c r="J388" t="s">
        <v>14</v>
      </c>
      <c r="K388" t="s">
        <v>56</v>
      </c>
      <c r="L388" t="s">
        <v>26</v>
      </c>
      <c r="M388">
        <v>29.13</v>
      </c>
      <c r="N388">
        <v>1078.96</v>
      </c>
      <c r="O388" t="s">
        <v>64</v>
      </c>
      <c r="P388" t="s">
        <v>55</v>
      </c>
    </row>
    <row r="389" spans="1:16" x14ac:dyDescent="0.35">
      <c r="A389" t="s">
        <v>453</v>
      </c>
      <c r="B389">
        <v>62</v>
      </c>
      <c r="C389" t="s">
        <v>56</v>
      </c>
      <c r="D389" t="s">
        <v>55</v>
      </c>
      <c r="E389" t="s">
        <v>55</v>
      </c>
      <c r="F389">
        <v>32</v>
      </c>
      <c r="G389" t="s">
        <v>56</v>
      </c>
      <c r="H389" t="s">
        <v>55</v>
      </c>
      <c r="I389" t="s">
        <v>30</v>
      </c>
      <c r="J389" t="s">
        <v>14</v>
      </c>
      <c r="K389" t="s">
        <v>55</v>
      </c>
      <c r="L389" t="s">
        <v>57</v>
      </c>
      <c r="M389">
        <v>116.96</v>
      </c>
      <c r="N389">
        <v>3775.03</v>
      </c>
      <c r="O389" t="s">
        <v>69</v>
      </c>
      <c r="P389" t="s">
        <v>55</v>
      </c>
    </row>
    <row r="390" spans="1:16" x14ac:dyDescent="0.35">
      <c r="A390" t="s">
        <v>454</v>
      </c>
      <c r="B390">
        <v>74</v>
      </c>
      <c r="C390" t="s">
        <v>56</v>
      </c>
      <c r="D390" t="s">
        <v>56</v>
      </c>
      <c r="E390" t="s">
        <v>56</v>
      </c>
      <c r="F390">
        <v>58</v>
      </c>
      <c r="G390" t="s">
        <v>56</v>
      </c>
      <c r="H390" t="s">
        <v>55</v>
      </c>
      <c r="I390" t="s">
        <v>29</v>
      </c>
      <c r="J390" t="s">
        <v>12</v>
      </c>
      <c r="K390" t="s">
        <v>55</v>
      </c>
      <c r="L390" t="s">
        <v>25</v>
      </c>
      <c r="M390">
        <v>41.57</v>
      </c>
      <c r="N390">
        <v>2378.48</v>
      </c>
      <c r="O390" t="s">
        <v>80</v>
      </c>
      <c r="P390" t="s">
        <v>55</v>
      </c>
    </row>
    <row r="391" spans="1:16" x14ac:dyDescent="0.35">
      <c r="A391" t="s">
        <v>455</v>
      </c>
      <c r="B391">
        <v>30</v>
      </c>
      <c r="C391" t="s">
        <v>55</v>
      </c>
      <c r="D391" t="s">
        <v>55</v>
      </c>
      <c r="E391" t="s">
        <v>55</v>
      </c>
      <c r="F391">
        <v>51</v>
      </c>
      <c r="G391" t="s">
        <v>55</v>
      </c>
      <c r="H391" t="s">
        <v>60</v>
      </c>
      <c r="I391" t="s">
        <v>55</v>
      </c>
      <c r="J391" t="s">
        <v>12</v>
      </c>
      <c r="K391" t="s">
        <v>55</v>
      </c>
      <c r="L391" t="s">
        <v>26</v>
      </c>
      <c r="M391">
        <v>29.03</v>
      </c>
      <c r="N391">
        <v>1514.28</v>
      </c>
      <c r="O391" t="s">
        <v>64</v>
      </c>
      <c r="P391" t="s">
        <v>55</v>
      </c>
    </row>
    <row r="392" spans="1:16" x14ac:dyDescent="0.35">
      <c r="A392" t="s">
        <v>456</v>
      </c>
      <c r="B392">
        <v>71</v>
      </c>
      <c r="C392" t="s">
        <v>56</v>
      </c>
      <c r="D392" t="s">
        <v>55</v>
      </c>
      <c r="E392" t="s">
        <v>56</v>
      </c>
      <c r="F392">
        <v>65</v>
      </c>
      <c r="G392" t="s">
        <v>56</v>
      </c>
      <c r="H392" t="s">
        <v>55</v>
      </c>
      <c r="I392" t="s">
        <v>30</v>
      </c>
      <c r="J392" t="s">
        <v>12</v>
      </c>
      <c r="K392" t="s">
        <v>56</v>
      </c>
      <c r="L392" t="s">
        <v>26</v>
      </c>
      <c r="M392">
        <v>99.52</v>
      </c>
      <c r="N392">
        <v>6633.86</v>
      </c>
      <c r="O392" t="s">
        <v>64</v>
      </c>
      <c r="P392" t="s">
        <v>56</v>
      </c>
    </row>
    <row r="393" spans="1:16" x14ac:dyDescent="0.35">
      <c r="A393" t="s">
        <v>457</v>
      </c>
      <c r="B393">
        <v>23</v>
      </c>
      <c r="C393" t="s">
        <v>55</v>
      </c>
      <c r="D393" t="s">
        <v>55</v>
      </c>
      <c r="E393" t="s">
        <v>55</v>
      </c>
      <c r="F393">
        <v>21</v>
      </c>
      <c r="G393" t="s">
        <v>56</v>
      </c>
      <c r="H393" t="s">
        <v>56</v>
      </c>
      <c r="I393" t="s">
        <v>29</v>
      </c>
      <c r="J393" t="s">
        <v>13</v>
      </c>
      <c r="K393" t="s">
        <v>55</v>
      </c>
      <c r="L393" t="s">
        <v>26</v>
      </c>
      <c r="M393">
        <v>68.290000000000006</v>
      </c>
      <c r="N393">
        <v>1473.13</v>
      </c>
      <c r="O393" t="s">
        <v>58</v>
      </c>
      <c r="P393" t="s">
        <v>55</v>
      </c>
    </row>
    <row r="394" spans="1:16" x14ac:dyDescent="0.35">
      <c r="A394" t="s">
        <v>458</v>
      </c>
      <c r="B394">
        <v>28</v>
      </c>
      <c r="C394" t="s">
        <v>55</v>
      </c>
      <c r="D394" t="s">
        <v>55</v>
      </c>
      <c r="E394" t="s">
        <v>55</v>
      </c>
      <c r="F394">
        <v>6</v>
      </c>
      <c r="G394" t="s">
        <v>55</v>
      </c>
      <c r="H394" t="s">
        <v>60</v>
      </c>
      <c r="I394" t="s">
        <v>29</v>
      </c>
      <c r="J394" t="s">
        <v>13</v>
      </c>
      <c r="K394" t="s">
        <v>56</v>
      </c>
      <c r="L394" t="s">
        <v>26</v>
      </c>
      <c r="M394">
        <v>45.78</v>
      </c>
      <c r="N394">
        <v>283.55</v>
      </c>
      <c r="O394" t="s">
        <v>76</v>
      </c>
      <c r="P394" t="s">
        <v>56</v>
      </c>
    </row>
    <row r="395" spans="1:16" x14ac:dyDescent="0.35">
      <c r="A395" t="s">
        <v>459</v>
      </c>
      <c r="B395">
        <v>37</v>
      </c>
      <c r="C395" t="s">
        <v>55</v>
      </c>
      <c r="D395" t="s">
        <v>55</v>
      </c>
      <c r="E395" t="s">
        <v>55</v>
      </c>
      <c r="F395">
        <v>24</v>
      </c>
      <c r="G395" t="s">
        <v>56</v>
      </c>
      <c r="H395" t="s">
        <v>55</v>
      </c>
      <c r="I395" t="s">
        <v>30</v>
      </c>
      <c r="J395" t="s">
        <v>12</v>
      </c>
      <c r="K395" t="s">
        <v>55</v>
      </c>
      <c r="L395" t="s">
        <v>26</v>
      </c>
      <c r="M395">
        <v>94.88</v>
      </c>
      <c r="N395">
        <v>2276.75</v>
      </c>
      <c r="O395" t="s">
        <v>58</v>
      </c>
      <c r="P395" t="s">
        <v>55</v>
      </c>
    </row>
    <row r="396" spans="1:16" x14ac:dyDescent="0.35">
      <c r="A396" t="s">
        <v>460</v>
      </c>
      <c r="B396">
        <v>74</v>
      </c>
      <c r="C396" t="s">
        <v>56</v>
      </c>
      <c r="D396" t="s">
        <v>55</v>
      </c>
      <c r="E396" t="s">
        <v>56</v>
      </c>
      <c r="F396">
        <v>28</v>
      </c>
      <c r="G396" t="s">
        <v>55</v>
      </c>
      <c r="H396" t="s">
        <v>60</v>
      </c>
      <c r="I396" t="s">
        <v>29</v>
      </c>
      <c r="J396" t="s">
        <v>12</v>
      </c>
      <c r="K396" t="s">
        <v>55</v>
      </c>
      <c r="L396" t="s">
        <v>26</v>
      </c>
      <c r="M396">
        <v>64</v>
      </c>
      <c r="N396">
        <v>1737.1</v>
      </c>
      <c r="O396" t="s">
        <v>58</v>
      </c>
      <c r="P396" t="s">
        <v>55</v>
      </c>
    </row>
    <row r="397" spans="1:16" x14ac:dyDescent="0.35">
      <c r="A397" t="s">
        <v>461</v>
      </c>
      <c r="B397">
        <v>58</v>
      </c>
      <c r="C397" t="s">
        <v>55</v>
      </c>
      <c r="D397" t="s">
        <v>56</v>
      </c>
      <c r="E397" t="s">
        <v>56</v>
      </c>
      <c r="F397">
        <v>24</v>
      </c>
      <c r="G397" t="s">
        <v>55</v>
      </c>
      <c r="H397" t="s">
        <v>60</v>
      </c>
      <c r="I397" t="s">
        <v>30</v>
      </c>
      <c r="J397" t="s">
        <v>12</v>
      </c>
      <c r="K397" t="s">
        <v>56</v>
      </c>
      <c r="L397" t="s">
        <v>61</v>
      </c>
      <c r="M397">
        <v>111.9</v>
      </c>
      <c r="N397">
        <v>2620.64</v>
      </c>
      <c r="O397" t="s">
        <v>80</v>
      </c>
      <c r="P397" t="s">
        <v>55</v>
      </c>
    </row>
    <row r="398" spans="1:16" x14ac:dyDescent="0.35">
      <c r="A398" t="s">
        <v>462</v>
      </c>
      <c r="B398">
        <v>24</v>
      </c>
      <c r="C398" t="s">
        <v>55</v>
      </c>
      <c r="D398" t="s">
        <v>55</v>
      </c>
      <c r="E398" t="s">
        <v>56</v>
      </c>
      <c r="F398">
        <v>21</v>
      </c>
      <c r="G398" t="s">
        <v>56</v>
      </c>
      <c r="H398" t="s">
        <v>55</v>
      </c>
      <c r="I398" t="s">
        <v>29</v>
      </c>
      <c r="J398" t="s">
        <v>13</v>
      </c>
      <c r="K398" t="s">
        <v>55</v>
      </c>
      <c r="L398" t="s">
        <v>25</v>
      </c>
      <c r="M398">
        <v>43.73</v>
      </c>
      <c r="N398">
        <v>896.21</v>
      </c>
      <c r="O398" t="s">
        <v>64</v>
      </c>
      <c r="P398" t="s">
        <v>55</v>
      </c>
    </row>
    <row r="399" spans="1:16" x14ac:dyDescent="0.35">
      <c r="A399" t="s">
        <v>463</v>
      </c>
      <c r="B399">
        <v>70</v>
      </c>
      <c r="C399" t="s">
        <v>56</v>
      </c>
      <c r="D399" t="s">
        <v>56</v>
      </c>
      <c r="E399" t="s">
        <v>55</v>
      </c>
      <c r="F399">
        <v>71</v>
      </c>
      <c r="G399" t="s">
        <v>55</v>
      </c>
      <c r="H399" t="s">
        <v>60</v>
      </c>
      <c r="I399" t="s">
        <v>30</v>
      </c>
      <c r="J399" t="s">
        <v>12</v>
      </c>
      <c r="K399" t="s">
        <v>55</v>
      </c>
      <c r="L399" t="s">
        <v>26</v>
      </c>
      <c r="M399">
        <v>90.69</v>
      </c>
      <c r="N399">
        <v>6214.79</v>
      </c>
      <c r="O399" t="s">
        <v>80</v>
      </c>
      <c r="P399" t="s">
        <v>56</v>
      </c>
    </row>
    <row r="400" spans="1:16" x14ac:dyDescent="0.35">
      <c r="A400" t="s">
        <v>464</v>
      </c>
      <c r="B400">
        <v>24</v>
      </c>
      <c r="C400" t="s">
        <v>55</v>
      </c>
      <c r="D400" t="s">
        <v>56</v>
      </c>
      <c r="E400" t="s">
        <v>55</v>
      </c>
      <c r="F400">
        <v>37</v>
      </c>
      <c r="G400" t="s">
        <v>55</v>
      </c>
      <c r="H400" t="s">
        <v>60</v>
      </c>
      <c r="I400" t="s">
        <v>30</v>
      </c>
      <c r="J400" t="s">
        <v>12</v>
      </c>
      <c r="K400" t="s">
        <v>55</v>
      </c>
      <c r="L400" t="s">
        <v>25</v>
      </c>
      <c r="M400">
        <v>100.71</v>
      </c>
      <c r="N400">
        <v>3724.66</v>
      </c>
      <c r="O400" t="s">
        <v>64</v>
      </c>
      <c r="P400" t="s">
        <v>55</v>
      </c>
    </row>
    <row r="401" spans="1:16" x14ac:dyDescent="0.35">
      <c r="A401" t="s">
        <v>465</v>
      </c>
      <c r="B401">
        <v>49</v>
      </c>
      <c r="C401" t="s">
        <v>55</v>
      </c>
      <c r="D401" t="s">
        <v>56</v>
      </c>
      <c r="E401" t="s">
        <v>56</v>
      </c>
      <c r="F401">
        <v>38</v>
      </c>
      <c r="G401" t="s">
        <v>56</v>
      </c>
      <c r="H401" t="s">
        <v>56</v>
      </c>
      <c r="I401" t="s">
        <v>55</v>
      </c>
      <c r="J401" t="s">
        <v>12</v>
      </c>
      <c r="K401" t="s">
        <v>56</v>
      </c>
      <c r="L401" t="s">
        <v>61</v>
      </c>
      <c r="M401">
        <v>20.49</v>
      </c>
      <c r="N401">
        <v>789.39</v>
      </c>
      <c r="O401" t="s">
        <v>80</v>
      </c>
      <c r="P401" t="s">
        <v>55</v>
      </c>
    </row>
    <row r="402" spans="1:16" x14ac:dyDescent="0.35">
      <c r="A402" t="s">
        <v>466</v>
      </c>
      <c r="B402">
        <v>39</v>
      </c>
      <c r="C402" t="s">
        <v>55</v>
      </c>
      <c r="D402" t="s">
        <v>55</v>
      </c>
      <c r="E402" t="s">
        <v>56</v>
      </c>
      <c r="F402">
        <v>2</v>
      </c>
      <c r="G402" t="s">
        <v>55</v>
      </c>
      <c r="H402" t="s">
        <v>60</v>
      </c>
      <c r="I402" t="s">
        <v>29</v>
      </c>
      <c r="J402" t="s">
        <v>12</v>
      </c>
      <c r="K402" t="s">
        <v>56</v>
      </c>
      <c r="L402" t="s">
        <v>26</v>
      </c>
      <c r="M402">
        <v>60.27</v>
      </c>
      <c r="N402">
        <v>117.99</v>
      </c>
      <c r="O402" t="s">
        <v>69</v>
      </c>
      <c r="P402" t="s">
        <v>56</v>
      </c>
    </row>
    <row r="403" spans="1:16" x14ac:dyDescent="0.35">
      <c r="A403" t="s">
        <v>467</v>
      </c>
      <c r="B403">
        <v>39</v>
      </c>
      <c r="C403" t="s">
        <v>55</v>
      </c>
      <c r="D403" t="s">
        <v>55</v>
      </c>
      <c r="E403" t="s">
        <v>55</v>
      </c>
      <c r="F403">
        <v>4</v>
      </c>
      <c r="G403" t="s">
        <v>56</v>
      </c>
      <c r="H403" t="s">
        <v>56</v>
      </c>
      <c r="I403" t="s">
        <v>55</v>
      </c>
      <c r="J403" t="s">
        <v>12</v>
      </c>
      <c r="K403" t="s">
        <v>55</v>
      </c>
      <c r="L403" t="s">
        <v>25</v>
      </c>
      <c r="M403">
        <v>27.57</v>
      </c>
      <c r="N403">
        <v>112.21</v>
      </c>
      <c r="O403" t="s">
        <v>69</v>
      </c>
      <c r="P403" t="s">
        <v>56</v>
      </c>
    </row>
    <row r="404" spans="1:16" x14ac:dyDescent="0.35">
      <c r="A404" t="s">
        <v>468</v>
      </c>
      <c r="B404">
        <v>47</v>
      </c>
      <c r="C404" t="s">
        <v>55</v>
      </c>
      <c r="D404" t="s">
        <v>55</v>
      </c>
      <c r="E404" t="s">
        <v>55</v>
      </c>
      <c r="F404">
        <v>53</v>
      </c>
      <c r="G404" t="s">
        <v>56</v>
      </c>
      <c r="H404" t="s">
        <v>55</v>
      </c>
      <c r="I404" t="s">
        <v>55</v>
      </c>
      <c r="J404" t="s">
        <v>12</v>
      </c>
      <c r="K404" t="s">
        <v>55</v>
      </c>
      <c r="L404" t="s">
        <v>57</v>
      </c>
      <c r="M404">
        <v>18.22</v>
      </c>
      <c r="N404">
        <v>974.63</v>
      </c>
      <c r="O404" t="s">
        <v>66</v>
      </c>
      <c r="P404" t="s">
        <v>55</v>
      </c>
    </row>
    <row r="405" spans="1:16" x14ac:dyDescent="0.35">
      <c r="A405" t="s">
        <v>469</v>
      </c>
      <c r="B405">
        <v>40</v>
      </c>
      <c r="C405" t="s">
        <v>55</v>
      </c>
      <c r="D405" t="s">
        <v>56</v>
      </c>
      <c r="E405" t="s">
        <v>56</v>
      </c>
      <c r="F405">
        <v>36</v>
      </c>
      <c r="G405" t="s">
        <v>55</v>
      </c>
      <c r="H405" t="s">
        <v>60</v>
      </c>
      <c r="I405" t="s">
        <v>55</v>
      </c>
      <c r="J405" t="s">
        <v>14</v>
      </c>
      <c r="K405" t="s">
        <v>56</v>
      </c>
      <c r="L405" t="s">
        <v>57</v>
      </c>
      <c r="M405">
        <v>22.67</v>
      </c>
      <c r="N405">
        <v>825.44</v>
      </c>
      <c r="O405" t="s">
        <v>66</v>
      </c>
      <c r="P405" t="s">
        <v>55</v>
      </c>
    </row>
    <row r="406" spans="1:16" x14ac:dyDescent="0.35">
      <c r="A406" t="s">
        <v>470</v>
      </c>
      <c r="B406">
        <v>37</v>
      </c>
      <c r="C406" t="s">
        <v>55</v>
      </c>
      <c r="D406" t="s">
        <v>55</v>
      </c>
      <c r="E406" t="s">
        <v>56</v>
      </c>
      <c r="F406">
        <v>35</v>
      </c>
      <c r="G406" t="s">
        <v>55</v>
      </c>
      <c r="H406" t="s">
        <v>60</v>
      </c>
      <c r="I406" t="s">
        <v>30</v>
      </c>
      <c r="J406" t="s">
        <v>14</v>
      </c>
      <c r="K406" t="s">
        <v>55</v>
      </c>
      <c r="L406" t="s">
        <v>57</v>
      </c>
      <c r="M406">
        <v>117.54</v>
      </c>
      <c r="N406">
        <v>3973.77</v>
      </c>
      <c r="O406" t="s">
        <v>80</v>
      </c>
      <c r="P406" t="s">
        <v>55</v>
      </c>
    </row>
    <row r="407" spans="1:16" x14ac:dyDescent="0.35">
      <c r="A407" t="s">
        <v>471</v>
      </c>
      <c r="B407">
        <v>41</v>
      </c>
      <c r="C407" t="s">
        <v>55</v>
      </c>
      <c r="D407" t="s">
        <v>56</v>
      </c>
      <c r="E407" t="s">
        <v>56</v>
      </c>
      <c r="F407">
        <v>12</v>
      </c>
      <c r="G407" t="s">
        <v>56</v>
      </c>
      <c r="H407" t="s">
        <v>55</v>
      </c>
      <c r="I407" t="s">
        <v>30</v>
      </c>
      <c r="J407" t="s">
        <v>14</v>
      </c>
      <c r="K407" t="s">
        <v>56</v>
      </c>
      <c r="L407" t="s">
        <v>26</v>
      </c>
      <c r="M407">
        <v>116.18</v>
      </c>
      <c r="N407">
        <v>1433.05</v>
      </c>
      <c r="O407" t="s">
        <v>66</v>
      </c>
      <c r="P407" t="s">
        <v>55</v>
      </c>
    </row>
    <row r="408" spans="1:16" x14ac:dyDescent="0.35">
      <c r="A408" t="s">
        <v>472</v>
      </c>
      <c r="B408">
        <v>38</v>
      </c>
      <c r="C408" t="s">
        <v>55</v>
      </c>
      <c r="D408" t="s">
        <v>56</v>
      </c>
      <c r="E408" t="s">
        <v>56</v>
      </c>
      <c r="F408">
        <v>67</v>
      </c>
      <c r="G408" t="s">
        <v>56</v>
      </c>
      <c r="H408" t="s">
        <v>56</v>
      </c>
      <c r="I408" t="s">
        <v>29</v>
      </c>
      <c r="J408" t="s">
        <v>12</v>
      </c>
      <c r="K408" t="s">
        <v>55</v>
      </c>
      <c r="L408" t="s">
        <v>61</v>
      </c>
      <c r="M408">
        <v>60.89</v>
      </c>
      <c r="N408">
        <v>3836.86</v>
      </c>
      <c r="O408" t="s">
        <v>69</v>
      </c>
      <c r="P408" t="s">
        <v>55</v>
      </c>
    </row>
    <row r="409" spans="1:16" x14ac:dyDescent="0.35">
      <c r="A409" t="s">
        <v>473</v>
      </c>
      <c r="B409">
        <v>72</v>
      </c>
      <c r="C409" t="s">
        <v>56</v>
      </c>
      <c r="D409" t="s">
        <v>56</v>
      </c>
      <c r="E409" t="s">
        <v>55</v>
      </c>
      <c r="F409">
        <v>60</v>
      </c>
      <c r="G409" t="s">
        <v>56</v>
      </c>
      <c r="H409" t="s">
        <v>55</v>
      </c>
      <c r="I409" t="s">
        <v>55</v>
      </c>
      <c r="J409" t="s">
        <v>13</v>
      </c>
      <c r="K409" t="s">
        <v>55</v>
      </c>
      <c r="L409" t="s">
        <v>26</v>
      </c>
      <c r="M409">
        <v>27.1</v>
      </c>
      <c r="N409">
        <v>1653.09</v>
      </c>
      <c r="O409" t="s">
        <v>62</v>
      </c>
      <c r="P409" t="s">
        <v>56</v>
      </c>
    </row>
    <row r="410" spans="1:16" x14ac:dyDescent="0.35">
      <c r="A410" t="s">
        <v>474</v>
      </c>
      <c r="B410">
        <v>30</v>
      </c>
      <c r="C410" t="s">
        <v>55</v>
      </c>
      <c r="D410" t="s">
        <v>55</v>
      </c>
      <c r="E410" t="s">
        <v>55</v>
      </c>
      <c r="F410">
        <v>69</v>
      </c>
      <c r="G410" t="s">
        <v>55</v>
      </c>
      <c r="H410" t="s">
        <v>60</v>
      </c>
      <c r="I410" t="s">
        <v>30</v>
      </c>
      <c r="J410" t="s">
        <v>13</v>
      </c>
      <c r="K410" t="s">
        <v>55</v>
      </c>
      <c r="L410" t="s">
        <v>26</v>
      </c>
      <c r="M410">
        <v>83.68</v>
      </c>
      <c r="N410">
        <v>5438.06</v>
      </c>
      <c r="O410" t="s">
        <v>58</v>
      </c>
      <c r="P410" t="s">
        <v>55</v>
      </c>
    </row>
    <row r="411" spans="1:16" x14ac:dyDescent="0.35">
      <c r="A411" t="s">
        <v>475</v>
      </c>
      <c r="B411">
        <v>24</v>
      </c>
      <c r="C411" t="s">
        <v>55</v>
      </c>
      <c r="D411" t="s">
        <v>56</v>
      </c>
      <c r="E411" t="s">
        <v>55</v>
      </c>
      <c r="F411">
        <v>71</v>
      </c>
      <c r="G411" t="s">
        <v>56</v>
      </c>
      <c r="H411" t="s">
        <v>55</v>
      </c>
      <c r="I411" t="s">
        <v>30</v>
      </c>
      <c r="J411" t="s">
        <v>14</v>
      </c>
      <c r="K411" t="s">
        <v>56</v>
      </c>
      <c r="L411" t="s">
        <v>26</v>
      </c>
      <c r="M411">
        <v>85.57</v>
      </c>
      <c r="N411">
        <v>6361.44</v>
      </c>
      <c r="O411" t="s">
        <v>80</v>
      </c>
      <c r="P411" t="s">
        <v>55</v>
      </c>
    </row>
    <row r="412" spans="1:16" x14ac:dyDescent="0.35">
      <c r="A412" t="s">
        <v>476</v>
      </c>
      <c r="B412">
        <v>26</v>
      </c>
      <c r="C412" t="s">
        <v>55</v>
      </c>
      <c r="D412" t="s">
        <v>56</v>
      </c>
      <c r="E412" t="s">
        <v>55</v>
      </c>
      <c r="F412">
        <v>7</v>
      </c>
      <c r="G412" t="s">
        <v>56</v>
      </c>
      <c r="H412" t="s">
        <v>56</v>
      </c>
      <c r="I412" t="s">
        <v>30</v>
      </c>
      <c r="J412" t="s">
        <v>12</v>
      </c>
      <c r="K412" t="s">
        <v>55</v>
      </c>
      <c r="L412" t="s">
        <v>61</v>
      </c>
      <c r="M412">
        <v>85.62</v>
      </c>
      <c r="N412">
        <v>622.16999999999996</v>
      </c>
      <c r="O412" t="s">
        <v>69</v>
      </c>
      <c r="P412" t="s">
        <v>55</v>
      </c>
    </row>
    <row r="413" spans="1:16" x14ac:dyDescent="0.35">
      <c r="A413" t="s">
        <v>477</v>
      </c>
      <c r="B413">
        <v>69</v>
      </c>
      <c r="C413" t="s">
        <v>56</v>
      </c>
      <c r="D413" t="s">
        <v>56</v>
      </c>
      <c r="E413" t="s">
        <v>55</v>
      </c>
      <c r="F413">
        <v>17</v>
      </c>
      <c r="G413" t="s">
        <v>55</v>
      </c>
      <c r="H413" t="s">
        <v>60</v>
      </c>
      <c r="I413" t="s">
        <v>30</v>
      </c>
      <c r="J413" t="s">
        <v>12</v>
      </c>
      <c r="K413" t="s">
        <v>55</v>
      </c>
      <c r="L413" t="s">
        <v>61</v>
      </c>
      <c r="M413">
        <v>105.51</v>
      </c>
      <c r="N413">
        <v>1786.22</v>
      </c>
      <c r="O413" t="s">
        <v>62</v>
      </c>
      <c r="P413" t="s">
        <v>56</v>
      </c>
    </row>
    <row r="414" spans="1:16" x14ac:dyDescent="0.35">
      <c r="A414" t="s">
        <v>478</v>
      </c>
      <c r="B414">
        <v>27</v>
      </c>
      <c r="C414" t="s">
        <v>55</v>
      </c>
      <c r="D414" t="s">
        <v>55</v>
      </c>
      <c r="E414" t="s">
        <v>55</v>
      </c>
      <c r="F414">
        <v>51</v>
      </c>
      <c r="G414" t="s">
        <v>55</v>
      </c>
      <c r="H414" t="s">
        <v>60</v>
      </c>
      <c r="I414" t="s">
        <v>30</v>
      </c>
      <c r="J414" t="s">
        <v>13</v>
      </c>
      <c r="K414" t="s">
        <v>55</v>
      </c>
      <c r="L414" t="s">
        <v>57</v>
      </c>
      <c r="M414">
        <v>71.510000000000005</v>
      </c>
      <c r="N414">
        <v>3636.22</v>
      </c>
      <c r="O414" t="s">
        <v>64</v>
      </c>
      <c r="P414" t="s">
        <v>55</v>
      </c>
    </row>
    <row r="415" spans="1:16" x14ac:dyDescent="0.35">
      <c r="A415" t="s">
        <v>479</v>
      </c>
      <c r="B415">
        <v>72</v>
      </c>
      <c r="C415" t="s">
        <v>56</v>
      </c>
      <c r="D415" t="s">
        <v>56</v>
      </c>
      <c r="E415" t="s">
        <v>55</v>
      </c>
      <c r="F415">
        <v>45</v>
      </c>
      <c r="G415" t="s">
        <v>56</v>
      </c>
      <c r="H415" t="s">
        <v>55</v>
      </c>
      <c r="I415" t="s">
        <v>29</v>
      </c>
      <c r="J415" t="s">
        <v>12</v>
      </c>
      <c r="K415" t="s">
        <v>56</v>
      </c>
      <c r="L415" t="s">
        <v>26</v>
      </c>
      <c r="M415">
        <v>65.98</v>
      </c>
      <c r="N415">
        <v>3073.29</v>
      </c>
      <c r="O415" t="s">
        <v>64</v>
      </c>
      <c r="P415" t="s">
        <v>55</v>
      </c>
    </row>
    <row r="416" spans="1:16" x14ac:dyDescent="0.35">
      <c r="A416" t="s">
        <v>480</v>
      </c>
      <c r="B416">
        <v>55</v>
      </c>
      <c r="C416" t="s">
        <v>55</v>
      </c>
      <c r="D416" t="s">
        <v>55</v>
      </c>
      <c r="E416" t="s">
        <v>56</v>
      </c>
      <c r="F416">
        <v>32</v>
      </c>
      <c r="G416" t="s">
        <v>55</v>
      </c>
      <c r="H416" t="s">
        <v>60</v>
      </c>
      <c r="I416" t="s">
        <v>29</v>
      </c>
      <c r="J416" t="s">
        <v>12</v>
      </c>
      <c r="K416" t="s">
        <v>55</v>
      </c>
      <c r="L416" t="s">
        <v>26</v>
      </c>
      <c r="M416">
        <v>67.760000000000005</v>
      </c>
      <c r="N416">
        <v>2150.4</v>
      </c>
      <c r="O416" t="s">
        <v>58</v>
      </c>
      <c r="P416" t="s">
        <v>55</v>
      </c>
    </row>
    <row r="417" spans="1:16" x14ac:dyDescent="0.35">
      <c r="A417" t="s">
        <v>481</v>
      </c>
      <c r="B417">
        <v>68</v>
      </c>
      <c r="C417" t="s">
        <v>56</v>
      </c>
      <c r="D417" t="s">
        <v>55</v>
      </c>
      <c r="E417" t="s">
        <v>56</v>
      </c>
      <c r="F417">
        <v>23</v>
      </c>
      <c r="G417" t="s">
        <v>56</v>
      </c>
      <c r="H417" t="s">
        <v>55</v>
      </c>
      <c r="I417" t="s">
        <v>29</v>
      </c>
      <c r="J417" t="s">
        <v>13</v>
      </c>
      <c r="K417" t="s">
        <v>55</v>
      </c>
      <c r="L417" t="s">
        <v>26</v>
      </c>
      <c r="M417">
        <v>63.84</v>
      </c>
      <c r="N417">
        <v>1437.55</v>
      </c>
      <c r="O417" t="s">
        <v>64</v>
      </c>
      <c r="P417" t="s">
        <v>56</v>
      </c>
    </row>
    <row r="418" spans="1:16" x14ac:dyDescent="0.35">
      <c r="A418" t="s">
        <v>482</v>
      </c>
      <c r="B418">
        <v>29</v>
      </c>
      <c r="C418" t="s">
        <v>55</v>
      </c>
      <c r="D418" t="s">
        <v>55</v>
      </c>
      <c r="E418" t="s">
        <v>55</v>
      </c>
      <c r="F418">
        <v>9</v>
      </c>
      <c r="G418" t="s">
        <v>55</v>
      </c>
      <c r="H418" t="s">
        <v>60</v>
      </c>
      <c r="I418" t="s">
        <v>29</v>
      </c>
      <c r="J418" t="s">
        <v>12</v>
      </c>
      <c r="K418" t="s">
        <v>56</v>
      </c>
      <c r="L418" t="s">
        <v>26</v>
      </c>
      <c r="M418">
        <v>72.680000000000007</v>
      </c>
      <c r="N418">
        <v>684.52</v>
      </c>
      <c r="O418" t="s">
        <v>69</v>
      </c>
      <c r="P418" t="s">
        <v>55</v>
      </c>
    </row>
    <row r="419" spans="1:16" x14ac:dyDescent="0.35">
      <c r="A419" t="s">
        <v>483</v>
      </c>
      <c r="B419">
        <v>69</v>
      </c>
      <c r="C419" t="s">
        <v>56</v>
      </c>
      <c r="D419" t="s">
        <v>56</v>
      </c>
      <c r="E419" t="s">
        <v>56</v>
      </c>
      <c r="F419">
        <v>20</v>
      </c>
      <c r="G419" t="s">
        <v>55</v>
      </c>
      <c r="H419" t="s">
        <v>60</v>
      </c>
      <c r="I419" t="s">
        <v>29</v>
      </c>
      <c r="J419" t="s">
        <v>12</v>
      </c>
      <c r="K419" t="s">
        <v>55</v>
      </c>
      <c r="L419" t="s">
        <v>26</v>
      </c>
      <c r="M419">
        <v>67.260000000000005</v>
      </c>
      <c r="N419">
        <v>1315.59</v>
      </c>
      <c r="O419" t="s">
        <v>69</v>
      </c>
      <c r="P419" t="s">
        <v>55</v>
      </c>
    </row>
    <row r="420" spans="1:16" x14ac:dyDescent="0.35">
      <c r="A420" t="s">
        <v>484</v>
      </c>
      <c r="B420">
        <v>37</v>
      </c>
      <c r="C420" t="s">
        <v>55</v>
      </c>
      <c r="D420" t="s">
        <v>55</v>
      </c>
      <c r="E420" t="s">
        <v>55</v>
      </c>
      <c r="F420">
        <v>12</v>
      </c>
      <c r="G420" t="s">
        <v>55</v>
      </c>
      <c r="H420" t="s">
        <v>60</v>
      </c>
      <c r="I420" t="s">
        <v>29</v>
      </c>
      <c r="J420" t="s">
        <v>14</v>
      </c>
      <c r="K420" t="s">
        <v>55</v>
      </c>
      <c r="L420" t="s">
        <v>26</v>
      </c>
      <c r="M420">
        <v>76.040000000000006</v>
      </c>
      <c r="N420">
        <v>963.71</v>
      </c>
      <c r="O420" t="s">
        <v>58</v>
      </c>
      <c r="P420" t="s">
        <v>56</v>
      </c>
    </row>
    <row r="421" spans="1:16" x14ac:dyDescent="0.35">
      <c r="A421" t="s">
        <v>485</v>
      </c>
      <c r="B421">
        <v>70</v>
      </c>
      <c r="C421" t="s">
        <v>56</v>
      </c>
      <c r="D421" t="s">
        <v>55</v>
      </c>
      <c r="E421" t="s">
        <v>56</v>
      </c>
      <c r="F421">
        <v>37</v>
      </c>
      <c r="G421" t="s">
        <v>56</v>
      </c>
      <c r="H421" t="s">
        <v>55</v>
      </c>
      <c r="I421" t="s">
        <v>55</v>
      </c>
      <c r="J421" t="s">
        <v>13</v>
      </c>
      <c r="K421" t="s">
        <v>55</v>
      </c>
      <c r="L421" t="s">
        <v>61</v>
      </c>
      <c r="M421">
        <v>22.87</v>
      </c>
      <c r="N421">
        <v>839.61</v>
      </c>
      <c r="O421" t="s">
        <v>62</v>
      </c>
      <c r="P421" t="s">
        <v>55</v>
      </c>
    </row>
    <row r="422" spans="1:16" x14ac:dyDescent="0.35">
      <c r="A422" t="s">
        <v>486</v>
      </c>
      <c r="B422">
        <v>48</v>
      </c>
      <c r="C422" t="s">
        <v>55</v>
      </c>
      <c r="D422" t="s">
        <v>56</v>
      </c>
      <c r="E422" t="s">
        <v>56</v>
      </c>
      <c r="F422">
        <v>72</v>
      </c>
      <c r="G422" t="s">
        <v>55</v>
      </c>
      <c r="H422" t="s">
        <v>60</v>
      </c>
      <c r="I422" t="s">
        <v>30</v>
      </c>
      <c r="J422" t="s">
        <v>14</v>
      </c>
      <c r="K422" t="s">
        <v>56</v>
      </c>
      <c r="L422" t="s">
        <v>26</v>
      </c>
      <c r="M422">
        <v>113.64</v>
      </c>
      <c r="N422">
        <v>7814.43</v>
      </c>
      <c r="O422" t="s">
        <v>69</v>
      </c>
      <c r="P422" t="s">
        <v>56</v>
      </c>
    </row>
    <row r="423" spans="1:16" x14ac:dyDescent="0.35">
      <c r="A423" t="s">
        <v>487</v>
      </c>
      <c r="B423">
        <v>19</v>
      </c>
      <c r="C423" t="s">
        <v>55</v>
      </c>
      <c r="D423" t="s">
        <v>56</v>
      </c>
      <c r="E423" t="s">
        <v>55</v>
      </c>
      <c r="F423">
        <v>56</v>
      </c>
      <c r="G423" t="s">
        <v>56</v>
      </c>
      <c r="H423" t="s">
        <v>56</v>
      </c>
      <c r="I423" t="s">
        <v>55</v>
      </c>
      <c r="J423" t="s">
        <v>13</v>
      </c>
      <c r="K423" t="s">
        <v>55</v>
      </c>
      <c r="L423" t="s">
        <v>25</v>
      </c>
      <c r="M423">
        <v>28.72</v>
      </c>
      <c r="N423">
        <v>1646.03</v>
      </c>
      <c r="O423" t="s">
        <v>58</v>
      </c>
      <c r="P423" t="s">
        <v>55</v>
      </c>
    </row>
    <row r="424" spans="1:16" x14ac:dyDescent="0.35">
      <c r="A424" t="s">
        <v>488</v>
      </c>
      <c r="B424">
        <v>29</v>
      </c>
      <c r="C424" t="s">
        <v>55</v>
      </c>
      <c r="D424" t="s">
        <v>55</v>
      </c>
      <c r="E424" t="s">
        <v>55</v>
      </c>
      <c r="F424">
        <v>71</v>
      </c>
      <c r="G424" t="s">
        <v>55</v>
      </c>
      <c r="H424" t="s">
        <v>60</v>
      </c>
      <c r="I424" t="s">
        <v>55</v>
      </c>
      <c r="J424" t="s">
        <v>12</v>
      </c>
      <c r="K424" t="s">
        <v>56</v>
      </c>
      <c r="L424" t="s">
        <v>57</v>
      </c>
      <c r="M424">
        <v>18.09</v>
      </c>
      <c r="N424">
        <v>1284.1099999999999</v>
      </c>
      <c r="O424" t="s">
        <v>69</v>
      </c>
      <c r="P424" t="s">
        <v>55</v>
      </c>
    </row>
    <row r="425" spans="1:16" x14ac:dyDescent="0.35">
      <c r="A425" t="s">
        <v>489</v>
      </c>
      <c r="B425">
        <v>50</v>
      </c>
      <c r="C425" t="s">
        <v>55</v>
      </c>
      <c r="D425" t="s">
        <v>55</v>
      </c>
      <c r="E425" t="s">
        <v>55</v>
      </c>
      <c r="F425">
        <v>70</v>
      </c>
      <c r="G425" t="s">
        <v>56</v>
      </c>
      <c r="H425" t="s">
        <v>55</v>
      </c>
      <c r="I425" t="s">
        <v>29</v>
      </c>
      <c r="J425" t="s">
        <v>13</v>
      </c>
      <c r="K425" t="s">
        <v>55</v>
      </c>
      <c r="L425" t="s">
        <v>26</v>
      </c>
      <c r="M425">
        <v>59.26</v>
      </c>
      <c r="N425">
        <v>4243.03</v>
      </c>
      <c r="O425" t="s">
        <v>69</v>
      </c>
      <c r="P425" t="s">
        <v>56</v>
      </c>
    </row>
    <row r="426" spans="1:16" x14ac:dyDescent="0.35">
      <c r="A426" t="s">
        <v>490</v>
      </c>
      <c r="B426">
        <v>51</v>
      </c>
      <c r="C426" t="s">
        <v>55</v>
      </c>
      <c r="D426" t="s">
        <v>55</v>
      </c>
      <c r="E426" t="s">
        <v>55</v>
      </c>
      <c r="F426">
        <v>67</v>
      </c>
      <c r="G426" t="s">
        <v>56</v>
      </c>
      <c r="H426" t="s">
        <v>56</v>
      </c>
      <c r="I426" t="s">
        <v>30</v>
      </c>
      <c r="J426" t="s">
        <v>13</v>
      </c>
      <c r="K426" t="s">
        <v>56</v>
      </c>
      <c r="L426" t="s">
        <v>61</v>
      </c>
      <c r="M426">
        <v>96.96</v>
      </c>
      <c r="N426">
        <v>6558.4</v>
      </c>
      <c r="O426" t="s">
        <v>76</v>
      </c>
      <c r="P426" t="s">
        <v>55</v>
      </c>
    </row>
    <row r="427" spans="1:16" x14ac:dyDescent="0.35">
      <c r="A427" t="s">
        <v>491</v>
      </c>
      <c r="B427">
        <v>52</v>
      </c>
      <c r="C427" t="s">
        <v>55</v>
      </c>
      <c r="D427" t="s">
        <v>56</v>
      </c>
      <c r="E427" t="s">
        <v>55</v>
      </c>
      <c r="F427">
        <v>59</v>
      </c>
      <c r="G427" t="s">
        <v>55</v>
      </c>
      <c r="H427" t="s">
        <v>60</v>
      </c>
      <c r="I427" t="s">
        <v>29</v>
      </c>
      <c r="J427" t="s">
        <v>13</v>
      </c>
      <c r="K427" t="s">
        <v>55</v>
      </c>
      <c r="L427" t="s">
        <v>57</v>
      </c>
      <c r="M427">
        <v>78.42</v>
      </c>
      <c r="N427">
        <v>4792.3599999999997</v>
      </c>
      <c r="O427" t="s">
        <v>80</v>
      </c>
      <c r="P427" t="s">
        <v>55</v>
      </c>
    </row>
    <row r="428" spans="1:16" x14ac:dyDescent="0.35">
      <c r="A428" t="s">
        <v>492</v>
      </c>
      <c r="B428">
        <v>62</v>
      </c>
      <c r="C428" t="s">
        <v>56</v>
      </c>
      <c r="D428" t="s">
        <v>55</v>
      </c>
      <c r="E428" t="s">
        <v>55</v>
      </c>
      <c r="F428">
        <v>8</v>
      </c>
      <c r="G428" t="s">
        <v>56</v>
      </c>
      <c r="H428" t="s">
        <v>55</v>
      </c>
      <c r="I428" t="s">
        <v>29</v>
      </c>
      <c r="J428" t="s">
        <v>13</v>
      </c>
      <c r="K428" t="s">
        <v>55</v>
      </c>
      <c r="L428" t="s">
        <v>61</v>
      </c>
      <c r="M428">
        <v>64.97</v>
      </c>
      <c r="N428">
        <v>506.46</v>
      </c>
      <c r="O428" t="s">
        <v>58</v>
      </c>
      <c r="P428" t="s">
        <v>56</v>
      </c>
    </row>
    <row r="429" spans="1:16" x14ac:dyDescent="0.35">
      <c r="A429" t="s">
        <v>493</v>
      </c>
      <c r="B429">
        <v>22</v>
      </c>
      <c r="C429" t="s">
        <v>55</v>
      </c>
      <c r="D429" t="s">
        <v>55</v>
      </c>
      <c r="E429" t="s">
        <v>55</v>
      </c>
      <c r="F429">
        <v>17</v>
      </c>
      <c r="G429" t="s">
        <v>55</v>
      </c>
      <c r="H429" t="s">
        <v>60</v>
      </c>
      <c r="I429" t="s">
        <v>29</v>
      </c>
      <c r="J429" t="s">
        <v>14</v>
      </c>
      <c r="K429" t="s">
        <v>56</v>
      </c>
      <c r="L429" t="s">
        <v>61</v>
      </c>
      <c r="M429">
        <v>64.150000000000006</v>
      </c>
      <c r="N429">
        <v>1144.22</v>
      </c>
      <c r="O429" t="s">
        <v>69</v>
      </c>
      <c r="P429" t="s">
        <v>55</v>
      </c>
    </row>
    <row r="430" spans="1:16" x14ac:dyDescent="0.35">
      <c r="A430" t="s">
        <v>494</v>
      </c>
      <c r="B430">
        <v>46</v>
      </c>
      <c r="C430" t="s">
        <v>55</v>
      </c>
      <c r="D430" t="s">
        <v>55</v>
      </c>
      <c r="E430" t="s">
        <v>56</v>
      </c>
      <c r="F430">
        <v>34</v>
      </c>
      <c r="G430" t="s">
        <v>56</v>
      </c>
      <c r="H430" t="s">
        <v>55</v>
      </c>
      <c r="I430" t="s">
        <v>29</v>
      </c>
      <c r="J430" t="s">
        <v>13</v>
      </c>
      <c r="K430" t="s">
        <v>56</v>
      </c>
      <c r="L430" t="s">
        <v>26</v>
      </c>
      <c r="M430">
        <v>43.38</v>
      </c>
      <c r="N430">
        <v>1412.1</v>
      </c>
      <c r="O430" t="s">
        <v>62</v>
      </c>
      <c r="P430" t="s">
        <v>55</v>
      </c>
    </row>
    <row r="431" spans="1:16" x14ac:dyDescent="0.35">
      <c r="A431" t="s">
        <v>495</v>
      </c>
      <c r="B431">
        <v>71</v>
      </c>
      <c r="C431" t="s">
        <v>56</v>
      </c>
      <c r="D431" t="s">
        <v>55</v>
      </c>
      <c r="E431" t="s">
        <v>55</v>
      </c>
      <c r="F431">
        <v>50</v>
      </c>
      <c r="G431" t="s">
        <v>55</v>
      </c>
      <c r="H431" t="s">
        <v>60</v>
      </c>
      <c r="I431" t="s">
        <v>30</v>
      </c>
      <c r="J431" t="s">
        <v>13</v>
      </c>
      <c r="K431" t="s">
        <v>56</v>
      </c>
      <c r="L431" t="s">
        <v>26</v>
      </c>
      <c r="M431">
        <v>106.72</v>
      </c>
      <c r="N431">
        <v>5236.8</v>
      </c>
      <c r="O431" t="s">
        <v>66</v>
      </c>
      <c r="P431" t="s">
        <v>55</v>
      </c>
    </row>
    <row r="432" spans="1:16" x14ac:dyDescent="0.35">
      <c r="A432" t="s">
        <v>496</v>
      </c>
      <c r="B432">
        <v>70</v>
      </c>
      <c r="C432" t="s">
        <v>56</v>
      </c>
      <c r="D432" t="s">
        <v>56</v>
      </c>
      <c r="E432" t="s">
        <v>56</v>
      </c>
      <c r="F432">
        <v>22</v>
      </c>
      <c r="G432" t="s">
        <v>55</v>
      </c>
      <c r="H432" t="s">
        <v>60</v>
      </c>
      <c r="I432" t="s">
        <v>29</v>
      </c>
      <c r="J432" t="s">
        <v>12</v>
      </c>
      <c r="K432" t="s">
        <v>56</v>
      </c>
      <c r="L432" t="s">
        <v>57</v>
      </c>
      <c r="M432">
        <v>68.22</v>
      </c>
      <c r="N432">
        <v>1496.26</v>
      </c>
      <c r="O432" t="s">
        <v>66</v>
      </c>
      <c r="P432" t="s">
        <v>56</v>
      </c>
    </row>
    <row r="433" spans="1:16" x14ac:dyDescent="0.35">
      <c r="A433" t="s">
        <v>497</v>
      </c>
      <c r="B433">
        <v>45</v>
      </c>
      <c r="C433" t="s">
        <v>55</v>
      </c>
      <c r="D433" t="s">
        <v>56</v>
      </c>
      <c r="E433" t="s">
        <v>55</v>
      </c>
      <c r="F433">
        <v>58</v>
      </c>
      <c r="G433" t="s">
        <v>55</v>
      </c>
      <c r="H433" t="s">
        <v>60</v>
      </c>
      <c r="I433" t="s">
        <v>30</v>
      </c>
      <c r="J433" t="s">
        <v>14</v>
      </c>
      <c r="K433" t="s">
        <v>56</v>
      </c>
      <c r="L433" t="s">
        <v>26</v>
      </c>
      <c r="M433">
        <v>96.56</v>
      </c>
      <c r="N433">
        <v>5502.24</v>
      </c>
      <c r="O433" t="s">
        <v>58</v>
      </c>
      <c r="P433" t="s">
        <v>55</v>
      </c>
    </row>
    <row r="434" spans="1:16" x14ac:dyDescent="0.35">
      <c r="A434" t="s">
        <v>498</v>
      </c>
      <c r="B434">
        <v>59</v>
      </c>
      <c r="C434" t="s">
        <v>55</v>
      </c>
      <c r="D434" t="s">
        <v>55</v>
      </c>
      <c r="E434" t="s">
        <v>55</v>
      </c>
      <c r="F434">
        <v>35</v>
      </c>
      <c r="G434" t="s">
        <v>56</v>
      </c>
      <c r="H434" t="s">
        <v>56</v>
      </c>
      <c r="I434" t="s">
        <v>30</v>
      </c>
      <c r="J434" t="s">
        <v>13</v>
      </c>
      <c r="K434" t="s">
        <v>55</v>
      </c>
      <c r="L434" t="s">
        <v>61</v>
      </c>
      <c r="M434">
        <v>107.45</v>
      </c>
      <c r="N434">
        <v>3866.49</v>
      </c>
      <c r="O434" t="s">
        <v>62</v>
      </c>
      <c r="P434" t="s">
        <v>55</v>
      </c>
    </row>
    <row r="435" spans="1:16" x14ac:dyDescent="0.35">
      <c r="A435" t="s">
        <v>499</v>
      </c>
      <c r="B435">
        <v>51</v>
      </c>
      <c r="C435" t="s">
        <v>55</v>
      </c>
      <c r="D435" t="s">
        <v>55</v>
      </c>
      <c r="E435" t="s">
        <v>56</v>
      </c>
      <c r="F435">
        <v>41</v>
      </c>
      <c r="G435" t="s">
        <v>56</v>
      </c>
      <c r="H435" t="s">
        <v>55</v>
      </c>
      <c r="I435" t="s">
        <v>29</v>
      </c>
      <c r="J435" t="s">
        <v>12</v>
      </c>
      <c r="K435" t="s">
        <v>56</v>
      </c>
      <c r="L435" t="s">
        <v>57</v>
      </c>
      <c r="M435">
        <v>67.42</v>
      </c>
      <c r="N435">
        <v>2714.97</v>
      </c>
      <c r="O435" t="s">
        <v>76</v>
      </c>
      <c r="P435" t="s">
        <v>55</v>
      </c>
    </row>
    <row r="436" spans="1:16" x14ac:dyDescent="0.35">
      <c r="A436" t="s">
        <v>500</v>
      </c>
      <c r="B436">
        <v>30</v>
      </c>
      <c r="C436" t="s">
        <v>55</v>
      </c>
      <c r="D436" t="s">
        <v>56</v>
      </c>
      <c r="E436" t="s">
        <v>56</v>
      </c>
      <c r="F436">
        <v>12</v>
      </c>
      <c r="G436" t="s">
        <v>56</v>
      </c>
      <c r="H436" t="s">
        <v>55</v>
      </c>
      <c r="I436" t="s">
        <v>30</v>
      </c>
      <c r="J436" t="s">
        <v>13</v>
      </c>
      <c r="K436" t="s">
        <v>56</v>
      </c>
      <c r="L436" t="s">
        <v>26</v>
      </c>
      <c r="M436">
        <v>100.23</v>
      </c>
      <c r="N436">
        <v>1184.8599999999999</v>
      </c>
      <c r="O436" t="s">
        <v>69</v>
      </c>
      <c r="P436" t="s">
        <v>55</v>
      </c>
    </row>
    <row r="437" spans="1:16" x14ac:dyDescent="0.35">
      <c r="A437" t="s">
        <v>501</v>
      </c>
      <c r="B437">
        <v>54</v>
      </c>
      <c r="C437" t="s">
        <v>55</v>
      </c>
      <c r="D437" t="s">
        <v>56</v>
      </c>
      <c r="E437" t="s">
        <v>56</v>
      </c>
      <c r="F437">
        <v>24</v>
      </c>
      <c r="G437" t="s">
        <v>55</v>
      </c>
      <c r="H437" t="s">
        <v>60</v>
      </c>
      <c r="I437" t="s">
        <v>30</v>
      </c>
      <c r="J437" t="s">
        <v>13</v>
      </c>
      <c r="K437" t="s">
        <v>56</v>
      </c>
      <c r="L437" t="s">
        <v>61</v>
      </c>
      <c r="M437">
        <v>116.13</v>
      </c>
      <c r="N437">
        <v>2712.33</v>
      </c>
      <c r="O437" t="s">
        <v>69</v>
      </c>
      <c r="P437" t="s">
        <v>55</v>
      </c>
    </row>
    <row r="438" spans="1:16" x14ac:dyDescent="0.35">
      <c r="A438" t="s">
        <v>502</v>
      </c>
      <c r="B438">
        <v>67</v>
      </c>
      <c r="C438" t="s">
        <v>56</v>
      </c>
      <c r="D438" t="s">
        <v>55</v>
      </c>
      <c r="E438" t="s">
        <v>55</v>
      </c>
      <c r="F438">
        <v>21</v>
      </c>
      <c r="G438" t="s">
        <v>55</v>
      </c>
      <c r="H438" t="s">
        <v>60</v>
      </c>
      <c r="I438" t="s">
        <v>29</v>
      </c>
      <c r="J438" t="s">
        <v>13</v>
      </c>
      <c r="K438" t="s">
        <v>55</v>
      </c>
      <c r="L438" t="s">
        <v>57</v>
      </c>
      <c r="M438">
        <v>79.84</v>
      </c>
      <c r="N438">
        <v>1628</v>
      </c>
      <c r="O438" t="s">
        <v>62</v>
      </c>
      <c r="P438" t="s">
        <v>55</v>
      </c>
    </row>
    <row r="439" spans="1:16" x14ac:dyDescent="0.35">
      <c r="A439" t="s">
        <v>503</v>
      </c>
      <c r="B439">
        <v>46</v>
      </c>
      <c r="C439" t="s">
        <v>55</v>
      </c>
      <c r="D439" t="s">
        <v>56</v>
      </c>
      <c r="E439" t="s">
        <v>55</v>
      </c>
      <c r="F439">
        <v>26</v>
      </c>
      <c r="G439" t="s">
        <v>56</v>
      </c>
      <c r="H439" t="s">
        <v>55</v>
      </c>
      <c r="I439" t="s">
        <v>29</v>
      </c>
      <c r="J439" t="s">
        <v>12</v>
      </c>
      <c r="K439" t="s">
        <v>55</v>
      </c>
      <c r="L439" t="s">
        <v>26</v>
      </c>
      <c r="M439">
        <v>65.73</v>
      </c>
      <c r="N439">
        <v>1793.6</v>
      </c>
      <c r="O439" t="s">
        <v>80</v>
      </c>
      <c r="P439" t="s">
        <v>55</v>
      </c>
    </row>
    <row r="440" spans="1:16" x14ac:dyDescent="0.35">
      <c r="A440" t="s">
        <v>504</v>
      </c>
      <c r="B440">
        <v>20</v>
      </c>
      <c r="C440" t="s">
        <v>55</v>
      </c>
      <c r="D440" t="s">
        <v>56</v>
      </c>
      <c r="E440" t="s">
        <v>56</v>
      </c>
      <c r="F440">
        <v>33</v>
      </c>
      <c r="G440" t="s">
        <v>56</v>
      </c>
      <c r="H440" t="s">
        <v>55</v>
      </c>
      <c r="I440" t="s">
        <v>29</v>
      </c>
      <c r="J440" t="s">
        <v>12</v>
      </c>
      <c r="K440" t="s">
        <v>56</v>
      </c>
      <c r="L440" t="s">
        <v>25</v>
      </c>
      <c r="M440">
        <v>66.58</v>
      </c>
      <c r="N440">
        <v>2135.56</v>
      </c>
      <c r="O440" t="s">
        <v>64</v>
      </c>
      <c r="P440" t="s">
        <v>55</v>
      </c>
    </row>
    <row r="441" spans="1:16" x14ac:dyDescent="0.35">
      <c r="A441" t="s">
        <v>505</v>
      </c>
      <c r="B441">
        <v>54</v>
      </c>
      <c r="C441" t="s">
        <v>55</v>
      </c>
      <c r="D441" t="s">
        <v>56</v>
      </c>
      <c r="E441" t="s">
        <v>55</v>
      </c>
      <c r="F441">
        <v>62</v>
      </c>
      <c r="G441" t="s">
        <v>56</v>
      </c>
      <c r="H441" t="s">
        <v>55</v>
      </c>
      <c r="I441" t="s">
        <v>30</v>
      </c>
      <c r="J441" t="s">
        <v>12</v>
      </c>
      <c r="K441" t="s">
        <v>55</v>
      </c>
      <c r="L441" t="s">
        <v>26</v>
      </c>
      <c r="M441">
        <v>96.77</v>
      </c>
      <c r="N441">
        <v>6353.68</v>
      </c>
      <c r="O441" t="s">
        <v>76</v>
      </c>
      <c r="P441" t="s">
        <v>56</v>
      </c>
    </row>
    <row r="442" spans="1:16" x14ac:dyDescent="0.35">
      <c r="A442" t="s">
        <v>506</v>
      </c>
      <c r="B442">
        <v>43</v>
      </c>
      <c r="C442" t="s">
        <v>55</v>
      </c>
      <c r="D442" t="s">
        <v>56</v>
      </c>
      <c r="E442" t="s">
        <v>56</v>
      </c>
      <c r="F442">
        <v>47</v>
      </c>
      <c r="G442" t="s">
        <v>55</v>
      </c>
      <c r="H442" t="s">
        <v>60</v>
      </c>
      <c r="I442" t="s">
        <v>29</v>
      </c>
      <c r="J442" t="s">
        <v>12</v>
      </c>
      <c r="K442" t="s">
        <v>55</v>
      </c>
      <c r="L442" t="s">
        <v>61</v>
      </c>
      <c r="M442">
        <v>51.6</v>
      </c>
      <c r="N442">
        <v>2338.8000000000002</v>
      </c>
      <c r="O442" t="s">
        <v>64</v>
      </c>
      <c r="P442" t="s">
        <v>55</v>
      </c>
    </row>
    <row r="443" spans="1:16" x14ac:dyDescent="0.35">
      <c r="A443" t="s">
        <v>507</v>
      </c>
      <c r="B443">
        <v>60</v>
      </c>
      <c r="C443" t="s">
        <v>56</v>
      </c>
      <c r="D443" t="s">
        <v>56</v>
      </c>
      <c r="E443" t="s">
        <v>55</v>
      </c>
      <c r="F443">
        <v>50</v>
      </c>
      <c r="G443" t="s">
        <v>55</v>
      </c>
      <c r="H443" t="s">
        <v>60</v>
      </c>
      <c r="I443" t="s">
        <v>55</v>
      </c>
      <c r="J443" t="s">
        <v>12</v>
      </c>
      <c r="K443" t="s">
        <v>55</v>
      </c>
      <c r="L443" t="s">
        <v>61</v>
      </c>
      <c r="M443">
        <v>19.68</v>
      </c>
      <c r="N443">
        <v>947.76</v>
      </c>
      <c r="O443" t="s">
        <v>58</v>
      </c>
      <c r="P443" t="s">
        <v>55</v>
      </c>
    </row>
    <row r="444" spans="1:16" x14ac:dyDescent="0.35">
      <c r="A444" t="s">
        <v>508</v>
      </c>
      <c r="B444">
        <v>33</v>
      </c>
      <c r="C444" t="s">
        <v>55</v>
      </c>
      <c r="D444" t="s">
        <v>55</v>
      </c>
      <c r="E444" t="s">
        <v>55</v>
      </c>
      <c r="F444">
        <v>9</v>
      </c>
      <c r="G444" t="s">
        <v>55</v>
      </c>
      <c r="H444" t="s">
        <v>60</v>
      </c>
      <c r="I444" t="s">
        <v>29</v>
      </c>
      <c r="J444" t="s">
        <v>12</v>
      </c>
      <c r="K444" t="s">
        <v>55</v>
      </c>
      <c r="L444" t="s">
        <v>25</v>
      </c>
      <c r="M444">
        <v>40.659999999999997</v>
      </c>
      <c r="N444">
        <v>358.88</v>
      </c>
      <c r="O444" t="s">
        <v>69</v>
      </c>
      <c r="P444" t="s">
        <v>56</v>
      </c>
    </row>
    <row r="445" spans="1:16" x14ac:dyDescent="0.35">
      <c r="A445" t="s">
        <v>509</v>
      </c>
      <c r="B445">
        <v>20</v>
      </c>
      <c r="C445" t="s">
        <v>55</v>
      </c>
      <c r="D445" t="s">
        <v>55</v>
      </c>
      <c r="E445" t="s">
        <v>56</v>
      </c>
      <c r="F445">
        <v>28</v>
      </c>
      <c r="G445" t="s">
        <v>55</v>
      </c>
      <c r="H445" t="s">
        <v>60</v>
      </c>
      <c r="I445" t="s">
        <v>55</v>
      </c>
      <c r="J445" t="s">
        <v>14</v>
      </c>
      <c r="K445" t="s">
        <v>56</v>
      </c>
      <c r="L445" t="s">
        <v>61</v>
      </c>
      <c r="M445">
        <v>20.8</v>
      </c>
      <c r="N445">
        <v>552.49</v>
      </c>
      <c r="O445" t="s">
        <v>64</v>
      </c>
      <c r="P445" t="s">
        <v>55</v>
      </c>
    </row>
    <row r="446" spans="1:16" x14ac:dyDescent="0.35">
      <c r="A446" t="s">
        <v>510</v>
      </c>
      <c r="B446">
        <v>59</v>
      </c>
      <c r="C446" t="s">
        <v>55</v>
      </c>
      <c r="D446" t="s">
        <v>56</v>
      </c>
      <c r="E446" t="s">
        <v>55</v>
      </c>
      <c r="F446">
        <v>6</v>
      </c>
      <c r="G446" t="s">
        <v>56</v>
      </c>
      <c r="H446" t="s">
        <v>56</v>
      </c>
      <c r="I446" t="s">
        <v>30</v>
      </c>
      <c r="J446" t="s">
        <v>13</v>
      </c>
      <c r="K446" t="s">
        <v>55</v>
      </c>
      <c r="L446" t="s">
        <v>61</v>
      </c>
      <c r="M446">
        <v>74.86</v>
      </c>
      <c r="N446">
        <v>455.15</v>
      </c>
      <c r="O446" t="s">
        <v>80</v>
      </c>
      <c r="P446" t="s">
        <v>55</v>
      </c>
    </row>
    <row r="447" spans="1:16" x14ac:dyDescent="0.35">
      <c r="A447" t="s">
        <v>511</v>
      </c>
      <c r="B447">
        <v>70</v>
      </c>
      <c r="C447" t="s">
        <v>56</v>
      </c>
      <c r="D447" t="s">
        <v>56</v>
      </c>
      <c r="E447" t="s">
        <v>56</v>
      </c>
      <c r="F447">
        <v>64</v>
      </c>
      <c r="G447" t="s">
        <v>56</v>
      </c>
      <c r="H447" t="s">
        <v>56</v>
      </c>
      <c r="I447" t="s">
        <v>29</v>
      </c>
      <c r="J447" t="s">
        <v>12</v>
      </c>
      <c r="K447" t="s">
        <v>55</v>
      </c>
      <c r="L447" t="s">
        <v>61</v>
      </c>
      <c r="M447">
        <v>79.290000000000006</v>
      </c>
      <c r="N447">
        <v>5183.1899999999996</v>
      </c>
      <c r="O447" t="s">
        <v>69</v>
      </c>
      <c r="P447" t="s">
        <v>55</v>
      </c>
    </row>
    <row r="448" spans="1:16" x14ac:dyDescent="0.35">
      <c r="A448" t="s">
        <v>512</v>
      </c>
      <c r="B448">
        <v>54</v>
      </c>
      <c r="C448" t="s">
        <v>55</v>
      </c>
      <c r="D448" t="s">
        <v>56</v>
      </c>
      <c r="E448" t="s">
        <v>55</v>
      </c>
      <c r="F448">
        <v>28</v>
      </c>
      <c r="G448" t="s">
        <v>56</v>
      </c>
      <c r="H448" t="s">
        <v>56</v>
      </c>
      <c r="I448" t="s">
        <v>29</v>
      </c>
      <c r="J448" t="s">
        <v>12</v>
      </c>
      <c r="K448" t="s">
        <v>56</v>
      </c>
      <c r="L448" t="s">
        <v>61</v>
      </c>
      <c r="M448">
        <v>46.72</v>
      </c>
      <c r="N448">
        <v>1287.74</v>
      </c>
      <c r="O448" t="s">
        <v>62</v>
      </c>
      <c r="P448" t="s">
        <v>56</v>
      </c>
    </row>
    <row r="449" spans="1:16" x14ac:dyDescent="0.35">
      <c r="A449" t="s">
        <v>513</v>
      </c>
      <c r="B449">
        <v>55</v>
      </c>
      <c r="C449" t="s">
        <v>55</v>
      </c>
      <c r="D449" t="s">
        <v>56</v>
      </c>
      <c r="E449" t="s">
        <v>56</v>
      </c>
      <c r="F449">
        <v>13</v>
      </c>
      <c r="G449" t="s">
        <v>55</v>
      </c>
      <c r="H449" t="s">
        <v>60</v>
      </c>
      <c r="I449" t="s">
        <v>29</v>
      </c>
      <c r="J449" t="s">
        <v>13</v>
      </c>
      <c r="K449" t="s">
        <v>56</v>
      </c>
      <c r="L449" t="s">
        <v>25</v>
      </c>
      <c r="M449">
        <v>43.23</v>
      </c>
      <c r="N449">
        <v>528.76</v>
      </c>
      <c r="O449" t="s">
        <v>69</v>
      </c>
      <c r="P449" t="s">
        <v>55</v>
      </c>
    </row>
    <row r="450" spans="1:16" x14ac:dyDescent="0.35">
      <c r="A450" t="s">
        <v>514</v>
      </c>
      <c r="B450">
        <v>59</v>
      </c>
      <c r="C450" t="s">
        <v>55</v>
      </c>
      <c r="D450" t="s">
        <v>55</v>
      </c>
      <c r="E450" t="s">
        <v>55</v>
      </c>
      <c r="F450">
        <v>61</v>
      </c>
      <c r="G450" t="s">
        <v>56</v>
      </c>
      <c r="H450" t="s">
        <v>56</v>
      </c>
      <c r="I450" t="s">
        <v>29</v>
      </c>
      <c r="J450" t="s">
        <v>12</v>
      </c>
      <c r="K450" t="s">
        <v>55</v>
      </c>
      <c r="L450" t="s">
        <v>57</v>
      </c>
      <c r="M450">
        <v>77.52</v>
      </c>
      <c r="N450">
        <v>4791.4399999999996</v>
      </c>
      <c r="O450" t="s">
        <v>62</v>
      </c>
      <c r="P450" t="s">
        <v>56</v>
      </c>
    </row>
    <row r="451" spans="1:16" x14ac:dyDescent="0.35">
      <c r="A451" t="s">
        <v>515</v>
      </c>
      <c r="B451">
        <v>63</v>
      </c>
      <c r="C451" t="s">
        <v>56</v>
      </c>
      <c r="D451" t="s">
        <v>55</v>
      </c>
      <c r="E451" t="s">
        <v>56</v>
      </c>
      <c r="F451">
        <v>39</v>
      </c>
      <c r="G451" t="s">
        <v>56</v>
      </c>
      <c r="H451" t="s">
        <v>55</v>
      </c>
      <c r="I451" t="s">
        <v>30</v>
      </c>
      <c r="J451" t="s">
        <v>12</v>
      </c>
      <c r="K451" t="s">
        <v>56</v>
      </c>
      <c r="L451" t="s">
        <v>61</v>
      </c>
      <c r="M451">
        <v>113.14</v>
      </c>
      <c r="N451">
        <v>4670.21</v>
      </c>
      <c r="O451" t="s">
        <v>64</v>
      </c>
      <c r="P451" t="s">
        <v>55</v>
      </c>
    </row>
    <row r="452" spans="1:16" x14ac:dyDescent="0.35">
      <c r="A452" t="s">
        <v>516</v>
      </c>
      <c r="B452">
        <v>67</v>
      </c>
      <c r="C452" t="s">
        <v>56</v>
      </c>
      <c r="D452" t="s">
        <v>56</v>
      </c>
      <c r="E452" t="s">
        <v>55</v>
      </c>
      <c r="F452">
        <v>7</v>
      </c>
      <c r="G452" t="s">
        <v>56</v>
      </c>
      <c r="H452" t="s">
        <v>55</v>
      </c>
      <c r="I452" t="s">
        <v>30</v>
      </c>
      <c r="J452" t="s">
        <v>14</v>
      </c>
      <c r="K452" t="s">
        <v>55</v>
      </c>
      <c r="L452" t="s">
        <v>57</v>
      </c>
      <c r="M452">
        <v>77.989999999999995</v>
      </c>
      <c r="N452">
        <v>573.62</v>
      </c>
      <c r="O452" t="s">
        <v>76</v>
      </c>
      <c r="P452" t="s">
        <v>56</v>
      </c>
    </row>
    <row r="453" spans="1:16" x14ac:dyDescent="0.35">
      <c r="A453" t="s">
        <v>517</v>
      </c>
      <c r="B453">
        <v>36</v>
      </c>
      <c r="C453" t="s">
        <v>55</v>
      </c>
      <c r="D453" t="s">
        <v>56</v>
      </c>
      <c r="E453" t="s">
        <v>55</v>
      </c>
      <c r="F453">
        <v>33</v>
      </c>
      <c r="G453" t="s">
        <v>55</v>
      </c>
      <c r="H453" t="s">
        <v>60</v>
      </c>
      <c r="I453" t="s">
        <v>30</v>
      </c>
      <c r="J453" t="s">
        <v>12</v>
      </c>
      <c r="K453" t="s">
        <v>56</v>
      </c>
      <c r="L453" t="s">
        <v>25</v>
      </c>
      <c r="M453">
        <v>78.790000000000006</v>
      </c>
      <c r="N453">
        <v>2689.15</v>
      </c>
      <c r="O453" t="s">
        <v>80</v>
      </c>
      <c r="P453" t="s">
        <v>55</v>
      </c>
    </row>
    <row r="454" spans="1:16" x14ac:dyDescent="0.35">
      <c r="A454" t="s">
        <v>518</v>
      </c>
      <c r="B454">
        <v>22</v>
      </c>
      <c r="C454" t="s">
        <v>55</v>
      </c>
      <c r="D454" t="s">
        <v>56</v>
      </c>
      <c r="E454" t="s">
        <v>55</v>
      </c>
      <c r="F454">
        <v>42</v>
      </c>
      <c r="G454" t="s">
        <v>55</v>
      </c>
      <c r="H454" t="s">
        <v>60</v>
      </c>
      <c r="I454" t="s">
        <v>30</v>
      </c>
      <c r="J454" t="s">
        <v>12</v>
      </c>
      <c r="K454" t="s">
        <v>56</v>
      </c>
      <c r="L454" t="s">
        <v>26</v>
      </c>
      <c r="M454">
        <v>74.900000000000006</v>
      </c>
      <c r="N454">
        <v>3235.55</v>
      </c>
      <c r="O454" t="s">
        <v>64</v>
      </c>
      <c r="P454" t="s">
        <v>55</v>
      </c>
    </row>
    <row r="455" spans="1:16" x14ac:dyDescent="0.35">
      <c r="A455" t="s">
        <v>519</v>
      </c>
      <c r="B455">
        <v>75</v>
      </c>
      <c r="C455" t="s">
        <v>56</v>
      </c>
      <c r="D455" t="s">
        <v>56</v>
      </c>
      <c r="E455" t="s">
        <v>56</v>
      </c>
      <c r="F455">
        <v>61</v>
      </c>
      <c r="G455" t="s">
        <v>56</v>
      </c>
      <c r="H455" t="s">
        <v>55</v>
      </c>
      <c r="I455" t="s">
        <v>29</v>
      </c>
      <c r="J455" t="s">
        <v>12</v>
      </c>
      <c r="K455" t="s">
        <v>55</v>
      </c>
      <c r="L455" t="s">
        <v>26</v>
      </c>
      <c r="M455">
        <v>54.94</v>
      </c>
      <c r="N455">
        <v>3334.34</v>
      </c>
      <c r="O455" t="s">
        <v>76</v>
      </c>
      <c r="P455" t="s">
        <v>56</v>
      </c>
    </row>
    <row r="456" spans="1:16" x14ac:dyDescent="0.35">
      <c r="A456" t="s">
        <v>520</v>
      </c>
      <c r="B456">
        <v>35</v>
      </c>
      <c r="C456" t="s">
        <v>55</v>
      </c>
      <c r="D456" t="s">
        <v>56</v>
      </c>
      <c r="E456" t="s">
        <v>55</v>
      </c>
      <c r="F456">
        <v>17</v>
      </c>
      <c r="G456" t="s">
        <v>56</v>
      </c>
      <c r="H456" t="s">
        <v>56</v>
      </c>
      <c r="I456" t="s">
        <v>30</v>
      </c>
      <c r="J456" t="s">
        <v>12</v>
      </c>
      <c r="K456" t="s">
        <v>55</v>
      </c>
      <c r="L456" t="s">
        <v>57</v>
      </c>
      <c r="M456">
        <v>78.56</v>
      </c>
      <c r="N456">
        <v>1310.45</v>
      </c>
      <c r="O456" t="s">
        <v>58</v>
      </c>
      <c r="P456" t="s">
        <v>55</v>
      </c>
    </row>
    <row r="457" spans="1:16" x14ac:dyDescent="0.35">
      <c r="A457" t="s">
        <v>521</v>
      </c>
      <c r="B457">
        <v>28</v>
      </c>
      <c r="C457" t="s">
        <v>55</v>
      </c>
      <c r="D457" t="s">
        <v>56</v>
      </c>
      <c r="E457" t="s">
        <v>56</v>
      </c>
      <c r="F457">
        <v>12</v>
      </c>
      <c r="G457" t="s">
        <v>55</v>
      </c>
      <c r="H457" t="s">
        <v>60</v>
      </c>
      <c r="I457" t="s">
        <v>30</v>
      </c>
      <c r="J457" t="s">
        <v>14</v>
      </c>
      <c r="K457" t="s">
        <v>56</v>
      </c>
      <c r="L457" t="s">
        <v>57</v>
      </c>
      <c r="M457">
        <v>111.85</v>
      </c>
      <c r="N457">
        <v>1306.6300000000001</v>
      </c>
      <c r="O457" t="s">
        <v>69</v>
      </c>
      <c r="P457" t="s">
        <v>55</v>
      </c>
    </row>
    <row r="458" spans="1:16" x14ac:dyDescent="0.35">
      <c r="A458" t="s">
        <v>522</v>
      </c>
      <c r="B458">
        <v>73</v>
      </c>
      <c r="C458" t="s">
        <v>56</v>
      </c>
      <c r="D458" t="s">
        <v>56</v>
      </c>
      <c r="E458" t="s">
        <v>56</v>
      </c>
      <c r="F458">
        <v>42</v>
      </c>
      <c r="G458" t="s">
        <v>56</v>
      </c>
      <c r="H458" t="s">
        <v>55</v>
      </c>
      <c r="I458" t="s">
        <v>30</v>
      </c>
      <c r="J458" t="s">
        <v>13</v>
      </c>
      <c r="K458" t="s">
        <v>56</v>
      </c>
      <c r="L458" t="s">
        <v>25</v>
      </c>
      <c r="M458">
        <v>114.91</v>
      </c>
      <c r="N458">
        <v>4778.6000000000004</v>
      </c>
      <c r="O458" t="s">
        <v>64</v>
      </c>
      <c r="P458" t="s">
        <v>56</v>
      </c>
    </row>
    <row r="459" spans="1:16" x14ac:dyDescent="0.35">
      <c r="A459" t="s">
        <v>523</v>
      </c>
      <c r="B459">
        <v>64</v>
      </c>
      <c r="C459" t="s">
        <v>56</v>
      </c>
      <c r="D459" t="s">
        <v>56</v>
      </c>
      <c r="E459" t="s">
        <v>55</v>
      </c>
      <c r="F459">
        <v>68</v>
      </c>
      <c r="G459" t="s">
        <v>56</v>
      </c>
      <c r="H459" t="s">
        <v>55</v>
      </c>
      <c r="I459" t="s">
        <v>30</v>
      </c>
      <c r="J459" t="s">
        <v>12</v>
      </c>
      <c r="K459" t="s">
        <v>56</v>
      </c>
      <c r="L459" t="s">
        <v>61</v>
      </c>
      <c r="M459">
        <v>90.33</v>
      </c>
      <c r="N459">
        <v>5934.58</v>
      </c>
      <c r="O459" t="s">
        <v>62</v>
      </c>
      <c r="P459" t="s">
        <v>56</v>
      </c>
    </row>
    <row r="460" spans="1:16" x14ac:dyDescent="0.35">
      <c r="A460" t="s">
        <v>524</v>
      </c>
      <c r="B460">
        <v>59</v>
      </c>
      <c r="C460" t="s">
        <v>55</v>
      </c>
      <c r="D460" t="s">
        <v>56</v>
      </c>
      <c r="E460" t="s">
        <v>56</v>
      </c>
      <c r="F460">
        <v>62</v>
      </c>
      <c r="G460" t="s">
        <v>56</v>
      </c>
      <c r="H460" t="s">
        <v>55</v>
      </c>
      <c r="I460" t="s">
        <v>29</v>
      </c>
      <c r="J460" t="s">
        <v>14</v>
      </c>
      <c r="K460" t="s">
        <v>56</v>
      </c>
      <c r="L460" t="s">
        <v>25</v>
      </c>
      <c r="M460">
        <v>58.55</v>
      </c>
      <c r="N460">
        <v>3472.68</v>
      </c>
      <c r="O460" t="s">
        <v>62</v>
      </c>
      <c r="P460" t="s">
        <v>55</v>
      </c>
    </row>
    <row r="461" spans="1:16" x14ac:dyDescent="0.35">
      <c r="A461" t="s">
        <v>525</v>
      </c>
      <c r="B461">
        <v>68</v>
      </c>
      <c r="C461" t="s">
        <v>56</v>
      </c>
      <c r="D461" t="s">
        <v>55</v>
      </c>
      <c r="E461" t="s">
        <v>55</v>
      </c>
      <c r="F461">
        <v>1</v>
      </c>
      <c r="G461" t="s">
        <v>56</v>
      </c>
      <c r="H461" t="s">
        <v>55</v>
      </c>
      <c r="I461" t="s">
        <v>55</v>
      </c>
      <c r="J461" t="s">
        <v>13</v>
      </c>
      <c r="K461" t="s">
        <v>56</v>
      </c>
      <c r="L461" t="s">
        <v>26</v>
      </c>
      <c r="M461">
        <v>27.03</v>
      </c>
      <c r="N461">
        <v>27.67</v>
      </c>
      <c r="O461" t="s">
        <v>58</v>
      </c>
      <c r="P461" t="s">
        <v>55</v>
      </c>
    </row>
    <row r="462" spans="1:16" x14ac:dyDescent="0.35">
      <c r="A462" t="s">
        <v>526</v>
      </c>
      <c r="B462">
        <v>68</v>
      </c>
      <c r="C462" t="s">
        <v>56</v>
      </c>
      <c r="D462" t="s">
        <v>56</v>
      </c>
      <c r="E462" t="s">
        <v>56</v>
      </c>
      <c r="F462">
        <v>43</v>
      </c>
      <c r="G462" t="s">
        <v>56</v>
      </c>
      <c r="H462" t="s">
        <v>55</v>
      </c>
      <c r="I462" t="s">
        <v>29</v>
      </c>
      <c r="J462" t="s">
        <v>14</v>
      </c>
      <c r="K462" t="s">
        <v>55</v>
      </c>
      <c r="L462" t="s">
        <v>25</v>
      </c>
      <c r="M462">
        <v>44.44</v>
      </c>
      <c r="N462">
        <v>1880.1</v>
      </c>
      <c r="O462" t="s">
        <v>76</v>
      </c>
      <c r="P462" t="s">
        <v>55</v>
      </c>
    </row>
    <row r="463" spans="1:16" x14ac:dyDescent="0.35">
      <c r="A463" t="s">
        <v>527</v>
      </c>
      <c r="B463">
        <v>41</v>
      </c>
      <c r="C463" t="s">
        <v>55</v>
      </c>
      <c r="D463" t="s">
        <v>56</v>
      </c>
      <c r="E463" t="s">
        <v>56</v>
      </c>
      <c r="F463">
        <v>72</v>
      </c>
      <c r="G463" t="s">
        <v>56</v>
      </c>
      <c r="H463" t="s">
        <v>56</v>
      </c>
      <c r="I463" t="s">
        <v>29</v>
      </c>
      <c r="J463" t="s">
        <v>12</v>
      </c>
      <c r="K463" t="s">
        <v>56</v>
      </c>
      <c r="L463" t="s">
        <v>61</v>
      </c>
      <c r="M463">
        <v>69.5</v>
      </c>
      <c r="N463">
        <v>5155.49</v>
      </c>
      <c r="O463" t="s">
        <v>69</v>
      </c>
      <c r="P463" t="s">
        <v>55</v>
      </c>
    </row>
    <row r="464" spans="1:16" x14ac:dyDescent="0.35">
      <c r="A464" t="s">
        <v>528</v>
      </c>
      <c r="B464">
        <v>31</v>
      </c>
      <c r="C464" t="s">
        <v>55</v>
      </c>
      <c r="D464" t="s">
        <v>56</v>
      </c>
      <c r="E464" t="s">
        <v>55</v>
      </c>
      <c r="F464">
        <v>46</v>
      </c>
      <c r="G464" t="s">
        <v>55</v>
      </c>
      <c r="H464" t="s">
        <v>60</v>
      </c>
      <c r="I464" t="s">
        <v>55</v>
      </c>
      <c r="J464" t="s">
        <v>12</v>
      </c>
      <c r="K464" t="s">
        <v>56</v>
      </c>
      <c r="L464" t="s">
        <v>57</v>
      </c>
      <c r="M464">
        <v>23.43</v>
      </c>
      <c r="N464">
        <v>1077.97</v>
      </c>
      <c r="O464" t="s">
        <v>64</v>
      </c>
      <c r="P464" t="s">
        <v>55</v>
      </c>
    </row>
    <row r="465" spans="1:16" x14ac:dyDescent="0.35">
      <c r="A465" t="s">
        <v>529</v>
      </c>
      <c r="B465">
        <v>63</v>
      </c>
      <c r="C465" t="s">
        <v>56</v>
      </c>
      <c r="D465" t="s">
        <v>55</v>
      </c>
      <c r="E465" t="s">
        <v>55</v>
      </c>
      <c r="F465">
        <v>48</v>
      </c>
      <c r="G465" t="s">
        <v>56</v>
      </c>
      <c r="H465" t="s">
        <v>56</v>
      </c>
      <c r="I465" t="s">
        <v>29</v>
      </c>
      <c r="J465" t="s">
        <v>14</v>
      </c>
      <c r="K465" t="s">
        <v>56</v>
      </c>
      <c r="L465" t="s">
        <v>26</v>
      </c>
      <c r="M465">
        <v>75.92</v>
      </c>
      <c r="N465">
        <v>3551.62</v>
      </c>
      <c r="O465" t="s">
        <v>80</v>
      </c>
      <c r="P465" t="s">
        <v>55</v>
      </c>
    </row>
    <row r="466" spans="1:16" x14ac:dyDescent="0.35">
      <c r="A466" t="s">
        <v>530</v>
      </c>
      <c r="B466">
        <v>28</v>
      </c>
      <c r="C466" t="s">
        <v>55</v>
      </c>
      <c r="D466" t="s">
        <v>55</v>
      </c>
      <c r="E466" t="s">
        <v>56</v>
      </c>
      <c r="F466">
        <v>19</v>
      </c>
      <c r="G466" t="s">
        <v>56</v>
      </c>
      <c r="H466" t="s">
        <v>55</v>
      </c>
      <c r="I466" t="s">
        <v>29</v>
      </c>
      <c r="J466" t="s">
        <v>13</v>
      </c>
      <c r="K466" t="s">
        <v>55</v>
      </c>
      <c r="L466" t="s">
        <v>57</v>
      </c>
      <c r="M466">
        <v>67.3</v>
      </c>
      <c r="N466">
        <v>1344.95</v>
      </c>
      <c r="O466" t="s">
        <v>64</v>
      </c>
      <c r="P466" t="s">
        <v>55</v>
      </c>
    </row>
    <row r="467" spans="1:16" x14ac:dyDescent="0.35">
      <c r="A467" t="s">
        <v>531</v>
      </c>
      <c r="B467">
        <v>46</v>
      </c>
      <c r="C467" t="s">
        <v>55</v>
      </c>
      <c r="D467" t="s">
        <v>56</v>
      </c>
      <c r="E467" t="s">
        <v>55</v>
      </c>
      <c r="F467">
        <v>25</v>
      </c>
      <c r="G467" t="s">
        <v>56</v>
      </c>
      <c r="H467" t="s">
        <v>55</v>
      </c>
      <c r="I467" t="s">
        <v>30</v>
      </c>
      <c r="J467" t="s">
        <v>12</v>
      </c>
      <c r="K467" t="s">
        <v>55</v>
      </c>
      <c r="L467" t="s">
        <v>57</v>
      </c>
      <c r="M467">
        <v>87.14</v>
      </c>
      <c r="N467">
        <v>2216.6799999999998</v>
      </c>
      <c r="O467" t="s">
        <v>58</v>
      </c>
      <c r="P467" t="s">
        <v>56</v>
      </c>
    </row>
    <row r="468" spans="1:16" x14ac:dyDescent="0.35">
      <c r="A468" t="s">
        <v>532</v>
      </c>
      <c r="B468">
        <v>60</v>
      </c>
      <c r="C468" t="s">
        <v>56</v>
      </c>
      <c r="D468" t="s">
        <v>55</v>
      </c>
      <c r="E468" t="s">
        <v>55</v>
      </c>
      <c r="F468">
        <v>39</v>
      </c>
      <c r="G468" t="s">
        <v>55</v>
      </c>
      <c r="H468" t="s">
        <v>60</v>
      </c>
      <c r="I468" t="s">
        <v>29</v>
      </c>
      <c r="J468" t="s">
        <v>12</v>
      </c>
      <c r="K468" t="s">
        <v>55</v>
      </c>
      <c r="L468" t="s">
        <v>26</v>
      </c>
      <c r="M468">
        <v>54.88</v>
      </c>
      <c r="N468">
        <v>2085.91</v>
      </c>
      <c r="O468" t="s">
        <v>62</v>
      </c>
      <c r="P468" t="s">
        <v>55</v>
      </c>
    </row>
    <row r="469" spans="1:16" x14ac:dyDescent="0.35">
      <c r="A469" t="s">
        <v>533</v>
      </c>
      <c r="B469">
        <v>40</v>
      </c>
      <c r="C469" t="s">
        <v>55</v>
      </c>
      <c r="D469" t="s">
        <v>55</v>
      </c>
      <c r="E469" t="s">
        <v>55</v>
      </c>
      <c r="F469">
        <v>22</v>
      </c>
      <c r="G469" t="s">
        <v>56</v>
      </c>
      <c r="H469" t="s">
        <v>55</v>
      </c>
      <c r="I469" t="s">
        <v>29</v>
      </c>
      <c r="J469" t="s">
        <v>12</v>
      </c>
      <c r="K469" t="s">
        <v>56</v>
      </c>
      <c r="L469" t="s">
        <v>61</v>
      </c>
      <c r="M469">
        <v>67.709999999999994</v>
      </c>
      <c r="N469">
        <v>1519.36</v>
      </c>
      <c r="O469" t="s">
        <v>62</v>
      </c>
      <c r="P469" t="s">
        <v>56</v>
      </c>
    </row>
    <row r="470" spans="1:16" x14ac:dyDescent="0.35">
      <c r="A470" t="s">
        <v>534</v>
      </c>
      <c r="B470">
        <v>25</v>
      </c>
      <c r="C470" t="s">
        <v>55</v>
      </c>
      <c r="D470" t="s">
        <v>56</v>
      </c>
      <c r="E470" t="s">
        <v>55</v>
      </c>
      <c r="F470">
        <v>17</v>
      </c>
      <c r="G470" t="s">
        <v>55</v>
      </c>
      <c r="H470" t="s">
        <v>60</v>
      </c>
      <c r="I470" t="s">
        <v>30</v>
      </c>
      <c r="J470" t="s">
        <v>12</v>
      </c>
      <c r="K470" t="s">
        <v>56</v>
      </c>
      <c r="L470" t="s">
        <v>61</v>
      </c>
      <c r="M470">
        <v>118.9</v>
      </c>
      <c r="N470">
        <v>1935.91</v>
      </c>
      <c r="O470" t="s">
        <v>62</v>
      </c>
      <c r="P470" t="s">
        <v>55</v>
      </c>
    </row>
    <row r="471" spans="1:16" x14ac:dyDescent="0.35">
      <c r="A471" t="s">
        <v>535</v>
      </c>
      <c r="B471">
        <v>52</v>
      </c>
      <c r="C471" t="s">
        <v>55</v>
      </c>
      <c r="D471" t="s">
        <v>55</v>
      </c>
      <c r="E471" t="s">
        <v>56</v>
      </c>
      <c r="F471">
        <v>4</v>
      </c>
      <c r="G471" t="s">
        <v>55</v>
      </c>
      <c r="H471" t="s">
        <v>60</v>
      </c>
      <c r="I471" t="s">
        <v>30</v>
      </c>
      <c r="J471" t="s">
        <v>13</v>
      </c>
      <c r="K471" t="s">
        <v>55</v>
      </c>
      <c r="L471" t="s">
        <v>25</v>
      </c>
      <c r="M471">
        <v>77.8</v>
      </c>
      <c r="N471">
        <v>328.76</v>
      </c>
      <c r="O471" t="s">
        <v>58</v>
      </c>
      <c r="P471" t="s">
        <v>55</v>
      </c>
    </row>
    <row r="472" spans="1:16" x14ac:dyDescent="0.35">
      <c r="A472" t="s">
        <v>536</v>
      </c>
      <c r="B472">
        <v>39</v>
      </c>
      <c r="C472" t="s">
        <v>55</v>
      </c>
      <c r="D472" t="s">
        <v>55</v>
      </c>
      <c r="E472" t="s">
        <v>55</v>
      </c>
      <c r="F472">
        <v>38</v>
      </c>
      <c r="G472" t="s">
        <v>56</v>
      </c>
      <c r="H472" t="s">
        <v>55</v>
      </c>
      <c r="I472" t="s">
        <v>55</v>
      </c>
      <c r="J472" t="s">
        <v>13</v>
      </c>
      <c r="K472" t="s">
        <v>55</v>
      </c>
      <c r="L472" t="s">
        <v>26</v>
      </c>
      <c r="M472">
        <v>19.350000000000001</v>
      </c>
      <c r="N472">
        <v>733.45</v>
      </c>
      <c r="O472" t="s">
        <v>69</v>
      </c>
      <c r="P472" t="s">
        <v>56</v>
      </c>
    </row>
    <row r="473" spans="1:16" x14ac:dyDescent="0.35">
      <c r="A473" t="s">
        <v>537</v>
      </c>
      <c r="B473">
        <v>53</v>
      </c>
      <c r="C473" t="s">
        <v>55</v>
      </c>
      <c r="D473" t="s">
        <v>56</v>
      </c>
      <c r="E473" t="s">
        <v>55</v>
      </c>
      <c r="F473">
        <v>4</v>
      </c>
      <c r="G473" t="s">
        <v>56</v>
      </c>
      <c r="H473" t="s">
        <v>55</v>
      </c>
      <c r="I473" t="s">
        <v>30</v>
      </c>
      <c r="J473" t="s">
        <v>12</v>
      </c>
      <c r="K473" t="s">
        <v>56</v>
      </c>
      <c r="L473" t="s">
        <v>61</v>
      </c>
      <c r="M473">
        <v>79.760000000000005</v>
      </c>
      <c r="N473">
        <v>320.05</v>
      </c>
      <c r="O473" t="s">
        <v>66</v>
      </c>
      <c r="P473" t="s">
        <v>55</v>
      </c>
    </row>
    <row r="474" spans="1:16" x14ac:dyDescent="0.35">
      <c r="A474" t="s">
        <v>538</v>
      </c>
      <c r="B474">
        <v>35</v>
      </c>
      <c r="C474" t="s">
        <v>55</v>
      </c>
      <c r="D474" t="s">
        <v>56</v>
      </c>
      <c r="E474" t="s">
        <v>56</v>
      </c>
      <c r="F474">
        <v>11</v>
      </c>
      <c r="G474" t="s">
        <v>55</v>
      </c>
      <c r="H474" t="s">
        <v>60</v>
      </c>
      <c r="I474" t="s">
        <v>29</v>
      </c>
      <c r="J474" t="s">
        <v>13</v>
      </c>
      <c r="K474" t="s">
        <v>56</v>
      </c>
      <c r="L474" t="s">
        <v>25</v>
      </c>
      <c r="M474">
        <v>55.78</v>
      </c>
      <c r="N474">
        <v>612.88</v>
      </c>
      <c r="O474" t="s">
        <v>58</v>
      </c>
      <c r="P474" t="s">
        <v>55</v>
      </c>
    </row>
    <row r="475" spans="1:16" x14ac:dyDescent="0.35">
      <c r="A475" t="s">
        <v>539</v>
      </c>
      <c r="B475">
        <v>21</v>
      </c>
      <c r="C475" t="s">
        <v>55</v>
      </c>
      <c r="D475" t="s">
        <v>55</v>
      </c>
      <c r="E475" t="s">
        <v>55</v>
      </c>
      <c r="F475">
        <v>19</v>
      </c>
      <c r="G475" t="s">
        <v>55</v>
      </c>
      <c r="H475" t="s">
        <v>60</v>
      </c>
      <c r="I475" t="s">
        <v>29</v>
      </c>
      <c r="J475" t="s">
        <v>12</v>
      </c>
      <c r="K475" t="s">
        <v>55</v>
      </c>
      <c r="L475" t="s">
        <v>26</v>
      </c>
      <c r="M475">
        <v>53.8</v>
      </c>
      <c r="N475">
        <v>998.66</v>
      </c>
      <c r="O475" t="s">
        <v>58</v>
      </c>
      <c r="P475" t="s">
        <v>55</v>
      </c>
    </row>
    <row r="476" spans="1:16" x14ac:dyDescent="0.35">
      <c r="A476" t="s">
        <v>540</v>
      </c>
      <c r="B476">
        <v>23</v>
      </c>
      <c r="C476" t="s">
        <v>55</v>
      </c>
      <c r="D476" t="s">
        <v>56</v>
      </c>
      <c r="E476" t="s">
        <v>55</v>
      </c>
      <c r="F476">
        <v>54</v>
      </c>
      <c r="G476" t="s">
        <v>55</v>
      </c>
      <c r="H476" t="s">
        <v>60</v>
      </c>
      <c r="I476" t="s">
        <v>55</v>
      </c>
      <c r="J476" t="s">
        <v>12</v>
      </c>
      <c r="K476" t="s">
        <v>55</v>
      </c>
      <c r="L476" t="s">
        <v>61</v>
      </c>
      <c r="M476">
        <v>22.97</v>
      </c>
      <c r="N476">
        <v>1290.32</v>
      </c>
      <c r="O476" t="s">
        <v>62</v>
      </c>
      <c r="P476" t="s">
        <v>55</v>
      </c>
    </row>
    <row r="477" spans="1:16" x14ac:dyDescent="0.35">
      <c r="A477" t="s">
        <v>541</v>
      </c>
      <c r="B477">
        <v>31</v>
      </c>
      <c r="C477" t="s">
        <v>55</v>
      </c>
      <c r="D477" t="s">
        <v>55</v>
      </c>
      <c r="E477" t="s">
        <v>55</v>
      </c>
      <c r="F477">
        <v>68</v>
      </c>
      <c r="G477" t="s">
        <v>56</v>
      </c>
      <c r="H477" t="s">
        <v>55</v>
      </c>
      <c r="I477" t="s">
        <v>55</v>
      </c>
      <c r="J477" t="s">
        <v>13</v>
      </c>
      <c r="K477" t="s">
        <v>55</v>
      </c>
      <c r="L477" t="s">
        <v>26</v>
      </c>
      <c r="M477">
        <v>22.91</v>
      </c>
      <c r="N477">
        <v>1635.35</v>
      </c>
      <c r="O477" t="s">
        <v>58</v>
      </c>
      <c r="P477" t="s">
        <v>55</v>
      </c>
    </row>
    <row r="478" spans="1:16" x14ac:dyDescent="0.35">
      <c r="A478" t="s">
        <v>542</v>
      </c>
      <c r="B478">
        <v>47</v>
      </c>
      <c r="C478" t="s">
        <v>55</v>
      </c>
      <c r="D478" t="s">
        <v>56</v>
      </c>
      <c r="E478" t="s">
        <v>56</v>
      </c>
      <c r="F478">
        <v>24</v>
      </c>
      <c r="G478" t="s">
        <v>55</v>
      </c>
      <c r="H478" t="s">
        <v>60</v>
      </c>
      <c r="I478" t="s">
        <v>55</v>
      </c>
      <c r="J478" t="s">
        <v>13</v>
      </c>
      <c r="K478" t="s">
        <v>56</v>
      </c>
      <c r="L478" t="s">
        <v>61</v>
      </c>
      <c r="M478">
        <v>21.62</v>
      </c>
      <c r="N478">
        <v>524.19000000000005</v>
      </c>
      <c r="O478" t="s">
        <v>69</v>
      </c>
      <c r="P478" t="s">
        <v>55</v>
      </c>
    </row>
    <row r="479" spans="1:16" x14ac:dyDescent="0.35">
      <c r="A479" t="s">
        <v>543</v>
      </c>
      <c r="B479">
        <v>47</v>
      </c>
      <c r="C479" t="s">
        <v>55</v>
      </c>
      <c r="D479" t="s">
        <v>56</v>
      </c>
      <c r="E479" t="s">
        <v>56</v>
      </c>
      <c r="F479">
        <v>1</v>
      </c>
      <c r="G479" t="s">
        <v>55</v>
      </c>
      <c r="H479" t="s">
        <v>60</v>
      </c>
      <c r="I479" t="s">
        <v>30</v>
      </c>
      <c r="J479" t="s">
        <v>14</v>
      </c>
      <c r="K479" t="s">
        <v>55</v>
      </c>
      <c r="L479" t="s">
        <v>26</v>
      </c>
      <c r="M479">
        <v>103.3</v>
      </c>
      <c r="N479">
        <v>100.67</v>
      </c>
      <c r="O479" t="s">
        <v>69</v>
      </c>
      <c r="P479" t="s">
        <v>56</v>
      </c>
    </row>
    <row r="480" spans="1:16" x14ac:dyDescent="0.35">
      <c r="A480" t="s">
        <v>544</v>
      </c>
      <c r="B480">
        <v>59</v>
      </c>
      <c r="C480" t="s">
        <v>55</v>
      </c>
      <c r="D480" t="s">
        <v>56</v>
      </c>
      <c r="E480" t="s">
        <v>56</v>
      </c>
      <c r="F480">
        <v>16</v>
      </c>
      <c r="G480" t="s">
        <v>55</v>
      </c>
      <c r="H480" t="s">
        <v>60</v>
      </c>
      <c r="I480" t="s">
        <v>29</v>
      </c>
      <c r="J480" t="s">
        <v>14</v>
      </c>
      <c r="K480" t="s">
        <v>56</v>
      </c>
      <c r="L480" t="s">
        <v>57</v>
      </c>
      <c r="M480">
        <v>54.47</v>
      </c>
      <c r="N480">
        <v>869.48</v>
      </c>
      <c r="O480" t="s">
        <v>76</v>
      </c>
      <c r="P480" t="s">
        <v>55</v>
      </c>
    </row>
    <row r="481" spans="1:16" x14ac:dyDescent="0.35">
      <c r="A481" t="s">
        <v>545</v>
      </c>
      <c r="B481">
        <v>58</v>
      </c>
      <c r="C481" t="s">
        <v>55</v>
      </c>
      <c r="D481" t="s">
        <v>55</v>
      </c>
      <c r="E481" t="s">
        <v>56</v>
      </c>
      <c r="F481">
        <v>48</v>
      </c>
      <c r="G481" t="s">
        <v>56</v>
      </c>
      <c r="H481" t="s">
        <v>55</v>
      </c>
      <c r="I481" t="s">
        <v>29</v>
      </c>
      <c r="J481" t="s">
        <v>12</v>
      </c>
      <c r="K481" t="s">
        <v>56</v>
      </c>
      <c r="L481" t="s">
        <v>26</v>
      </c>
      <c r="M481">
        <v>58.44</v>
      </c>
      <c r="N481">
        <v>2870.18</v>
      </c>
      <c r="O481" t="s">
        <v>80</v>
      </c>
      <c r="P481" t="s">
        <v>56</v>
      </c>
    </row>
    <row r="482" spans="1:16" x14ac:dyDescent="0.35">
      <c r="A482" t="s">
        <v>546</v>
      </c>
      <c r="B482">
        <v>35</v>
      </c>
      <c r="C482" t="s">
        <v>55</v>
      </c>
      <c r="D482" t="s">
        <v>55</v>
      </c>
      <c r="E482" t="s">
        <v>55</v>
      </c>
      <c r="F482">
        <v>46</v>
      </c>
      <c r="G482" t="s">
        <v>55</v>
      </c>
      <c r="H482" t="s">
        <v>60</v>
      </c>
      <c r="I482" t="s">
        <v>30</v>
      </c>
      <c r="J482" t="s">
        <v>12</v>
      </c>
      <c r="K482" t="s">
        <v>56</v>
      </c>
      <c r="L482" t="s">
        <v>57</v>
      </c>
      <c r="M482">
        <v>108.32</v>
      </c>
      <c r="N482">
        <v>4793.33</v>
      </c>
      <c r="O482" t="s">
        <v>66</v>
      </c>
      <c r="P482" t="s">
        <v>56</v>
      </c>
    </row>
    <row r="483" spans="1:16" x14ac:dyDescent="0.35">
      <c r="A483" t="s">
        <v>547</v>
      </c>
      <c r="B483">
        <v>28</v>
      </c>
      <c r="C483" t="s">
        <v>55</v>
      </c>
      <c r="D483" t="s">
        <v>55</v>
      </c>
      <c r="E483" t="s">
        <v>55</v>
      </c>
      <c r="F483">
        <v>39</v>
      </c>
      <c r="G483" t="s">
        <v>55</v>
      </c>
      <c r="H483" t="s">
        <v>60</v>
      </c>
      <c r="I483" t="s">
        <v>30</v>
      </c>
      <c r="J483" t="s">
        <v>12</v>
      </c>
      <c r="K483" t="s">
        <v>55</v>
      </c>
      <c r="L483" t="s">
        <v>61</v>
      </c>
      <c r="M483">
        <v>70.64</v>
      </c>
      <c r="N483">
        <v>2760.97</v>
      </c>
      <c r="O483" t="s">
        <v>64</v>
      </c>
      <c r="P483" t="s">
        <v>56</v>
      </c>
    </row>
    <row r="484" spans="1:16" x14ac:dyDescent="0.35">
      <c r="A484" t="s">
        <v>548</v>
      </c>
      <c r="B484">
        <v>44</v>
      </c>
      <c r="C484" t="s">
        <v>55</v>
      </c>
      <c r="D484" t="s">
        <v>55</v>
      </c>
      <c r="E484" t="s">
        <v>56</v>
      </c>
      <c r="F484">
        <v>14</v>
      </c>
      <c r="G484" t="s">
        <v>56</v>
      </c>
      <c r="H484" t="s">
        <v>55</v>
      </c>
      <c r="I484" t="s">
        <v>30</v>
      </c>
      <c r="J484" t="s">
        <v>13</v>
      </c>
      <c r="K484" t="s">
        <v>56</v>
      </c>
      <c r="L484" t="s">
        <v>57</v>
      </c>
      <c r="M484">
        <v>115.8</v>
      </c>
      <c r="N484">
        <v>1546.61</v>
      </c>
      <c r="O484" t="s">
        <v>80</v>
      </c>
      <c r="P484" t="s">
        <v>56</v>
      </c>
    </row>
    <row r="485" spans="1:16" x14ac:dyDescent="0.35">
      <c r="A485" t="s">
        <v>549</v>
      </c>
      <c r="B485">
        <v>48</v>
      </c>
      <c r="C485" t="s">
        <v>55</v>
      </c>
      <c r="D485" t="s">
        <v>55</v>
      </c>
      <c r="E485" t="s">
        <v>55</v>
      </c>
      <c r="F485">
        <v>47</v>
      </c>
      <c r="G485" t="s">
        <v>55</v>
      </c>
      <c r="H485" t="s">
        <v>60</v>
      </c>
      <c r="I485" t="s">
        <v>30</v>
      </c>
      <c r="J485" t="s">
        <v>14</v>
      </c>
      <c r="K485" t="s">
        <v>55</v>
      </c>
      <c r="L485" t="s">
        <v>26</v>
      </c>
      <c r="M485">
        <v>85.23</v>
      </c>
      <c r="N485">
        <v>4123.32</v>
      </c>
      <c r="O485" t="s">
        <v>62</v>
      </c>
      <c r="P485" t="s">
        <v>56</v>
      </c>
    </row>
    <row r="486" spans="1:16" x14ac:dyDescent="0.35">
      <c r="A486" t="s">
        <v>550</v>
      </c>
      <c r="B486">
        <v>72</v>
      </c>
      <c r="C486" t="s">
        <v>56</v>
      </c>
      <c r="D486" t="s">
        <v>56</v>
      </c>
      <c r="E486" t="s">
        <v>56</v>
      </c>
      <c r="F486">
        <v>40</v>
      </c>
      <c r="G486" t="s">
        <v>56</v>
      </c>
      <c r="H486" t="s">
        <v>55</v>
      </c>
      <c r="I486" t="s">
        <v>30</v>
      </c>
      <c r="J486" t="s">
        <v>12</v>
      </c>
      <c r="K486" t="s">
        <v>56</v>
      </c>
      <c r="L486" t="s">
        <v>26</v>
      </c>
      <c r="M486">
        <v>108.73</v>
      </c>
      <c r="N486">
        <v>4483.5</v>
      </c>
      <c r="O486" t="s">
        <v>80</v>
      </c>
      <c r="P486" t="s">
        <v>56</v>
      </c>
    </row>
    <row r="487" spans="1:16" x14ac:dyDescent="0.35">
      <c r="A487" t="s">
        <v>551</v>
      </c>
      <c r="B487">
        <v>20</v>
      </c>
      <c r="C487" t="s">
        <v>55</v>
      </c>
      <c r="D487" t="s">
        <v>56</v>
      </c>
      <c r="E487" t="s">
        <v>55</v>
      </c>
      <c r="F487">
        <v>16</v>
      </c>
      <c r="G487" t="s">
        <v>56</v>
      </c>
      <c r="H487" t="s">
        <v>56</v>
      </c>
      <c r="I487" t="s">
        <v>55</v>
      </c>
      <c r="J487" t="s">
        <v>13</v>
      </c>
      <c r="K487" t="s">
        <v>56</v>
      </c>
      <c r="L487" t="s">
        <v>61</v>
      </c>
      <c r="M487">
        <v>29.04</v>
      </c>
      <c r="N487">
        <v>448.21</v>
      </c>
      <c r="O487" t="s">
        <v>62</v>
      </c>
      <c r="P487" t="s">
        <v>55</v>
      </c>
    </row>
    <row r="488" spans="1:16" x14ac:dyDescent="0.35">
      <c r="A488" t="s">
        <v>552</v>
      </c>
      <c r="B488">
        <v>60</v>
      </c>
      <c r="C488" t="s">
        <v>56</v>
      </c>
      <c r="D488" t="s">
        <v>55</v>
      </c>
      <c r="E488" t="s">
        <v>56</v>
      </c>
      <c r="F488">
        <v>12</v>
      </c>
      <c r="G488" t="s">
        <v>55</v>
      </c>
      <c r="H488" t="s">
        <v>60</v>
      </c>
      <c r="I488" t="s">
        <v>30</v>
      </c>
      <c r="J488" t="s">
        <v>14</v>
      </c>
      <c r="K488" t="s">
        <v>55</v>
      </c>
      <c r="L488" t="s">
        <v>57</v>
      </c>
      <c r="M488">
        <v>112.76</v>
      </c>
      <c r="N488">
        <v>1398.72</v>
      </c>
      <c r="O488" t="s">
        <v>58</v>
      </c>
      <c r="P488" t="s">
        <v>55</v>
      </c>
    </row>
    <row r="489" spans="1:16" x14ac:dyDescent="0.35">
      <c r="A489" t="s">
        <v>553</v>
      </c>
      <c r="B489">
        <v>54</v>
      </c>
      <c r="C489" t="s">
        <v>55</v>
      </c>
      <c r="D489" t="s">
        <v>56</v>
      </c>
      <c r="E489" t="s">
        <v>56</v>
      </c>
      <c r="F489">
        <v>2</v>
      </c>
      <c r="G489" t="s">
        <v>56</v>
      </c>
      <c r="H489" t="s">
        <v>55</v>
      </c>
      <c r="I489" t="s">
        <v>29</v>
      </c>
      <c r="J489" t="s">
        <v>12</v>
      </c>
      <c r="K489" t="s">
        <v>56</v>
      </c>
      <c r="L489" t="s">
        <v>25</v>
      </c>
      <c r="M489">
        <v>43.95</v>
      </c>
      <c r="N489">
        <v>84.88</v>
      </c>
      <c r="O489" t="s">
        <v>69</v>
      </c>
      <c r="P489" t="s">
        <v>55</v>
      </c>
    </row>
    <row r="490" spans="1:16" x14ac:dyDescent="0.35">
      <c r="A490" t="s">
        <v>554</v>
      </c>
      <c r="B490">
        <v>48</v>
      </c>
      <c r="C490" t="s">
        <v>55</v>
      </c>
      <c r="D490" t="s">
        <v>55</v>
      </c>
      <c r="E490" t="s">
        <v>56</v>
      </c>
      <c r="F490">
        <v>57</v>
      </c>
      <c r="G490" t="s">
        <v>56</v>
      </c>
      <c r="H490" t="s">
        <v>56</v>
      </c>
      <c r="I490" t="s">
        <v>29</v>
      </c>
      <c r="J490" t="s">
        <v>12</v>
      </c>
      <c r="K490" t="s">
        <v>55</v>
      </c>
      <c r="L490" t="s">
        <v>57</v>
      </c>
      <c r="M490">
        <v>60.57</v>
      </c>
      <c r="N490">
        <v>3414.2</v>
      </c>
      <c r="O490" t="s">
        <v>76</v>
      </c>
      <c r="P490" t="s">
        <v>55</v>
      </c>
    </row>
    <row r="491" spans="1:16" x14ac:dyDescent="0.35">
      <c r="A491" t="s">
        <v>555</v>
      </c>
      <c r="B491">
        <v>25</v>
      </c>
      <c r="C491" t="s">
        <v>55</v>
      </c>
      <c r="D491" t="s">
        <v>55</v>
      </c>
      <c r="E491" t="s">
        <v>56</v>
      </c>
      <c r="F491">
        <v>67</v>
      </c>
      <c r="G491" t="s">
        <v>55</v>
      </c>
      <c r="H491" t="s">
        <v>60</v>
      </c>
      <c r="I491" t="s">
        <v>30</v>
      </c>
      <c r="J491" t="s">
        <v>13</v>
      </c>
      <c r="K491" t="s">
        <v>56</v>
      </c>
      <c r="L491" t="s">
        <v>26</v>
      </c>
      <c r="M491">
        <v>94.69</v>
      </c>
      <c r="N491">
        <v>6256.51</v>
      </c>
      <c r="O491" t="s">
        <v>69</v>
      </c>
      <c r="P491" t="s">
        <v>55</v>
      </c>
    </row>
    <row r="492" spans="1:16" x14ac:dyDescent="0.35">
      <c r="A492" t="s">
        <v>556</v>
      </c>
      <c r="B492">
        <v>37</v>
      </c>
      <c r="C492" t="s">
        <v>55</v>
      </c>
      <c r="D492" t="s">
        <v>55</v>
      </c>
      <c r="E492" t="s">
        <v>56</v>
      </c>
      <c r="F492">
        <v>71</v>
      </c>
      <c r="G492" t="s">
        <v>55</v>
      </c>
      <c r="H492" t="s">
        <v>60</v>
      </c>
      <c r="I492" t="s">
        <v>30</v>
      </c>
      <c r="J492" t="s">
        <v>12</v>
      </c>
      <c r="K492" t="s">
        <v>56</v>
      </c>
      <c r="L492" t="s">
        <v>25</v>
      </c>
      <c r="M492">
        <v>110.12</v>
      </c>
      <c r="N492">
        <v>8230.48</v>
      </c>
      <c r="O492" t="s">
        <v>80</v>
      </c>
      <c r="P492" t="s">
        <v>56</v>
      </c>
    </row>
    <row r="493" spans="1:16" x14ac:dyDescent="0.35">
      <c r="A493" t="s">
        <v>557</v>
      </c>
      <c r="B493">
        <v>61</v>
      </c>
      <c r="C493" t="s">
        <v>56</v>
      </c>
      <c r="D493" t="s">
        <v>55</v>
      </c>
      <c r="E493" t="s">
        <v>56</v>
      </c>
      <c r="F493">
        <v>51</v>
      </c>
      <c r="G493" t="s">
        <v>56</v>
      </c>
      <c r="H493" t="s">
        <v>56</v>
      </c>
      <c r="I493" t="s">
        <v>30</v>
      </c>
      <c r="J493" t="s">
        <v>12</v>
      </c>
      <c r="K493" t="s">
        <v>56</v>
      </c>
      <c r="L493" t="s">
        <v>61</v>
      </c>
      <c r="M493">
        <v>114.62</v>
      </c>
      <c r="N493">
        <v>5613.24</v>
      </c>
      <c r="O493" t="s">
        <v>62</v>
      </c>
      <c r="P493" t="s">
        <v>56</v>
      </c>
    </row>
    <row r="494" spans="1:16" x14ac:dyDescent="0.35">
      <c r="A494" t="s">
        <v>558</v>
      </c>
      <c r="B494">
        <v>39</v>
      </c>
      <c r="C494" t="s">
        <v>55</v>
      </c>
      <c r="D494" t="s">
        <v>56</v>
      </c>
      <c r="E494" t="s">
        <v>55</v>
      </c>
      <c r="F494">
        <v>16</v>
      </c>
      <c r="G494" t="s">
        <v>55</v>
      </c>
      <c r="H494" t="s">
        <v>60</v>
      </c>
      <c r="I494" t="s">
        <v>30</v>
      </c>
      <c r="J494" t="s">
        <v>13</v>
      </c>
      <c r="K494" t="s">
        <v>55</v>
      </c>
      <c r="L494" t="s">
        <v>61</v>
      </c>
      <c r="M494">
        <v>108.3</v>
      </c>
      <c r="N494">
        <v>1752.27</v>
      </c>
      <c r="O494" t="s">
        <v>66</v>
      </c>
      <c r="P494" t="s">
        <v>55</v>
      </c>
    </row>
    <row r="495" spans="1:16" x14ac:dyDescent="0.35">
      <c r="A495" t="s">
        <v>559</v>
      </c>
      <c r="B495">
        <v>59</v>
      </c>
      <c r="C495" t="s">
        <v>55</v>
      </c>
      <c r="D495" t="s">
        <v>55</v>
      </c>
      <c r="E495" t="s">
        <v>55</v>
      </c>
      <c r="F495">
        <v>61</v>
      </c>
      <c r="G495" t="s">
        <v>55</v>
      </c>
      <c r="H495" t="s">
        <v>60</v>
      </c>
      <c r="I495" t="s">
        <v>29</v>
      </c>
      <c r="J495" t="s">
        <v>14</v>
      </c>
      <c r="K495" t="s">
        <v>55</v>
      </c>
      <c r="L495" t="s">
        <v>26</v>
      </c>
      <c r="M495">
        <v>58.19</v>
      </c>
      <c r="N495">
        <v>3388.66</v>
      </c>
      <c r="O495" t="s">
        <v>62</v>
      </c>
      <c r="P495" t="s">
        <v>55</v>
      </c>
    </row>
    <row r="496" spans="1:16" x14ac:dyDescent="0.35">
      <c r="A496" t="s">
        <v>560</v>
      </c>
      <c r="B496">
        <v>58</v>
      </c>
      <c r="C496" t="s">
        <v>55</v>
      </c>
      <c r="D496" t="s">
        <v>56</v>
      </c>
      <c r="E496" t="s">
        <v>56</v>
      </c>
      <c r="F496">
        <v>13</v>
      </c>
      <c r="G496" t="s">
        <v>56</v>
      </c>
      <c r="H496" t="s">
        <v>55</v>
      </c>
      <c r="I496" t="s">
        <v>29</v>
      </c>
      <c r="J496" t="s">
        <v>12</v>
      </c>
      <c r="K496" t="s">
        <v>56</v>
      </c>
      <c r="L496" t="s">
        <v>57</v>
      </c>
      <c r="M496">
        <v>67.17</v>
      </c>
      <c r="N496">
        <v>836.82</v>
      </c>
      <c r="O496" t="s">
        <v>80</v>
      </c>
      <c r="P496" t="s">
        <v>55</v>
      </c>
    </row>
    <row r="497" spans="1:16" x14ac:dyDescent="0.35">
      <c r="A497" t="s">
        <v>561</v>
      </c>
      <c r="B497">
        <v>66</v>
      </c>
      <c r="C497" t="s">
        <v>56</v>
      </c>
      <c r="D497" t="s">
        <v>56</v>
      </c>
      <c r="E497" t="s">
        <v>55</v>
      </c>
      <c r="F497">
        <v>60</v>
      </c>
      <c r="G497" t="s">
        <v>55</v>
      </c>
      <c r="H497" t="s">
        <v>60</v>
      </c>
      <c r="I497" t="s">
        <v>30</v>
      </c>
      <c r="J497" t="s">
        <v>12</v>
      </c>
      <c r="K497" t="s">
        <v>55</v>
      </c>
      <c r="L497" t="s">
        <v>57</v>
      </c>
      <c r="M497">
        <v>110.47</v>
      </c>
      <c r="N497">
        <v>6660.44</v>
      </c>
      <c r="O497" t="s">
        <v>66</v>
      </c>
      <c r="P497" t="s">
        <v>56</v>
      </c>
    </row>
    <row r="498" spans="1:16" x14ac:dyDescent="0.35">
      <c r="A498" t="s">
        <v>562</v>
      </c>
      <c r="B498">
        <v>20</v>
      </c>
      <c r="C498" t="s">
        <v>55</v>
      </c>
      <c r="D498" t="s">
        <v>55</v>
      </c>
      <c r="E498" t="s">
        <v>56</v>
      </c>
      <c r="F498">
        <v>50</v>
      </c>
      <c r="G498" t="s">
        <v>55</v>
      </c>
      <c r="H498" t="s">
        <v>60</v>
      </c>
      <c r="I498" t="s">
        <v>29</v>
      </c>
      <c r="J498" t="s">
        <v>12</v>
      </c>
      <c r="K498" t="s">
        <v>56</v>
      </c>
      <c r="L498" t="s">
        <v>26</v>
      </c>
      <c r="M498">
        <v>62.27</v>
      </c>
      <c r="N498">
        <v>3248.14</v>
      </c>
      <c r="O498" t="s">
        <v>69</v>
      </c>
      <c r="P498" t="s">
        <v>56</v>
      </c>
    </row>
    <row r="499" spans="1:16" x14ac:dyDescent="0.35">
      <c r="A499" t="s">
        <v>563</v>
      </c>
      <c r="B499">
        <v>28</v>
      </c>
      <c r="C499" t="s">
        <v>55</v>
      </c>
      <c r="D499" t="s">
        <v>55</v>
      </c>
      <c r="E499" t="s">
        <v>55</v>
      </c>
      <c r="F499">
        <v>18</v>
      </c>
      <c r="G499" t="s">
        <v>55</v>
      </c>
      <c r="H499" t="s">
        <v>60</v>
      </c>
      <c r="I499" t="s">
        <v>30</v>
      </c>
      <c r="J499" t="s">
        <v>12</v>
      </c>
      <c r="K499" t="s">
        <v>56</v>
      </c>
      <c r="L499" t="s">
        <v>57</v>
      </c>
      <c r="M499">
        <v>94.53</v>
      </c>
      <c r="N499">
        <v>1712.52</v>
      </c>
      <c r="O499" t="s">
        <v>64</v>
      </c>
      <c r="P499" t="s">
        <v>55</v>
      </c>
    </row>
    <row r="500" spans="1:16" x14ac:dyDescent="0.35">
      <c r="A500" t="s">
        <v>564</v>
      </c>
      <c r="B500">
        <v>48</v>
      </c>
      <c r="C500" t="s">
        <v>55</v>
      </c>
      <c r="D500" t="s">
        <v>56</v>
      </c>
      <c r="E500" t="s">
        <v>56</v>
      </c>
      <c r="F500">
        <v>51</v>
      </c>
      <c r="G500" t="s">
        <v>55</v>
      </c>
      <c r="H500" t="s">
        <v>60</v>
      </c>
      <c r="I500" t="s">
        <v>30</v>
      </c>
      <c r="J500" t="s">
        <v>13</v>
      </c>
      <c r="K500" t="s">
        <v>55</v>
      </c>
      <c r="L500" t="s">
        <v>61</v>
      </c>
      <c r="M500">
        <v>84.22</v>
      </c>
      <c r="N500">
        <v>4069.17</v>
      </c>
      <c r="O500" t="s">
        <v>62</v>
      </c>
      <c r="P500" t="s">
        <v>55</v>
      </c>
    </row>
    <row r="501" spans="1:16" x14ac:dyDescent="0.35">
      <c r="A501" t="s">
        <v>565</v>
      </c>
      <c r="B501">
        <v>71</v>
      </c>
      <c r="C501" t="s">
        <v>56</v>
      </c>
      <c r="D501" t="s">
        <v>55</v>
      </c>
      <c r="E501" t="s">
        <v>55</v>
      </c>
      <c r="F501">
        <v>4</v>
      </c>
      <c r="G501" t="s">
        <v>55</v>
      </c>
      <c r="H501" t="s">
        <v>60</v>
      </c>
      <c r="I501" t="s">
        <v>29</v>
      </c>
      <c r="J501" t="s">
        <v>12</v>
      </c>
      <c r="K501" t="s">
        <v>55</v>
      </c>
      <c r="L501" t="s">
        <v>26</v>
      </c>
      <c r="M501">
        <v>54.29</v>
      </c>
      <c r="N501">
        <v>213.28</v>
      </c>
      <c r="O501" t="s">
        <v>62</v>
      </c>
      <c r="P501" t="s">
        <v>55</v>
      </c>
    </row>
    <row r="502" spans="1:16" x14ac:dyDescent="0.35">
      <c r="A502" t="s">
        <v>566</v>
      </c>
      <c r="B502">
        <v>33</v>
      </c>
      <c r="C502" t="s">
        <v>55</v>
      </c>
      <c r="D502" t="s">
        <v>55</v>
      </c>
      <c r="E502" t="s">
        <v>56</v>
      </c>
      <c r="F502">
        <v>9</v>
      </c>
      <c r="G502" t="s">
        <v>56</v>
      </c>
      <c r="H502" t="s">
        <v>56</v>
      </c>
      <c r="I502" t="s">
        <v>55</v>
      </c>
      <c r="J502" t="s">
        <v>12</v>
      </c>
      <c r="K502" t="s">
        <v>55</v>
      </c>
      <c r="L502" t="s">
        <v>26</v>
      </c>
      <c r="M502">
        <v>25.89</v>
      </c>
      <c r="N502">
        <v>230.84</v>
      </c>
      <c r="O502" t="s">
        <v>64</v>
      </c>
      <c r="P502" t="s">
        <v>55</v>
      </c>
    </row>
    <row r="503" spans="1:16" x14ac:dyDescent="0.35">
      <c r="A503" t="s">
        <v>567</v>
      </c>
      <c r="B503">
        <v>35</v>
      </c>
      <c r="C503" t="s">
        <v>55</v>
      </c>
      <c r="D503" t="s">
        <v>56</v>
      </c>
      <c r="E503" t="s">
        <v>55</v>
      </c>
      <c r="F503">
        <v>3</v>
      </c>
      <c r="G503" t="s">
        <v>55</v>
      </c>
      <c r="H503" t="s">
        <v>60</v>
      </c>
      <c r="I503" t="s">
        <v>55</v>
      </c>
      <c r="J503" t="s">
        <v>13</v>
      </c>
      <c r="K503" t="s">
        <v>55</v>
      </c>
      <c r="L503" t="s">
        <v>57</v>
      </c>
      <c r="M503">
        <v>27.7</v>
      </c>
      <c r="N503">
        <v>79.11</v>
      </c>
      <c r="O503" t="s">
        <v>76</v>
      </c>
      <c r="P503" t="s">
        <v>55</v>
      </c>
    </row>
    <row r="504" spans="1:16" x14ac:dyDescent="0.35">
      <c r="A504" t="s">
        <v>568</v>
      </c>
      <c r="B504">
        <v>49</v>
      </c>
      <c r="C504" t="s">
        <v>55</v>
      </c>
      <c r="D504" t="s">
        <v>55</v>
      </c>
      <c r="E504" t="s">
        <v>56</v>
      </c>
      <c r="F504">
        <v>39</v>
      </c>
      <c r="G504" t="s">
        <v>55</v>
      </c>
      <c r="H504" t="s">
        <v>60</v>
      </c>
      <c r="I504" t="s">
        <v>30</v>
      </c>
      <c r="J504" t="s">
        <v>12</v>
      </c>
      <c r="K504" t="s">
        <v>56</v>
      </c>
      <c r="L504" t="s">
        <v>61</v>
      </c>
      <c r="M504">
        <v>96.79</v>
      </c>
      <c r="N504">
        <v>3678.49</v>
      </c>
      <c r="O504" t="s">
        <v>58</v>
      </c>
      <c r="P504" t="s">
        <v>56</v>
      </c>
    </row>
    <row r="505" spans="1:16" x14ac:dyDescent="0.35">
      <c r="A505" t="s">
        <v>569</v>
      </c>
      <c r="B505">
        <v>43</v>
      </c>
      <c r="C505" t="s">
        <v>55</v>
      </c>
      <c r="D505" t="s">
        <v>56</v>
      </c>
      <c r="E505" t="s">
        <v>56</v>
      </c>
      <c r="F505">
        <v>13</v>
      </c>
      <c r="G505" t="s">
        <v>55</v>
      </c>
      <c r="H505" t="s">
        <v>60</v>
      </c>
      <c r="I505" t="s">
        <v>29</v>
      </c>
      <c r="J505" t="s">
        <v>12</v>
      </c>
      <c r="K505" t="s">
        <v>55</v>
      </c>
      <c r="L505" t="s">
        <v>57</v>
      </c>
      <c r="M505">
        <v>53.89</v>
      </c>
      <c r="N505">
        <v>664.98</v>
      </c>
      <c r="O505" t="s">
        <v>58</v>
      </c>
      <c r="P505" t="s">
        <v>55</v>
      </c>
    </row>
    <row r="506" spans="1:16" x14ac:dyDescent="0.35">
      <c r="A506" t="s">
        <v>570</v>
      </c>
      <c r="B506">
        <v>69</v>
      </c>
      <c r="C506" t="s">
        <v>56</v>
      </c>
      <c r="D506" t="s">
        <v>55</v>
      </c>
      <c r="E506" t="s">
        <v>55</v>
      </c>
      <c r="F506">
        <v>70</v>
      </c>
      <c r="G506" t="s">
        <v>55</v>
      </c>
      <c r="H506" t="s">
        <v>60</v>
      </c>
      <c r="I506" t="s">
        <v>30</v>
      </c>
      <c r="J506" t="s">
        <v>12</v>
      </c>
      <c r="K506" t="s">
        <v>55</v>
      </c>
      <c r="L506" t="s">
        <v>61</v>
      </c>
      <c r="M506">
        <v>97.38</v>
      </c>
      <c r="N506">
        <v>7128.17</v>
      </c>
      <c r="O506" t="s">
        <v>58</v>
      </c>
      <c r="P506" t="s">
        <v>55</v>
      </c>
    </row>
    <row r="507" spans="1:16" x14ac:dyDescent="0.35">
      <c r="A507" t="s">
        <v>571</v>
      </c>
      <c r="B507">
        <v>73</v>
      </c>
      <c r="C507" t="s">
        <v>56</v>
      </c>
      <c r="D507" t="s">
        <v>56</v>
      </c>
      <c r="E507" t="s">
        <v>55</v>
      </c>
      <c r="F507">
        <v>28</v>
      </c>
      <c r="G507" t="s">
        <v>55</v>
      </c>
      <c r="H507" t="s">
        <v>60</v>
      </c>
      <c r="I507" t="s">
        <v>29</v>
      </c>
      <c r="J507" t="s">
        <v>12</v>
      </c>
      <c r="K507" t="s">
        <v>55</v>
      </c>
      <c r="L507" t="s">
        <v>25</v>
      </c>
      <c r="M507">
        <v>69.06</v>
      </c>
      <c r="N507">
        <v>1831.55</v>
      </c>
      <c r="O507" t="s">
        <v>64</v>
      </c>
      <c r="P507" t="s">
        <v>56</v>
      </c>
    </row>
    <row r="508" spans="1:16" x14ac:dyDescent="0.35">
      <c r="A508" t="s">
        <v>572</v>
      </c>
      <c r="B508">
        <v>27</v>
      </c>
      <c r="C508" t="s">
        <v>55</v>
      </c>
      <c r="D508" t="s">
        <v>56</v>
      </c>
      <c r="E508" t="s">
        <v>56</v>
      </c>
      <c r="F508">
        <v>39</v>
      </c>
      <c r="G508" t="s">
        <v>55</v>
      </c>
      <c r="H508" t="s">
        <v>60</v>
      </c>
      <c r="I508" t="s">
        <v>55</v>
      </c>
      <c r="J508" t="s">
        <v>12</v>
      </c>
      <c r="K508" t="s">
        <v>56</v>
      </c>
      <c r="L508" t="s">
        <v>61</v>
      </c>
      <c r="M508">
        <v>28.15</v>
      </c>
      <c r="N508">
        <v>1067.1500000000001</v>
      </c>
      <c r="O508" t="s">
        <v>62</v>
      </c>
      <c r="P508" t="s">
        <v>55</v>
      </c>
    </row>
    <row r="509" spans="1:16" x14ac:dyDescent="0.35">
      <c r="A509" t="s">
        <v>573</v>
      </c>
      <c r="B509">
        <v>34</v>
      </c>
      <c r="C509" t="s">
        <v>55</v>
      </c>
      <c r="D509" t="s">
        <v>56</v>
      </c>
      <c r="E509" t="s">
        <v>55</v>
      </c>
      <c r="F509">
        <v>31</v>
      </c>
      <c r="G509" t="s">
        <v>56</v>
      </c>
      <c r="H509" t="s">
        <v>56</v>
      </c>
      <c r="I509" t="s">
        <v>30</v>
      </c>
      <c r="J509" t="s">
        <v>13</v>
      </c>
      <c r="K509" t="s">
        <v>55</v>
      </c>
      <c r="L509" t="s">
        <v>57</v>
      </c>
      <c r="M509">
        <v>97.99</v>
      </c>
      <c r="N509">
        <v>3014.41</v>
      </c>
      <c r="O509" t="s">
        <v>80</v>
      </c>
      <c r="P509" t="s">
        <v>55</v>
      </c>
    </row>
    <row r="510" spans="1:16" x14ac:dyDescent="0.35">
      <c r="A510" t="s">
        <v>574</v>
      </c>
      <c r="B510">
        <v>30</v>
      </c>
      <c r="C510" t="s">
        <v>55</v>
      </c>
      <c r="D510" t="s">
        <v>56</v>
      </c>
      <c r="E510" t="s">
        <v>55</v>
      </c>
      <c r="F510">
        <v>18</v>
      </c>
      <c r="G510" t="s">
        <v>55</v>
      </c>
      <c r="H510" t="s">
        <v>60</v>
      </c>
      <c r="I510" t="s">
        <v>30</v>
      </c>
      <c r="J510" t="s">
        <v>13</v>
      </c>
      <c r="K510" t="s">
        <v>56</v>
      </c>
      <c r="L510" t="s">
        <v>61</v>
      </c>
      <c r="M510">
        <v>72.11</v>
      </c>
      <c r="N510">
        <v>1332.63</v>
      </c>
      <c r="O510" t="s">
        <v>80</v>
      </c>
      <c r="P510" t="s">
        <v>55</v>
      </c>
    </row>
    <row r="511" spans="1:16" x14ac:dyDescent="0.35">
      <c r="A511" t="s">
        <v>575</v>
      </c>
      <c r="B511">
        <v>73</v>
      </c>
      <c r="C511" t="s">
        <v>56</v>
      </c>
      <c r="D511" t="s">
        <v>56</v>
      </c>
      <c r="E511" t="s">
        <v>55</v>
      </c>
      <c r="F511">
        <v>39</v>
      </c>
      <c r="G511" t="s">
        <v>55</v>
      </c>
      <c r="H511" t="s">
        <v>60</v>
      </c>
      <c r="I511" t="s">
        <v>55</v>
      </c>
      <c r="J511" t="s">
        <v>14</v>
      </c>
      <c r="K511" t="s">
        <v>56</v>
      </c>
      <c r="L511" t="s">
        <v>57</v>
      </c>
      <c r="M511">
        <v>28.08</v>
      </c>
      <c r="N511">
        <v>1140.1600000000001</v>
      </c>
      <c r="O511" t="s">
        <v>58</v>
      </c>
      <c r="P511" t="s">
        <v>55</v>
      </c>
    </row>
    <row r="512" spans="1:16" x14ac:dyDescent="0.35">
      <c r="A512" t="s">
        <v>576</v>
      </c>
      <c r="B512">
        <v>65</v>
      </c>
      <c r="C512" t="s">
        <v>56</v>
      </c>
      <c r="D512" t="s">
        <v>56</v>
      </c>
      <c r="E512" t="s">
        <v>55</v>
      </c>
      <c r="F512">
        <v>64</v>
      </c>
      <c r="G512" t="s">
        <v>56</v>
      </c>
      <c r="H512" t="s">
        <v>55</v>
      </c>
      <c r="I512" t="s">
        <v>55</v>
      </c>
      <c r="J512" t="s">
        <v>13</v>
      </c>
      <c r="K512" t="s">
        <v>55</v>
      </c>
      <c r="L512" t="s">
        <v>26</v>
      </c>
      <c r="M512">
        <v>25.01</v>
      </c>
      <c r="N512">
        <v>1579.5</v>
      </c>
      <c r="O512" t="s">
        <v>62</v>
      </c>
      <c r="P512" t="s">
        <v>55</v>
      </c>
    </row>
    <row r="513" spans="1:16" x14ac:dyDescent="0.35">
      <c r="A513" t="s">
        <v>577</v>
      </c>
      <c r="B513">
        <v>45</v>
      </c>
      <c r="C513" t="s">
        <v>55</v>
      </c>
      <c r="D513" t="s">
        <v>56</v>
      </c>
      <c r="E513" t="s">
        <v>56</v>
      </c>
      <c r="F513">
        <v>14</v>
      </c>
      <c r="G513" t="s">
        <v>55</v>
      </c>
      <c r="H513" t="s">
        <v>60</v>
      </c>
      <c r="I513" t="s">
        <v>30</v>
      </c>
      <c r="J513" t="s">
        <v>12</v>
      </c>
      <c r="K513" t="s">
        <v>55</v>
      </c>
      <c r="L513" t="s">
        <v>25</v>
      </c>
      <c r="M513">
        <v>72.8</v>
      </c>
      <c r="N513">
        <v>1023.29</v>
      </c>
      <c r="O513" t="s">
        <v>80</v>
      </c>
      <c r="P513" t="s">
        <v>55</v>
      </c>
    </row>
    <row r="514" spans="1:16" x14ac:dyDescent="0.35">
      <c r="A514" t="s">
        <v>578</v>
      </c>
      <c r="B514">
        <v>38</v>
      </c>
      <c r="C514" t="s">
        <v>55</v>
      </c>
      <c r="D514" t="s">
        <v>55</v>
      </c>
      <c r="E514" t="s">
        <v>55</v>
      </c>
      <c r="F514">
        <v>32</v>
      </c>
      <c r="G514" t="s">
        <v>56</v>
      </c>
      <c r="H514" t="s">
        <v>55</v>
      </c>
      <c r="I514" t="s">
        <v>55</v>
      </c>
      <c r="J514" t="s">
        <v>13</v>
      </c>
      <c r="K514" t="s">
        <v>55</v>
      </c>
      <c r="L514" t="s">
        <v>26</v>
      </c>
      <c r="M514">
        <v>29.6</v>
      </c>
      <c r="N514">
        <v>959.23</v>
      </c>
      <c r="O514" t="s">
        <v>69</v>
      </c>
      <c r="P514" t="s">
        <v>55</v>
      </c>
    </row>
    <row r="515" spans="1:16" x14ac:dyDescent="0.35">
      <c r="A515" t="s">
        <v>579</v>
      </c>
      <c r="B515">
        <v>69</v>
      </c>
      <c r="C515" t="s">
        <v>56</v>
      </c>
      <c r="D515" t="s">
        <v>56</v>
      </c>
      <c r="E515" t="s">
        <v>56</v>
      </c>
      <c r="F515">
        <v>33</v>
      </c>
      <c r="G515" t="s">
        <v>55</v>
      </c>
      <c r="H515" t="s">
        <v>60</v>
      </c>
      <c r="I515" t="s">
        <v>29</v>
      </c>
      <c r="J515" t="s">
        <v>13</v>
      </c>
      <c r="K515" t="s">
        <v>55</v>
      </c>
      <c r="L515" t="s">
        <v>25</v>
      </c>
      <c r="M515">
        <v>67.41</v>
      </c>
      <c r="N515">
        <v>2233.85</v>
      </c>
      <c r="O515" t="s">
        <v>64</v>
      </c>
      <c r="P515" t="s">
        <v>55</v>
      </c>
    </row>
    <row r="516" spans="1:16" x14ac:dyDescent="0.35">
      <c r="A516" t="s">
        <v>580</v>
      </c>
      <c r="B516">
        <v>42</v>
      </c>
      <c r="C516" t="s">
        <v>55</v>
      </c>
      <c r="D516" t="s">
        <v>56</v>
      </c>
      <c r="E516" t="s">
        <v>55</v>
      </c>
      <c r="F516">
        <v>33</v>
      </c>
      <c r="G516" t="s">
        <v>56</v>
      </c>
      <c r="H516" t="s">
        <v>56</v>
      </c>
      <c r="I516" t="s">
        <v>30</v>
      </c>
      <c r="J516" t="s">
        <v>14</v>
      </c>
      <c r="K516" t="s">
        <v>56</v>
      </c>
      <c r="L516" t="s">
        <v>25</v>
      </c>
      <c r="M516">
        <v>101.57</v>
      </c>
      <c r="N516">
        <v>3504.44</v>
      </c>
      <c r="O516" t="s">
        <v>64</v>
      </c>
      <c r="P516" t="s">
        <v>55</v>
      </c>
    </row>
    <row r="517" spans="1:16" x14ac:dyDescent="0.35">
      <c r="A517" t="s">
        <v>581</v>
      </c>
      <c r="B517">
        <v>68</v>
      </c>
      <c r="C517" t="s">
        <v>56</v>
      </c>
      <c r="D517" t="s">
        <v>56</v>
      </c>
      <c r="E517" t="s">
        <v>55</v>
      </c>
      <c r="F517">
        <v>11</v>
      </c>
      <c r="G517" t="s">
        <v>55</v>
      </c>
      <c r="H517" t="s">
        <v>60</v>
      </c>
      <c r="I517" t="s">
        <v>55</v>
      </c>
      <c r="J517" t="s">
        <v>12</v>
      </c>
      <c r="K517" t="s">
        <v>55</v>
      </c>
      <c r="L517" t="s">
        <v>25</v>
      </c>
      <c r="M517">
        <v>21.99</v>
      </c>
      <c r="N517">
        <v>239.64</v>
      </c>
      <c r="O517" t="s">
        <v>80</v>
      </c>
      <c r="P517" t="s">
        <v>55</v>
      </c>
    </row>
    <row r="518" spans="1:16" x14ac:dyDescent="0.35">
      <c r="A518" t="s">
        <v>582</v>
      </c>
      <c r="B518">
        <v>70</v>
      </c>
      <c r="C518" t="s">
        <v>56</v>
      </c>
      <c r="D518" t="s">
        <v>56</v>
      </c>
      <c r="E518" t="s">
        <v>55</v>
      </c>
      <c r="F518">
        <v>65</v>
      </c>
      <c r="G518" t="s">
        <v>55</v>
      </c>
      <c r="H518" t="s">
        <v>60</v>
      </c>
      <c r="I518" t="s">
        <v>30</v>
      </c>
      <c r="J518" t="s">
        <v>13</v>
      </c>
      <c r="K518" t="s">
        <v>55</v>
      </c>
      <c r="L518" t="s">
        <v>57</v>
      </c>
      <c r="M518">
        <v>71.37</v>
      </c>
      <c r="N518">
        <v>4389.71</v>
      </c>
      <c r="O518" t="s">
        <v>69</v>
      </c>
      <c r="P518" t="s">
        <v>55</v>
      </c>
    </row>
    <row r="519" spans="1:16" x14ac:dyDescent="0.35">
      <c r="A519" t="s">
        <v>583</v>
      </c>
      <c r="B519">
        <v>46</v>
      </c>
      <c r="C519" t="s">
        <v>55</v>
      </c>
      <c r="D519" t="s">
        <v>56</v>
      </c>
      <c r="E519" t="s">
        <v>56</v>
      </c>
      <c r="F519">
        <v>52</v>
      </c>
      <c r="G519" t="s">
        <v>55</v>
      </c>
      <c r="H519" t="s">
        <v>60</v>
      </c>
      <c r="I519" t="s">
        <v>30</v>
      </c>
      <c r="J519" t="s">
        <v>12</v>
      </c>
      <c r="K519" t="s">
        <v>56</v>
      </c>
      <c r="L519" t="s">
        <v>26</v>
      </c>
      <c r="M519">
        <v>82.48</v>
      </c>
      <c r="N519">
        <v>4398.88</v>
      </c>
      <c r="O519" t="s">
        <v>69</v>
      </c>
      <c r="P519" t="s">
        <v>55</v>
      </c>
    </row>
    <row r="520" spans="1:16" x14ac:dyDescent="0.35">
      <c r="A520" t="s">
        <v>584</v>
      </c>
      <c r="B520">
        <v>66</v>
      </c>
      <c r="C520" t="s">
        <v>56</v>
      </c>
      <c r="D520" t="s">
        <v>56</v>
      </c>
      <c r="E520" t="s">
        <v>55</v>
      </c>
      <c r="F520">
        <v>41</v>
      </c>
      <c r="G520" t="s">
        <v>56</v>
      </c>
      <c r="H520" t="s">
        <v>56</v>
      </c>
      <c r="I520" t="s">
        <v>29</v>
      </c>
      <c r="J520" t="s">
        <v>13</v>
      </c>
      <c r="K520" t="s">
        <v>55</v>
      </c>
      <c r="L520" t="s">
        <v>61</v>
      </c>
      <c r="M520">
        <v>47.95</v>
      </c>
      <c r="N520">
        <v>1945.78</v>
      </c>
      <c r="O520" t="s">
        <v>64</v>
      </c>
      <c r="P520" t="s">
        <v>56</v>
      </c>
    </row>
    <row r="521" spans="1:16" x14ac:dyDescent="0.35">
      <c r="A521" t="s">
        <v>585</v>
      </c>
      <c r="B521">
        <v>71</v>
      </c>
      <c r="C521" t="s">
        <v>56</v>
      </c>
      <c r="D521" t="s">
        <v>56</v>
      </c>
      <c r="E521" t="s">
        <v>56</v>
      </c>
      <c r="F521">
        <v>3</v>
      </c>
      <c r="G521" t="s">
        <v>56</v>
      </c>
      <c r="H521" t="s">
        <v>55</v>
      </c>
      <c r="I521" t="s">
        <v>55</v>
      </c>
      <c r="J521" t="s">
        <v>14</v>
      </c>
      <c r="K521" t="s">
        <v>56</v>
      </c>
      <c r="L521" t="s">
        <v>26</v>
      </c>
      <c r="M521">
        <v>28.22</v>
      </c>
      <c r="N521">
        <v>80.09</v>
      </c>
      <c r="O521" t="s">
        <v>58</v>
      </c>
      <c r="P521" t="s">
        <v>55</v>
      </c>
    </row>
    <row r="522" spans="1:16" x14ac:dyDescent="0.35">
      <c r="A522" t="s">
        <v>586</v>
      </c>
      <c r="B522">
        <v>34</v>
      </c>
      <c r="C522" t="s">
        <v>55</v>
      </c>
      <c r="D522" t="s">
        <v>56</v>
      </c>
      <c r="E522" t="s">
        <v>56</v>
      </c>
      <c r="F522">
        <v>48</v>
      </c>
      <c r="G522" t="s">
        <v>56</v>
      </c>
      <c r="H522" t="s">
        <v>56</v>
      </c>
      <c r="I522" t="s">
        <v>30</v>
      </c>
      <c r="J522" t="s">
        <v>12</v>
      </c>
      <c r="K522" t="s">
        <v>55</v>
      </c>
      <c r="L522" t="s">
        <v>61</v>
      </c>
      <c r="M522">
        <v>94.71</v>
      </c>
      <c r="N522">
        <v>4395.78</v>
      </c>
      <c r="O522" t="s">
        <v>66</v>
      </c>
      <c r="P522" t="s">
        <v>56</v>
      </c>
    </row>
    <row r="523" spans="1:16" x14ac:dyDescent="0.35">
      <c r="A523" t="s">
        <v>587</v>
      </c>
      <c r="B523">
        <v>70</v>
      </c>
      <c r="C523" t="s">
        <v>56</v>
      </c>
      <c r="D523" t="s">
        <v>55</v>
      </c>
      <c r="E523" t="s">
        <v>55</v>
      </c>
      <c r="F523">
        <v>64</v>
      </c>
      <c r="G523" t="s">
        <v>55</v>
      </c>
      <c r="H523" t="s">
        <v>60</v>
      </c>
      <c r="I523" t="s">
        <v>30</v>
      </c>
      <c r="J523" t="s">
        <v>14</v>
      </c>
      <c r="K523" t="s">
        <v>56</v>
      </c>
      <c r="L523" t="s">
        <v>25</v>
      </c>
      <c r="M523">
        <v>84.15</v>
      </c>
      <c r="N523">
        <v>5500.11</v>
      </c>
      <c r="O523" t="s">
        <v>64</v>
      </c>
      <c r="P523" t="s">
        <v>55</v>
      </c>
    </row>
    <row r="524" spans="1:16" x14ac:dyDescent="0.35">
      <c r="A524" t="s">
        <v>588</v>
      </c>
      <c r="B524">
        <v>68</v>
      </c>
      <c r="C524" t="s">
        <v>56</v>
      </c>
      <c r="D524" t="s">
        <v>56</v>
      </c>
      <c r="E524" t="s">
        <v>56</v>
      </c>
      <c r="F524">
        <v>38</v>
      </c>
      <c r="G524" t="s">
        <v>56</v>
      </c>
      <c r="H524" t="s">
        <v>55</v>
      </c>
      <c r="I524" t="s">
        <v>55</v>
      </c>
      <c r="J524" t="s">
        <v>14</v>
      </c>
      <c r="K524" t="s">
        <v>55</v>
      </c>
      <c r="L524" t="s">
        <v>57</v>
      </c>
      <c r="M524">
        <v>25.77</v>
      </c>
      <c r="N524">
        <v>930.58</v>
      </c>
      <c r="O524" t="s">
        <v>66</v>
      </c>
      <c r="P524" t="s">
        <v>55</v>
      </c>
    </row>
    <row r="525" spans="1:16" x14ac:dyDescent="0.35">
      <c r="A525" t="s">
        <v>589</v>
      </c>
      <c r="B525">
        <v>38</v>
      </c>
      <c r="C525" t="s">
        <v>55</v>
      </c>
      <c r="D525" t="s">
        <v>55</v>
      </c>
      <c r="E525" t="s">
        <v>56</v>
      </c>
      <c r="F525">
        <v>50</v>
      </c>
      <c r="G525" t="s">
        <v>55</v>
      </c>
      <c r="H525" t="s">
        <v>60</v>
      </c>
      <c r="I525" t="s">
        <v>29</v>
      </c>
      <c r="J525" t="s">
        <v>12</v>
      </c>
      <c r="K525" t="s">
        <v>56</v>
      </c>
      <c r="L525" t="s">
        <v>26</v>
      </c>
      <c r="M525">
        <v>77.239999999999995</v>
      </c>
      <c r="N525">
        <v>3848.53</v>
      </c>
      <c r="O525" t="s">
        <v>58</v>
      </c>
      <c r="P525" t="s">
        <v>56</v>
      </c>
    </row>
    <row r="526" spans="1:16" x14ac:dyDescent="0.35">
      <c r="A526" t="s">
        <v>590</v>
      </c>
      <c r="B526">
        <v>60</v>
      </c>
      <c r="C526" t="s">
        <v>56</v>
      </c>
      <c r="D526" t="s">
        <v>56</v>
      </c>
      <c r="E526" t="s">
        <v>56</v>
      </c>
      <c r="F526">
        <v>33</v>
      </c>
      <c r="G526" t="s">
        <v>55</v>
      </c>
      <c r="H526" t="s">
        <v>60</v>
      </c>
      <c r="I526" t="s">
        <v>29</v>
      </c>
      <c r="J526" t="s">
        <v>12</v>
      </c>
      <c r="K526" t="s">
        <v>55</v>
      </c>
      <c r="L526" t="s">
        <v>61</v>
      </c>
      <c r="M526">
        <v>45.29</v>
      </c>
      <c r="N526">
        <v>1564.92</v>
      </c>
      <c r="O526" t="s">
        <v>62</v>
      </c>
      <c r="P526" t="s">
        <v>56</v>
      </c>
    </row>
    <row r="527" spans="1:16" x14ac:dyDescent="0.35">
      <c r="A527" t="s">
        <v>591</v>
      </c>
      <c r="B527">
        <v>34</v>
      </c>
      <c r="C527" t="s">
        <v>55</v>
      </c>
      <c r="D527" t="s">
        <v>56</v>
      </c>
      <c r="E527" t="s">
        <v>55</v>
      </c>
      <c r="F527">
        <v>44</v>
      </c>
      <c r="G527" t="s">
        <v>56</v>
      </c>
      <c r="H527" t="s">
        <v>56</v>
      </c>
      <c r="I527" t="s">
        <v>55</v>
      </c>
      <c r="J527" t="s">
        <v>13</v>
      </c>
      <c r="K527" t="s">
        <v>55</v>
      </c>
      <c r="L527" t="s">
        <v>26</v>
      </c>
      <c r="M527">
        <v>19.399999999999999</v>
      </c>
      <c r="N527">
        <v>806.91</v>
      </c>
      <c r="O527" t="s">
        <v>66</v>
      </c>
      <c r="P527" t="s">
        <v>56</v>
      </c>
    </row>
    <row r="528" spans="1:16" x14ac:dyDescent="0.35">
      <c r="A528" t="s">
        <v>592</v>
      </c>
      <c r="B528">
        <v>71</v>
      </c>
      <c r="C528" t="s">
        <v>56</v>
      </c>
      <c r="D528" t="s">
        <v>55</v>
      </c>
      <c r="E528" t="s">
        <v>55</v>
      </c>
      <c r="F528">
        <v>56</v>
      </c>
      <c r="G528" t="s">
        <v>55</v>
      </c>
      <c r="H528" t="s">
        <v>60</v>
      </c>
      <c r="I528" t="s">
        <v>30</v>
      </c>
      <c r="J528" t="s">
        <v>13</v>
      </c>
      <c r="K528" t="s">
        <v>55</v>
      </c>
      <c r="L528" t="s">
        <v>57</v>
      </c>
      <c r="M528">
        <v>91.79</v>
      </c>
      <c r="N528">
        <v>4933.59</v>
      </c>
      <c r="O528" t="s">
        <v>64</v>
      </c>
      <c r="P528" t="s">
        <v>55</v>
      </c>
    </row>
    <row r="529" spans="1:16" x14ac:dyDescent="0.35">
      <c r="A529" t="s">
        <v>593</v>
      </c>
      <c r="B529">
        <v>66</v>
      </c>
      <c r="C529" t="s">
        <v>56</v>
      </c>
      <c r="D529" t="s">
        <v>56</v>
      </c>
      <c r="E529" t="s">
        <v>55</v>
      </c>
      <c r="F529">
        <v>7</v>
      </c>
      <c r="G529" t="s">
        <v>56</v>
      </c>
      <c r="H529" t="s">
        <v>56</v>
      </c>
      <c r="I529" t="s">
        <v>30</v>
      </c>
      <c r="J529" t="s">
        <v>12</v>
      </c>
      <c r="K529" t="s">
        <v>55</v>
      </c>
      <c r="L529" t="s">
        <v>26</v>
      </c>
      <c r="M529">
        <v>93.36</v>
      </c>
      <c r="N529">
        <v>623.41</v>
      </c>
      <c r="O529" t="s">
        <v>64</v>
      </c>
      <c r="P529" t="s">
        <v>55</v>
      </c>
    </row>
    <row r="530" spans="1:16" x14ac:dyDescent="0.35">
      <c r="A530" t="s">
        <v>594</v>
      </c>
      <c r="B530">
        <v>20</v>
      </c>
      <c r="C530" t="s">
        <v>55</v>
      </c>
      <c r="D530" t="s">
        <v>55</v>
      </c>
      <c r="E530" t="s">
        <v>55</v>
      </c>
      <c r="F530">
        <v>72</v>
      </c>
      <c r="G530" t="s">
        <v>55</v>
      </c>
      <c r="H530" t="s">
        <v>60</v>
      </c>
      <c r="I530" t="s">
        <v>29</v>
      </c>
      <c r="J530" t="s">
        <v>12</v>
      </c>
      <c r="K530" t="s">
        <v>56</v>
      </c>
      <c r="L530" t="s">
        <v>26</v>
      </c>
      <c r="M530">
        <v>43.74</v>
      </c>
      <c r="N530">
        <v>3288.42</v>
      </c>
      <c r="O530" t="s">
        <v>62</v>
      </c>
      <c r="P530" t="s">
        <v>56</v>
      </c>
    </row>
    <row r="531" spans="1:16" x14ac:dyDescent="0.35">
      <c r="A531" t="s">
        <v>595</v>
      </c>
      <c r="B531">
        <v>65</v>
      </c>
      <c r="C531" t="s">
        <v>56</v>
      </c>
      <c r="D531" t="s">
        <v>55</v>
      </c>
      <c r="E531" t="s">
        <v>56</v>
      </c>
      <c r="F531">
        <v>1</v>
      </c>
      <c r="G531" t="s">
        <v>56</v>
      </c>
      <c r="H531" t="s">
        <v>55</v>
      </c>
      <c r="I531" t="s">
        <v>29</v>
      </c>
      <c r="J531" t="s">
        <v>12</v>
      </c>
      <c r="K531" t="s">
        <v>55</v>
      </c>
      <c r="L531" t="s">
        <v>61</v>
      </c>
      <c r="M531">
        <v>75.489999999999995</v>
      </c>
      <c r="N531">
        <v>71.2</v>
      </c>
      <c r="O531" t="s">
        <v>69</v>
      </c>
      <c r="P531" t="s">
        <v>55</v>
      </c>
    </row>
    <row r="532" spans="1:16" x14ac:dyDescent="0.35">
      <c r="A532" t="s">
        <v>596</v>
      </c>
      <c r="B532">
        <v>25</v>
      </c>
      <c r="C532" t="s">
        <v>55</v>
      </c>
      <c r="D532" t="s">
        <v>55</v>
      </c>
      <c r="E532" t="s">
        <v>55</v>
      </c>
      <c r="F532">
        <v>14</v>
      </c>
      <c r="G532" t="s">
        <v>56</v>
      </c>
      <c r="H532" t="s">
        <v>56</v>
      </c>
      <c r="I532" t="s">
        <v>55</v>
      </c>
      <c r="J532" t="s">
        <v>12</v>
      </c>
      <c r="K532" t="s">
        <v>55</v>
      </c>
      <c r="L532" t="s">
        <v>57</v>
      </c>
      <c r="M532">
        <v>29.46</v>
      </c>
      <c r="N532">
        <v>417.1</v>
      </c>
      <c r="O532" t="s">
        <v>80</v>
      </c>
      <c r="P532" t="s">
        <v>56</v>
      </c>
    </row>
    <row r="533" spans="1:16" x14ac:dyDescent="0.35">
      <c r="A533" t="s">
        <v>597</v>
      </c>
      <c r="B533">
        <v>59</v>
      </c>
      <c r="C533" t="s">
        <v>55</v>
      </c>
      <c r="D533" t="s">
        <v>55</v>
      </c>
      <c r="E533" t="s">
        <v>55</v>
      </c>
      <c r="F533">
        <v>17</v>
      </c>
      <c r="G533" t="s">
        <v>56</v>
      </c>
      <c r="H533" t="s">
        <v>55</v>
      </c>
      <c r="I533" t="s">
        <v>30</v>
      </c>
      <c r="J533" t="s">
        <v>12</v>
      </c>
      <c r="K533" t="s">
        <v>56</v>
      </c>
      <c r="L533" t="s">
        <v>61</v>
      </c>
      <c r="M533">
        <v>97.36</v>
      </c>
      <c r="N533">
        <v>1675.44</v>
      </c>
      <c r="O533" t="s">
        <v>76</v>
      </c>
      <c r="P533" t="s">
        <v>56</v>
      </c>
    </row>
    <row r="534" spans="1:16" x14ac:dyDescent="0.35">
      <c r="A534" t="s">
        <v>598</v>
      </c>
      <c r="B534">
        <v>29</v>
      </c>
      <c r="C534" t="s">
        <v>55</v>
      </c>
      <c r="D534" t="s">
        <v>56</v>
      </c>
      <c r="E534" t="s">
        <v>55</v>
      </c>
      <c r="F534">
        <v>12</v>
      </c>
      <c r="G534" t="s">
        <v>56</v>
      </c>
      <c r="H534" t="s">
        <v>56</v>
      </c>
      <c r="I534" t="s">
        <v>30</v>
      </c>
      <c r="J534" t="s">
        <v>13</v>
      </c>
      <c r="K534" t="s">
        <v>55</v>
      </c>
      <c r="L534" t="s">
        <v>61</v>
      </c>
      <c r="M534">
        <v>117.72</v>
      </c>
      <c r="N534">
        <v>1354.01</v>
      </c>
      <c r="O534" t="s">
        <v>66</v>
      </c>
      <c r="P534" t="s">
        <v>56</v>
      </c>
    </row>
    <row r="535" spans="1:16" x14ac:dyDescent="0.35">
      <c r="A535" t="s">
        <v>599</v>
      </c>
      <c r="B535">
        <v>45</v>
      </c>
      <c r="C535" t="s">
        <v>55</v>
      </c>
      <c r="D535" t="s">
        <v>55</v>
      </c>
      <c r="E535" t="s">
        <v>56</v>
      </c>
      <c r="F535">
        <v>46</v>
      </c>
      <c r="G535" t="s">
        <v>55</v>
      </c>
      <c r="H535" t="s">
        <v>60</v>
      </c>
      <c r="I535" t="s">
        <v>29</v>
      </c>
      <c r="J535" t="s">
        <v>12</v>
      </c>
      <c r="K535" t="s">
        <v>55</v>
      </c>
      <c r="L535" t="s">
        <v>57</v>
      </c>
      <c r="M535">
        <v>55.52</v>
      </c>
      <c r="N535">
        <v>2482.9699999999998</v>
      </c>
      <c r="O535" t="s">
        <v>80</v>
      </c>
      <c r="P535" t="s">
        <v>55</v>
      </c>
    </row>
    <row r="536" spans="1:16" x14ac:dyDescent="0.35">
      <c r="A536" t="s">
        <v>600</v>
      </c>
      <c r="B536">
        <v>66</v>
      </c>
      <c r="C536" t="s">
        <v>56</v>
      </c>
      <c r="D536" t="s">
        <v>55</v>
      </c>
      <c r="E536" t="s">
        <v>55</v>
      </c>
      <c r="F536">
        <v>24</v>
      </c>
      <c r="G536" t="s">
        <v>55</v>
      </c>
      <c r="H536" t="s">
        <v>60</v>
      </c>
      <c r="I536" t="s">
        <v>30</v>
      </c>
      <c r="J536" t="s">
        <v>12</v>
      </c>
      <c r="K536" t="s">
        <v>55</v>
      </c>
      <c r="L536" t="s">
        <v>25</v>
      </c>
      <c r="M536">
        <v>103.82</v>
      </c>
      <c r="N536">
        <v>2535.8200000000002</v>
      </c>
      <c r="O536" t="s">
        <v>64</v>
      </c>
      <c r="P536" t="s">
        <v>55</v>
      </c>
    </row>
    <row r="537" spans="1:16" x14ac:dyDescent="0.35">
      <c r="A537" t="s">
        <v>601</v>
      </c>
      <c r="B537">
        <v>51</v>
      </c>
      <c r="C537" t="s">
        <v>55</v>
      </c>
      <c r="D537" t="s">
        <v>56</v>
      </c>
      <c r="E537" t="s">
        <v>55</v>
      </c>
      <c r="F537">
        <v>60</v>
      </c>
      <c r="G537" t="s">
        <v>55</v>
      </c>
      <c r="H537" t="s">
        <v>60</v>
      </c>
      <c r="I537" t="s">
        <v>30</v>
      </c>
      <c r="J537" t="s">
        <v>12</v>
      </c>
      <c r="K537" t="s">
        <v>56</v>
      </c>
      <c r="L537" t="s">
        <v>61</v>
      </c>
      <c r="M537">
        <v>85.02</v>
      </c>
      <c r="N537">
        <v>4947.34</v>
      </c>
      <c r="O537" t="s">
        <v>58</v>
      </c>
      <c r="P537" t="s">
        <v>55</v>
      </c>
    </row>
    <row r="538" spans="1:16" x14ac:dyDescent="0.35">
      <c r="A538" t="s">
        <v>602</v>
      </c>
      <c r="B538">
        <v>21</v>
      </c>
      <c r="C538" t="s">
        <v>55</v>
      </c>
      <c r="D538" t="s">
        <v>56</v>
      </c>
      <c r="E538" t="s">
        <v>56</v>
      </c>
      <c r="F538">
        <v>66</v>
      </c>
      <c r="G538" t="s">
        <v>55</v>
      </c>
      <c r="H538" t="s">
        <v>60</v>
      </c>
      <c r="I538" t="s">
        <v>30</v>
      </c>
      <c r="J538" t="s">
        <v>12</v>
      </c>
      <c r="K538" t="s">
        <v>55</v>
      </c>
      <c r="L538" t="s">
        <v>61</v>
      </c>
      <c r="M538">
        <v>98.42</v>
      </c>
      <c r="N538">
        <v>6303.48</v>
      </c>
      <c r="O538" t="s">
        <v>80</v>
      </c>
      <c r="P538" t="s">
        <v>56</v>
      </c>
    </row>
    <row r="539" spans="1:16" x14ac:dyDescent="0.35">
      <c r="A539" t="s">
        <v>603</v>
      </c>
      <c r="B539">
        <v>67</v>
      </c>
      <c r="C539" t="s">
        <v>56</v>
      </c>
      <c r="D539" t="s">
        <v>56</v>
      </c>
      <c r="E539" t="s">
        <v>56</v>
      </c>
      <c r="F539">
        <v>60</v>
      </c>
      <c r="G539" t="s">
        <v>56</v>
      </c>
      <c r="H539" t="s">
        <v>55</v>
      </c>
      <c r="I539" t="s">
        <v>30</v>
      </c>
      <c r="J539" t="s">
        <v>12</v>
      </c>
      <c r="K539" t="s">
        <v>55</v>
      </c>
      <c r="L539" t="s">
        <v>25</v>
      </c>
      <c r="M539">
        <v>84.88</v>
      </c>
      <c r="N539">
        <v>5146.1000000000004</v>
      </c>
      <c r="O539" t="s">
        <v>69</v>
      </c>
      <c r="P539" t="s">
        <v>55</v>
      </c>
    </row>
    <row r="540" spans="1:16" x14ac:dyDescent="0.35">
      <c r="A540" t="s">
        <v>604</v>
      </c>
      <c r="B540">
        <v>46</v>
      </c>
      <c r="C540" t="s">
        <v>55</v>
      </c>
      <c r="D540" t="s">
        <v>55</v>
      </c>
      <c r="E540" t="s">
        <v>55</v>
      </c>
      <c r="F540">
        <v>24</v>
      </c>
      <c r="G540" t="s">
        <v>56</v>
      </c>
      <c r="H540" t="s">
        <v>55</v>
      </c>
      <c r="I540" t="s">
        <v>30</v>
      </c>
      <c r="J540" t="s">
        <v>13</v>
      </c>
      <c r="K540" t="s">
        <v>56</v>
      </c>
      <c r="L540" t="s">
        <v>57</v>
      </c>
      <c r="M540">
        <v>70.900000000000006</v>
      </c>
      <c r="N540">
        <v>1680.15</v>
      </c>
      <c r="O540" t="s">
        <v>69</v>
      </c>
      <c r="P540" t="s">
        <v>56</v>
      </c>
    </row>
    <row r="541" spans="1:16" x14ac:dyDescent="0.35">
      <c r="A541" t="s">
        <v>605</v>
      </c>
      <c r="B541">
        <v>48</v>
      </c>
      <c r="C541" t="s">
        <v>55</v>
      </c>
      <c r="D541" t="s">
        <v>55</v>
      </c>
      <c r="E541" t="s">
        <v>55</v>
      </c>
      <c r="F541">
        <v>63</v>
      </c>
      <c r="G541" t="s">
        <v>55</v>
      </c>
      <c r="H541" t="s">
        <v>60</v>
      </c>
      <c r="I541" t="s">
        <v>30</v>
      </c>
      <c r="J541" t="s">
        <v>13</v>
      </c>
      <c r="K541" t="s">
        <v>55</v>
      </c>
      <c r="L541" t="s">
        <v>61</v>
      </c>
      <c r="M541">
        <v>74.38</v>
      </c>
      <c r="N541">
        <v>4480.76</v>
      </c>
      <c r="O541" t="s">
        <v>66</v>
      </c>
      <c r="P541" t="s">
        <v>56</v>
      </c>
    </row>
    <row r="542" spans="1:16" x14ac:dyDescent="0.35">
      <c r="A542" t="s">
        <v>606</v>
      </c>
      <c r="B542">
        <v>19</v>
      </c>
      <c r="C542" t="s">
        <v>55</v>
      </c>
      <c r="D542" t="s">
        <v>56</v>
      </c>
      <c r="E542" t="s">
        <v>56</v>
      </c>
      <c r="F542">
        <v>27</v>
      </c>
      <c r="G542" t="s">
        <v>56</v>
      </c>
      <c r="H542" t="s">
        <v>55</v>
      </c>
      <c r="I542" t="s">
        <v>29</v>
      </c>
      <c r="J542" t="s">
        <v>12</v>
      </c>
      <c r="K542" t="s">
        <v>56</v>
      </c>
      <c r="L542" t="s">
        <v>26</v>
      </c>
      <c r="M542">
        <v>70.790000000000006</v>
      </c>
      <c r="N542">
        <v>1830.63</v>
      </c>
      <c r="O542" t="s">
        <v>80</v>
      </c>
      <c r="P542" t="s">
        <v>55</v>
      </c>
    </row>
    <row r="543" spans="1:16" x14ac:dyDescent="0.35">
      <c r="A543" t="s">
        <v>607</v>
      </c>
      <c r="B543">
        <v>28</v>
      </c>
      <c r="C543" t="s">
        <v>55</v>
      </c>
      <c r="D543" t="s">
        <v>56</v>
      </c>
      <c r="E543" t="s">
        <v>55</v>
      </c>
      <c r="F543">
        <v>63</v>
      </c>
      <c r="G543" t="s">
        <v>55</v>
      </c>
      <c r="H543" t="s">
        <v>60</v>
      </c>
      <c r="I543" t="s">
        <v>29</v>
      </c>
      <c r="J543" t="s">
        <v>13</v>
      </c>
      <c r="K543" t="s">
        <v>56</v>
      </c>
      <c r="L543" t="s">
        <v>26</v>
      </c>
      <c r="M543">
        <v>73.180000000000007</v>
      </c>
      <c r="N543">
        <v>4550.4399999999996</v>
      </c>
      <c r="O543" t="s">
        <v>80</v>
      </c>
      <c r="P543" t="s">
        <v>55</v>
      </c>
    </row>
    <row r="544" spans="1:16" x14ac:dyDescent="0.35">
      <c r="A544" t="s">
        <v>608</v>
      </c>
      <c r="B544">
        <v>58</v>
      </c>
      <c r="C544" t="s">
        <v>55</v>
      </c>
      <c r="D544" t="s">
        <v>55</v>
      </c>
      <c r="E544" t="s">
        <v>55</v>
      </c>
      <c r="F544">
        <v>64</v>
      </c>
      <c r="G544" t="s">
        <v>55</v>
      </c>
      <c r="H544" t="s">
        <v>60</v>
      </c>
      <c r="I544" t="s">
        <v>29</v>
      </c>
      <c r="J544" t="s">
        <v>12</v>
      </c>
      <c r="K544" t="s">
        <v>55</v>
      </c>
      <c r="L544" t="s">
        <v>57</v>
      </c>
      <c r="M544">
        <v>63.64</v>
      </c>
      <c r="N544">
        <v>4127.45</v>
      </c>
      <c r="O544" t="s">
        <v>66</v>
      </c>
      <c r="P544" t="s">
        <v>55</v>
      </c>
    </row>
    <row r="545" spans="1:16" x14ac:dyDescent="0.35">
      <c r="A545" t="s">
        <v>609</v>
      </c>
      <c r="B545">
        <v>73</v>
      </c>
      <c r="C545" t="s">
        <v>56</v>
      </c>
      <c r="D545" t="s">
        <v>55</v>
      </c>
      <c r="E545" t="s">
        <v>56</v>
      </c>
      <c r="F545">
        <v>8</v>
      </c>
      <c r="G545" t="s">
        <v>55</v>
      </c>
      <c r="H545" t="s">
        <v>60</v>
      </c>
      <c r="I545" t="s">
        <v>29</v>
      </c>
      <c r="J545" t="s">
        <v>13</v>
      </c>
      <c r="K545" t="s">
        <v>56</v>
      </c>
      <c r="L545" t="s">
        <v>26</v>
      </c>
      <c r="M545">
        <v>65.930000000000007</v>
      </c>
      <c r="N545">
        <v>552.07000000000005</v>
      </c>
      <c r="O545" t="s">
        <v>58</v>
      </c>
      <c r="P545" t="s">
        <v>56</v>
      </c>
    </row>
    <row r="546" spans="1:16" x14ac:dyDescent="0.35">
      <c r="A546" t="s">
        <v>610</v>
      </c>
      <c r="B546">
        <v>59</v>
      </c>
      <c r="C546" t="s">
        <v>55</v>
      </c>
      <c r="D546" t="s">
        <v>55</v>
      </c>
      <c r="E546" t="s">
        <v>55</v>
      </c>
      <c r="F546">
        <v>56</v>
      </c>
      <c r="G546" t="s">
        <v>55</v>
      </c>
      <c r="H546" t="s">
        <v>60</v>
      </c>
      <c r="I546" t="s">
        <v>30</v>
      </c>
      <c r="J546" t="s">
        <v>13</v>
      </c>
      <c r="K546" t="s">
        <v>55</v>
      </c>
      <c r="L546" t="s">
        <v>26</v>
      </c>
      <c r="M546">
        <v>81.61</v>
      </c>
      <c r="N546">
        <v>4416.4399999999996</v>
      </c>
      <c r="O546" t="s">
        <v>76</v>
      </c>
      <c r="P546" t="s">
        <v>55</v>
      </c>
    </row>
    <row r="547" spans="1:16" x14ac:dyDescent="0.35">
      <c r="A547" t="s">
        <v>611</v>
      </c>
      <c r="B547">
        <v>56</v>
      </c>
      <c r="C547" t="s">
        <v>55</v>
      </c>
      <c r="D547" t="s">
        <v>55</v>
      </c>
      <c r="E547" t="s">
        <v>56</v>
      </c>
      <c r="F547">
        <v>38</v>
      </c>
      <c r="G547" t="s">
        <v>55</v>
      </c>
      <c r="H547" t="s">
        <v>60</v>
      </c>
      <c r="I547" t="s">
        <v>29</v>
      </c>
      <c r="J547" t="s">
        <v>14</v>
      </c>
      <c r="K547" t="s">
        <v>55</v>
      </c>
      <c r="L547" t="s">
        <v>61</v>
      </c>
      <c r="M547">
        <v>71.989999999999995</v>
      </c>
      <c r="N547">
        <v>2848.72</v>
      </c>
      <c r="O547" t="s">
        <v>76</v>
      </c>
      <c r="P547" t="s">
        <v>55</v>
      </c>
    </row>
    <row r="548" spans="1:16" x14ac:dyDescent="0.35">
      <c r="A548" t="s">
        <v>612</v>
      </c>
      <c r="B548">
        <v>62</v>
      </c>
      <c r="C548" t="s">
        <v>56</v>
      </c>
      <c r="D548" t="s">
        <v>56</v>
      </c>
      <c r="E548" t="s">
        <v>55</v>
      </c>
      <c r="F548">
        <v>17</v>
      </c>
      <c r="G548" t="s">
        <v>56</v>
      </c>
      <c r="H548" t="s">
        <v>55</v>
      </c>
      <c r="I548" t="s">
        <v>30</v>
      </c>
      <c r="J548" t="s">
        <v>12</v>
      </c>
      <c r="K548" t="s">
        <v>55</v>
      </c>
      <c r="L548" t="s">
        <v>25</v>
      </c>
      <c r="M548">
        <v>94.69</v>
      </c>
      <c r="N548">
        <v>1558.49</v>
      </c>
      <c r="O548" t="s">
        <v>80</v>
      </c>
      <c r="P548" t="s">
        <v>55</v>
      </c>
    </row>
    <row r="549" spans="1:16" x14ac:dyDescent="0.35">
      <c r="A549" t="s">
        <v>613</v>
      </c>
      <c r="B549">
        <v>40</v>
      </c>
      <c r="C549" t="s">
        <v>55</v>
      </c>
      <c r="D549" t="s">
        <v>55</v>
      </c>
      <c r="E549" t="s">
        <v>55</v>
      </c>
      <c r="F549">
        <v>21</v>
      </c>
      <c r="G549" t="s">
        <v>56</v>
      </c>
      <c r="H549" t="s">
        <v>55</v>
      </c>
      <c r="I549" t="s">
        <v>30</v>
      </c>
      <c r="J549" t="s">
        <v>12</v>
      </c>
      <c r="K549" t="s">
        <v>56</v>
      </c>
      <c r="L549" t="s">
        <v>61</v>
      </c>
      <c r="M549">
        <v>76.03</v>
      </c>
      <c r="N549">
        <v>1543.77</v>
      </c>
      <c r="O549" t="s">
        <v>76</v>
      </c>
      <c r="P549" t="s">
        <v>56</v>
      </c>
    </row>
    <row r="550" spans="1:16" x14ac:dyDescent="0.35">
      <c r="A550" t="s">
        <v>614</v>
      </c>
      <c r="B550">
        <v>68</v>
      </c>
      <c r="C550" t="s">
        <v>56</v>
      </c>
      <c r="D550" t="s">
        <v>55</v>
      </c>
      <c r="E550" t="s">
        <v>56</v>
      </c>
      <c r="F550">
        <v>72</v>
      </c>
      <c r="G550" t="s">
        <v>56</v>
      </c>
      <c r="H550" t="s">
        <v>55</v>
      </c>
      <c r="I550" t="s">
        <v>30</v>
      </c>
      <c r="J550" t="s">
        <v>14</v>
      </c>
      <c r="K550" t="s">
        <v>56</v>
      </c>
      <c r="L550" t="s">
        <v>61</v>
      </c>
      <c r="M550">
        <v>116.33</v>
      </c>
      <c r="N550">
        <v>8313.27</v>
      </c>
      <c r="O550" t="s">
        <v>66</v>
      </c>
      <c r="P550" t="s">
        <v>55</v>
      </c>
    </row>
    <row r="551" spans="1:16" x14ac:dyDescent="0.35">
      <c r="A551" t="s">
        <v>615</v>
      </c>
      <c r="B551">
        <v>66</v>
      </c>
      <c r="C551" t="s">
        <v>56</v>
      </c>
      <c r="D551" t="s">
        <v>56</v>
      </c>
      <c r="E551" t="s">
        <v>56</v>
      </c>
      <c r="F551">
        <v>14</v>
      </c>
      <c r="G551" t="s">
        <v>56</v>
      </c>
      <c r="H551" t="s">
        <v>55</v>
      </c>
      <c r="I551" t="s">
        <v>55</v>
      </c>
      <c r="J551" t="s">
        <v>12</v>
      </c>
      <c r="K551" t="s">
        <v>56</v>
      </c>
      <c r="L551" t="s">
        <v>25</v>
      </c>
      <c r="M551">
        <v>28.93</v>
      </c>
      <c r="N551">
        <v>388.35</v>
      </c>
      <c r="O551" t="s">
        <v>64</v>
      </c>
      <c r="P551" t="s">
        <v>56</v>
      </c>
    </row>
    <row r="552" spans="1:16" x14ac:dyDescent="0.35">
      <c r="A552" t="s">
        <v>616</v>
      </c>
      <c r="B552">
        <v>66</v>
      </c>
      <c r="C552" t="s">
        <v>56</v>
      </c>
      <c r="D552" t="s">
        <v>55</v>
      </c>
      <c r="E552" t="s">
        <v>56</v>
      </c>
      <c r="F552">
        <v>20</v>
      </c>
      <c r="G552" t="s">
        <v>55</v>
      </c>
      <c r="H552" t="s">
        <v>60</v>
      </c>
      <c r="I552" t="s">
        <v>29</v>
      </c>
      <c r="J552" t="s">
        <v>14</v>
      </c>
      <c r="K552" t="s">
        <v>56</v>
      </c>
      <c r="L552" t="s">
        <v>61</v>
      </c>
      <c r="M552">
        <v>57.56</v>
      </c>
      <c r="N552">
        <v>1139.56</v>
      </c>
      <c r="O552" t="s">
        <v>62</v>
      </c>
      <c r="P552" t="s">
        <v>55</v>
      </c>
    </row>
    <row r="553" spans="1:16" x14ac:dyDescent="0.35">
      <c r="A553" t="s">
        <v>617</v>
      </c>
      <c r="B553">
        <v>71</v>
      </c>
      <c r="C553" t="s">
        <v>56</v>
      </c>
      <c r="D553" t="s">
        <v>55</v>
      </c>
      <c r="E553" t="s">
        <v>55</v>
      </c>
      <c r="F553">
        <v>37</v>
      </c>
      <c r="G553" t="s">
        <v>56</v>
      </c>
      <c r="H553" t="s">
        <v>56</v>
      </c>
      <c r="I553" t="s">
        <v>29</v>
      </c>
      <c r="J553" t="s">
        <v>13</v>
      </c>
      <c r="K553" t="s">
        <v>55</v>
      </c>
      <c r="L553" t="s">
        <v>57</v>
      </c>
      <c r="M553">
        <v>66.599999999999994</v>
      </c>
      <c r="N553">
        <v>2361.1799999999998</v>
      </c>
      <c r="O553" t="s">
        <v>64</v>
      </c>
      <c r="P553" t="s">
        <v>55</v>
      </c>
    </row>
    <row r="554" spans="1:16" x14ac:dyDescent="0.35">
      <c r="A554" t="s">
        <v>618</v>
      </c>
      <c r="B554">
        <v>68</v>
      </c>
      <c r="C554" t="s">
        <v>56</v>
      </c>
      <c r="D554" t="s">
        <v>56</v>
      </c>
      <c r="E554" t="s">
        <v>56</v>
      </c>
      <c r="F554">
        <v>55</v>
      </c>
      <c r="G554" t="s">
        <v>55</v>
      </c>
      <c r="H554" t="s">
        <v>60</v>
      </c>
      <c r="I554" t="s">
        <v>30</v>
      </c>
      <c r="J554" t="s">
        <v>14</v>
      </c>
      <c r="K554" t="s">
        <v>55</v>
      </c>
      <c r="L554" t="s">
        <v>25</v>
      </c>
      <c r="M554">
        <v>92.13</v>
      </c>
      <c r="N554">
        <v>5231.42</v>
      </c>
      <c r="O554" t="s">
        <v>58</v>
      </c>
      <c r="P554" t="s">
        <v>55</v>
      </c>
    </row>
    <row r="555" spans="1:16" x14ac:dyDescent="0.35">
      <c r="A555" t="s">
        <v>619</v>
      </c>
      <c r="B555">
        <v>22</v>
      </c>
      <c r="C555" t="s">
        <v>55</v>
      </c>
      <c r="D555" t="s">
        <v>56</v>
      </c>
      <c r="E555" t="s">
        <v>55</v>
      </c>
      <c r="F555">
        <v>41</v>
      </c>
      <c r="G555" t="s">
        <v>56</v>
      </c>
      <c r="H555" t="s">
        <v>55</v>
      </c>
      <c r="I555" t="s">
        <v>30</v>
      </c>
      <c r="J555" t="s">
        <v>12</v>
      </c>
      <c r="K555" t="s">
        <v>56</v>
      </c>
      <c r="L555" t="s">
        <v>61</v>
      </c>
      <c r="M555">
        <v>102.07</v>
      </c>
      <c r="N555">
        <v>4387</v>
      </c>
      <c r="O555" t="s">
        <v>69</v>
      </c>
      <c r="P555" t="s">
        <v>56</v>
      </c>
    </row>
    <row r="556" spans="1:16" x14ac:dyDescent="0.35">
      <c r="A556" t="s">
        <v>620</v>
      </c>
      <c r="B556">
        <v>63</v>
      </c>
      <c r="C556" t="s">
        <v>56</v>
      </c>
      <c r="D556" t="s">
        <v>55</v>
      </c>
      <c r="E556" t="s">
        <v>55</v>
      </c>
      <c r="F556">
        <v>52</v>
      </c>
      <c r="G556" t="s">
        <v>55</v>
      </c>
      <c r="H556" t="s">
        <v>60</v>
      </c>
      <c r="I556" t="s">
        <v>55</v>
      </c>
      <c r="J556" t="s">
        <v>13</v>
      </c>
      <c r="K556" t="s">
        <v>55</v>
      </c>
      <c r="L556" t="s">
        <v>25</v>
      </c>
      <c r="M556">
        <v>18.09</v>
      </c>
      <c r="N556">
        <v>915.82</v>
      </c>
      <c r="O556" t="s">
        <v>62</v>
      </c>
      <c r="P556" t="s">
        <v>55</v>
      </c>
    </row>
    <row r="557" spans="1:16" x14ac:dyDescent="0.35">
      <c r="A557" t="s">
        <v>621</v>
      </c>
      <c r="B557">
        <v>62</v>
      </c>
      <c r="C557" t="s">
        <v>56</v>
      </c>
      <c r="D557" t="s">
        <v>55</v>
      </c>
      <c r="E557" t="s">
        <v>55</v>
      </c>
      <c r="F557">
        <v>27</v>
      </c>
      <c r="G557" t="s">
        <v>55</v>
      </c>
      <c r="H557" t="s">
        <v>60</v>
      </c>
      <c r="I557" t="s">
        <v>55</v>
      </c>
      <c r="J557" t="s">
        <v>13</v>
      </c>
      <c r="K557" t="s">
        <v>55</v>
      </c>
      <c r="L557" t="s">
        <v>61</v>
      </c>
      <c r="M557">
        <v>28.57</v>
      </c>
      <c r="N557">
        <v>732.91</v>
      </c>
      <c r="O557" t="s">
        <v>64</v>
      </c>
      <c r="P557" t="s">
        <v>55</v>
      </c>
    </row>
    <row r="558" spans="1:16" x14ac:dyDescent="0.35">
      <c r="A558" t="s">
        <v>622</v>
      </c>
      <c r="B558">
        <v>64</v>
      </c>
      <c r="C558" t="s">
        <v>56</v>
      </c>
      <c r="D558" t="s">
        <v>56</v>
      </c>
      <c r="E558" t="s">
        <v>55</v>
      </c>
      <c r="F558">
        <v>28</v>
      </c>
      <c r="G558" t="s">
        <v>55</v>
      </c>
      <c r="H558" t="s">
        <v>60</v>
      </c>
      <c r="I558" t="s">
        <v>30</v>
      </c>
      <c r="J558" t="s">
        <v>12</v>
      </c>
      <c r="K558" t="s">
        <v>56</v>
      </c>
      <c r="L558" t="s">
        <v>26</v>
      </c>
      <c r="M558">
        <v>114.52</v>
      </c>
      <c r="N558">
        <v>3221.93</v>
      </c>
      <c r="O558" t="s">
        <v>66</v>
      </c>
      <c r="P558" t="s">
        <v>56</v>
      </c>
    </row>
    <row r="559" spans="1:16" x14ac:dyDescent="0.35">
      <c r="A559" t="s">
        <v>623</v>
      </c>
      <c r="B559">
        <v>67</v>
      </c>
      <c r="C559" t="s">
        <v>56</v>
      </c>
      <c r="D559" t="s">
        <v>55</v>
      </c>
      <c r="E559" t="s">
        <v>55</v>
      </c>
      <c r="F559">
        <v>65</v>
      </c>
      <c r="G559" t="s">
        <v>56</v>
      </c>
      <c r="H559" t="s">
        <v>55</v>
      </c>
      <c r="I559" t="s">
        <v>30</v>
      </c>
      <c r="J559" t="s">
        <v>12</v>
      </c>
      <c r="K559" t="s">
        <v>55</v>
      </c>
      <c r="L559" t="s">
        <v>26</v>
      </c>
      <c r="M559">
        <v>107.83</v>
      </c>
      <c r="N559">
        <v>7380.15</v>
      </c>
      <c r="O559" t="s">
        <v>58</v>
      </c>
      <c r="P559" t="s">
        <v>56</v>
      </c>
    </row>
    <row r="560" spans="1:16" x14ac:dyDescent="0.35">
      <c r="A560" t="s">
        <v>624</v>
      </c>
      <c r="B560">
        <v>65</v>
      </c>
      <c r="C560" t="s">
        <v>56</v>
      </c>
      <c r="D560" t="s">
        <v>56</v>
      </c>
      <c r="E560" t="s">
        <v>55</v>
      </c>
      <c r="F560">
        <v>44</v>
      </c>
      <c r="G560" t="s">
        <v>56</v>
      </c>
      <c r="H560" t="s">
        <v>55</v>
      </c>
      <c r="I560" t="s">
        <v>55</v>
      </c>
      <c r="J560" t="s">
        <v>12</v>
      </c>
      <c r="K560" t="s">
        <v>56</v>
      </c>
      <c r="L560" t="s">
        <v>61</v>
      </c>
      <c r="M560">
        <v>24.24</v>
      </c>
      <c r="N560">
        <v>1034.26</v>
      </c>
      <c r="O560" t="s">
        <v>58</v>
      </c>
      <c r="P560" t="s">
        <v>56</v>
      </c>
    </row>
    <row r="561" spans="1:16" x14ac:dyDescent="0.35">
      <c r="A561" t="s">
        <v>625</v>
      </c>
      <c r="B561">
        <v>30</v>
      </c>
      <c r="C561" t="s">
        <v>55</v>
      </c>
      <c r="D561" t="s">
        <v>55</v>
      </c>
      <c r="E561" t="s">
        <v>55</v>
      </c>
      <c r="F561">
        <v>13</v>
      </c>
      <c r="G561" t="s">
        <v>55</v>
      </c>
      <c r="H561" t="s">
        <v>60</v>
      </c>
      <c r="I561" t="s">
        <v>30</v>
      </c>
      <c r="J561" t="s">
        <v>14</v>
      </c>
      <c r="K561" t="s">
        <v>56</v>
      </c>
      <c r="L561" t="s">
        <v>26</v>
      </c>
      <c r="M561">
        <v>91.24</v>
      </c>
      <c r="N561">
        <v>1133.47</v>
      </c>
      <c r="O561" t="s">
        <v>80</v>
      </c>
      <c r="P561" t="s">
        <v>56</v>
      </c>
    </row>
    <row r="562" spans="1:16" x14ac:dyDescent="0.35">
      <c r="A562" t="s">
        <v>626</v>
      </c>
      <c r="B562">
        <v>41</v>
      </c>
      <c r="C562" t="s">
        <v>55</v>
      </c>
      <c r="D562" t="s">
        <v>55</v>
      </c>
      <c r="E562" t="s">
        <v>55</v>
      </c>
      <c r="F562">
        <v>34</v>
      </c>
      <c r="G562" t="s">
        <v>55</v>
      </c>
      <c r="H562" t="s">
        <v>60</v>
      </c>
      <c r="I562" t="s">
        <v>29</v>
      </c>
      <c r="J562" t="s">
        <v>14</v>
      </c>
      <c r="K562" t="s">
        <v>55</v>
      </c>
      <c r="L562" t="s">
        <v>61</v>
      </c>
      <c r="M562">
        <v>56.68</v>
      </c>
      <c r="N562">
        <v>1849.15</v>
      </c>
      <c r="O562" t="s">
        <v>64</v>
      </c>
      <c r="P562" t="s">
        <v>55</v>
      </c>
    </row>
    <row r="563" spans="1:16" x14ac:dyDescent="0.35">
      <c r="A563" t="s">
        <v>627</v>
      </c>
      <c r="B563">
        <v>63</v>
      </c>
      <c r="C563" t="s">
        <v>56</v>
      </c>
      <c r="D563" t="s">
        <v>55</v>
      </c>
      <c r="E563" t="s">
        <v>56</v>
      </c>
      <c r="F563">
        <v>66</v>
      </c>
      <c r="G563" t="s">
        <v>56</v>
      </c>
      <c r="H563" t="s">
        <v>55</v>
      </c>
      <c r="I563" t="s">
        <v>55</v>
      </c>
      <c r="J563" t="s">
        <v>12</v>
      </c>
      <c r="K563" t="s">
        <v>56</v>
      </c>
      <c r="L563" t="s">
        <v>61</v>
      </c>
      <c r="M563">
        <v>29.33</v>
      </c>
      <c r="N563">
        <v>1905.43</v>
      </c>
      <c r="O563" t="s">
        <v>58</v>
      </c>
      <c r="P563" t="s">
        <v>55</v>
      </c>
    </row>
    <row r="564" spans="1:16" x14ac:dyDescent="0.35">
      <c r="A564" t="s">
        <v>628</v>
      </c>
      <c r="B564">
        <v>72</v>
      </c>
      <c r="C564" t="s">
        <v>56</v>
      </c>
      <c r="D564" t="s">
        <v>55</v>
      </c>
      <c r="E564" t="s">
        <v>56</v>
      </c>
      <c r="F564">
        <v>16</v>
      </c>
      <c r="G564" t="s">
        <v>55</v>
      </c>
      <c r="H564" t="s">
        <v>60</v>
      </c>
      <c r="I564" t="s">
        <v>30</v>
      </c>
      <c r="J564" t="s">
        <v>12</v>
      </c>
      <c r="K564" t="s">
        <v>56</v>
      </c>
      <c r="L564" t="s">
        <v>26</v>
      </c>
      <c r="M564">
        <v>85.25</v>
      </c>
      <c r="N564">
        <v>1343.45</v>
      </c>
      <c r="O564" t="s">
        <v>80</v>
      </c>
      <c r="P564" t="s">
        <v>56</v>
      </c>
    </row>
    <row r="565" spans="1:16" x14ac:dyDescent="0.35">
      <c r="A565" t="s">
        <v>629</v>
      </c>
      <c r="B565">
        <v>68</v>
      </c>
      <c r="C565" t="s">
        <v>56</v>
      </c>
      <c r="D565" t="s">
        <v>56</v>
      </c>
      <c r="E565" t="s">
        <v>56</v>
      </c>
      <c r="F565">
        <v>54</v>
      </c>
      <c r="G565" t="s">
        <v>55</v>
      </c>
      <c r="H565" t="s">
        <v>60</v>
      </c>
      <c r="I565" t="s">
        <v>30</v>
      </c>
      <c r="J565" t="s">
        <v>14</v>
      </c>
      <c r="K565" t="s">
        <v>56</v>
      </c>
      <c r="L565" t="s">
        <v>26</v>
      </c>
      <c r="M565">
        <v>106.98</v>
      </c>
      <c r="N565">
        <v>5431.75</v>
      </c>
      <c r="O565" t="s">
        <v>80</v>
      </c>
      <c r="P565" t="s">
        <v>55</v>
      </c>
    </row>
    <row r="566" spans="1:16" x14ac:dyDescent="0.35">
      <c r="A566" t="s">
        <v>630</v>
      </c>
      <c r="B566">
        <v>73</v>
      </c>
      <c r="C566" t="s">
        <v>56</v>
      </c>
      <c r="D566" t="s">
        <v>56</v>
      </c>
      <c r="E566" t="s">
        <v>55</v>
      </c>
      <c r="F566">
        <v>62</v>
      </c>
      <c r="G566" t="s">
        <v>55</v>
      </c>
      <c r="H566" t="s">
        <v>60</v>
      </c>
      <c r="I566" t="s">
        <v>29</v>
      </c>
      <c r="J566" t="s">
        <v>14</v>
      </c>
      <c r="K566" t="s">
        <v>55</v>
      </c>
      <c r="L566" t="s">
        <v>57</v>
      </c>
      <c r="M566">
        <v>68.8</v>
      </c>
      <c r="N566">
        <v>4319.71</v>
      </c>
      <c r="O566" t="s">
        <v>58</v>
      </c>
      <c r="P566" t="s">
        <v>55</v>
      </c>
    </row>
    <row r="567" spans="1:16" x14ac:dyDescent="0.35">
      <c r="A567" t="s">
        <v>631</v>
      </c>
      <c r="B567">
        <v>58</v>
      </c>
      <c r="C567" t="s">
        <v>55</v>
      </c>
      <c r="D567" t="s">
        <v>55</v>
      </c>
      <c r="E567" t="s">
        <v>55</v>
      </c>
      <c r="F567">
        <v>58</v>
      </c>
      <c r="G567" t="s">
        <v>55</v>
      </c>
      <c r="H567" t="s">
        <v>60</v>
      </c>
      <c r="I567" t="s">
        <v>30</v>
      </c>
      <c r="J567" t="s">
        <v>12</v>
      </c>
      <c r="K567" t="s">
        <v>55</v>
      </c>
      <c r="L567" t="s">
        <v>57</v>
      </c>
      <c r="M567">
        <v>115.01</v>
      </c>
      <c r="N567">
        <v>6541.7</v>
      </c>
      <c r="O567" t="s">
        <v>69</v>
      </c>
      <c r="P567" t="s">
        <v>56</v>
      </c>
    </row>
    <row r="568" spans="1:16" x14ac:dyDescent="0.35">
      <c r="A568" t="s">
        <v>632</v>
      </c>
      <c r="B568">
        <v>74</v>
      </c>
      <c r="C568" t="s">
        <v>56</v>
      </c>
      <c r="D568" t="s">
        <v>55</v>
      </c>
      <c r="E568" t="s">
        <v>55</v>
      </c>
      <c r="F568">
        <v>12</v>
      </c>
      <c r="G568" t="s">
        <v>56</v>
      </c>
      <c r="H568" t="s">
        <v>55</v>
      </c>
      <c r="I568" t="s">
        <v>55</v>
      </c>
      <c r="J568" t="s">
        <v>13</v>
      </c>
      <c r="K568" t="s">
        <v>55</v>
      </c>
      <c r="L568" t="s">
        <v>57</v>
      </c>
      <c r="M568">
        <v>19.489999999999998</v>
      </c>
      <c r="N568">
        <v>235.55</v>
      </c>
      <c r="O568" t="s">
        <v>58</v>
      </c>
      <c r="P568" t="s">
        <v>56</v>
      </c>
    </row>
    <row r="569" spans="1:16" x14ac:dyDescent="0.35">
      <c r="A569" t="s">
        <v>633</v>
      </c>
      <c r="B569">
        <v>52</v>
      </c>
      <c r="C569" t="s">
        <v>55</v>
      </c>
      <c r="D569" t="s">
        <v>56</v>
      </c>
      <c r="E569" t="s">
        <v>56</v>
      </c>
      <c r="F569">
        <v>61</v>
      </c>
      <c r="G569" t="s">
        <v>56</v>
      </c>
      <c r="H569" t="s">
        <v>56</v>
      </c>
      <c r="I569" t="s">
        <v>29</v>
      </c>
      <c r="J569" t="s">
        <v>14</v>
      </c>
      <c r="K569" t="s">
        <v>56</v>
      </c>
      <c r="L569" t="s">
        <v>25</v>
      </c>
      <c r="M569">
        <v>51</v>
      </c>
      <c r="N569">
        <v>3001.17</v>
      </c>
      <c r="O569" t="s">
        <v>66</v>
      </c>
      <c r="P569" t="s">
        <v>55</v>
      </c>
    </row>
    <row r="570" spans="1:16" x14ac:dyDescent="0.35">
      <c r="A570" t="s">
        <v>634</v>
      </c>
      <c r="B570">
        <v>74</v>
      </c>
      <c r="C570" t="s">
        <v>56</v>
      </c>
      <c r="D570" t="s">
        <v>55</v>
      </c>
      <c r="E570" t="s">
        <v>56</v>
      </c>
      <c r="F570">
        <v>69</v>
      </c>
      <c r="G570" t="s">
        <v>55</v>
      </c>
      <c r="H570" t="s">
        <v>60</v>
      </c>
      <c r="I570" t="s">
        <v>29</v>
      </c>
      <c r="J570" t="s">
        <v>13</v>
      </c>
      <c r="K570" t="s">
        <v>55</v>
      </c>
      <c r="L570" t="s">
        <v>25</v>
      </c>
      <c r="M570">
        <v>40.93</v>
      </c>
      <c r="N570">
        <v>2802.83</v>
      </c>
      <c r="O570" t="s">
        <v>66</v>
      </c>
      <c r="P570" t="s">
        <v>55</v>
      </c>
    </row>
    <row r="571" spans="1:16" x14ac:dyDescent="0.35">
      <c r="A571" t="s">
        <v>635</v>
      </c>
      <c r="B571">
        <v>51</v>
      </c>
      <c r="C571" t="s">
        <v>55</v>
      </c>
      <c r="D571" t="s">
        <v>55</v>
      </c>
      <c r="E571" t="s">
        <v>55</v>
      </c>
      <c r="F571">
        <v>33</v>
      </c>
      <c r="G571" t="s">
        <v>56</v>
      </c>
      <c r="H571" t="s">
        <v>55</v>
      </c>
      <c r="I571" t="s">
        <v>30</v>
      </c>
      <c r="J571" t="s">
        <v>12</v>
      </c>
      <c r="K571" t="s">
        <v>56</v>
      </c>
      <c r="L571" t="s">
        <v>26</v>
      </c>
      <c r="M571">
        <v>74.48</v>
      </c>
      <c r="N571">
        <v>2400.86</v>
      </c>
      <c r="O571" t="s">
        <v>62</v>
      </c>
      <c r="P571" t="s">
        <v>56</v>
      </c>
    </row>
    <row r="572" spans="1:16" x14ac:dyDescent="0.35">
      <c r="A572" t="s">
        <v>636</v>
      </c>
      <c r="B572">
        <v>21</v>
      </c>
      <c r="C572" t="s">
        <v>55</v>
      </c>
      <c r="D572" t="s">
        <v>55</v>
      </c>
      <c r="E572" t="s">
        <v>56</v>
      </c>
      <c r="F572">
        <v>4</v>
      </c>
      <c r="G572" t="s">
        <v>55</v>
      </c>
      <c r="H572" t="s">
        <v>60</v>
      </c>
      <c r="I572" t="s">
        <v>29</v>
      </c>
      <c r="J572" t="s">
        <v>12</v>
      </c>
      <c r="K572" t="s">
        <v>55</v>
      </c>
      <c r="L572" t="s">
        <v>26</v>
      </c>
      <c r="M572">
        <v>75.72</v>
      </c>
      <c r="N572">
        <v>294.08</v>
      </c>
      <c r="O572" t="s">
        <v>80</v>
      </c>
      <c r="P572" t="s">
        <v>55</v>
      </c>
    </row>
    <row r="573" spans="1:16" x14ac:dyDescent="0.35">
      <c r="A573" t="s">
        <v>637</v>
      </c>
      <c r="B573">
        <v>21</v>
      </c>
      <c r="C573" t="s">
        <v>55</v>
      </c>
      <c r="D573" t="s">
        <v>56</v>
      </c>
      <c r="E573" t="s">
        <v>56</v>
      </c>
      <c r="F573">
        <v>31</v>
      </c>
      <c r="G573" t="s">
        <v>55</v>
      </c>
      <c r="H573" t="s">
        <v>60</v>
      </c>
      <c r="I573" t="s">
        <v>29</v>
      </c>
      <c r="J573" t="s">
        <v>14</v>
      </c>
      <c r="K573" t="s">
        <v>55</v>
      </c>
      <c r="L573" t="s">
        <v>26</v>
      </c>
      <c r="M573">
        <v>58.59</v>
      </c>
      <c r="N573">
        <v>1796.04</v>
      </c>
      <c r="O573" t="s">
        <v>64</v>
      </c>
      <c r="P573" t="s">
        <v>55</v>
      </c>
    </row>
    <row r="574" spans="1:16" x14ac:dyDescent="0.35">
      <c r="A574" t="s">
        <v>638</v>
      </c>
      <c r="B574">
        <v>58</v>
      </c>
      <c r="C574" t="s">
        <v>55</v>
      </c>
      <c r="D574" t="s">
        <v>56</v>
      </c>
      <c r="E574" t="s">
        <v>56</v>
      </c>
      <c r="F574">
        <v>35</v>
      </c>
      <c r="G574" t="s">
        <v>56</v>
      </c>
      <c r="H574" t="s">
        <v>56</v>
      </c>
      <c r="I574" t="s">
        <v>29</v>
      </c>
      <c r="J574" t="s">
        <v>13</v>
      </c>
      <c r="K574" t="s">
        <v>56</v>
      </c>
      <c r="L574" t="s">
        <v>26</v>
      </c>
      <c r="M574">
        <v>56.27</v>
      </c>
      <c r="N574">
        <v>1871.11</v>
      </c>
      <c r="O574" t="s">
        <v>62</v>
      </c>
      <c r="P574" t="s">
        <v>55</v>
      </c>
    </row>
    <row r="575" spans="1:16" x14ac:dyDescent="0.35">
      <c r="A575" t="s">
        <v>639</v>
      </c>
      <c r="B575">
        <v>68</v>
      </c>
      <c r="C575" t="s">
        <v>56</v>
      </c>
      <c r="D575" t="s">
        <v>56</v>
      </c>
      <c r="E575" t="s">
        <v>55</v>
      </c>
      <c r="F575">
        <v>70</v>
      </c>
      <c r="G575" t="s">
        <v>56</v>
      </c>
      <c r="H575" t="s">
        <v>55</v>
      </c>
      <c r="I575" t="s">
        <v>55</v>
      </c>
      <c r="J575" t="s">
        <v>12</v>
      </c>
      <c r="K575" t="s">
        <v>55</v>
      </c>
      <c r="L575" t="s">
        <v>26</v>
      </c>
      <c r="M575">
        <v>27.75</v>
      </c>
      <c r="N575">
        <v>2049.9899999999998</v>
      </c>
      <c r="O575" t="s">
        <v>69</v>
      </c>
      <c r="P575" t="s">
        <v>55</v>
      </c>
    </row>
    <row r="576" spans="1:16" x14ac:dyDescent="0.35">
      <c r="A576" t="s">
        <v>640</v>
      </c>
      <c r="B576">
        <v>28</v>
      </c>
      <c r="C576" t="s">
        <v>55</v>
      </c>
      <c r="D576" t="s">
        <v>56</v>
      </c>
      <c r="E576" t="s">
        <v>56</v>
      </c>
      <c r="F576">
        <v>62</v>
      </c>
      <c r="G576" t="s">
        <v>55</v>
      </c>
      <c r="H576" t="s">
        <v>60</v>
      </c>
      <c r="I576" t="s">
        <v>30</v>
      </c>
      <c r="J576" t="s">
        <v>14</v>
      </c>
      <c r="K576" t="s">
        <v>55</v>
      </c>
      <c r="L576" t="s">
        <v>25</v>
      </c>
      <c r="M576">
        <v>112.12</v>
      </c>
      <c r="N576">
        <v>6711.83</v>
      </c>
      <c r="O576" t="s">
        <v>76</v>
      </c>
      <c r="P576" t="s">
        <v>55</v>
      </c>
    </row>
    <row r="577" spans="1:16" x14ac:dyDescent="0.35">
      <c r="A577" t="s">
        <v>641</v>
      </c>
      <c r="B577">
        <v>20</v>
      </c>
      <c r="C577" t="s">
        <v>55</v>
      </c>
      <c r="D577" t="s">
        <v>56</v>
      </c>
      <c r="E577" t="s">
        <v>56</v>
      </c>
      <c r="F577">
        <v>39</v>
      </c>
      <c r="G577" t="s">
        <v>56</v>
      </c>
      <c r="H577" t="s">
        <v>55</v>
      </c>
      <c r="I577" t="s">
        <v>30</v>
      </c>
      <c r="J577" t="s">
        <v>13</v>
      </c>
      <c r="K577" t="s">
        <v>55</v>
      </c>
      <c r="L577" t="s">
        <v>25</v>
      </c>
      <c r="M577">
        <v>80.540000000000006</v>
      </c>
      <c r="N577">
        <v>3142.88</v>
      </c>
      <c r="O577" t="s">
        <v>69</v>
      </c>
      <c r="P577" t="s">
        <v>55</v>
      </c>
    </row>
    <row r="578" spans="1:16" x14ac:dyDescent="0.35">
      <c r="A578" t="s">
        <v>642</v>
      </c>
      <c r="B578">
        <v>39</v>
      </c>
      <c r="C578" t="s">
        <v>55</v>
      </c>
      <c r="D578" t="s">
        <v>55</v>
      </c>
      <c r="E578" t="s">
        <v>55</v>
      </c>
      <c r="F578">
        <v>35</v>
      </c>
      <c r="G578" t="s">
        <v>55</v>
      </c>
      <c r="H578" t="s">
        <v>60</v>
      </c>
      <c r="I578" t="s">
        <v>30</v>
      </c>
      <c r="J578" t="s">
        <v>12</v>
      </c>
      <c r="K578" t="s">
        <v>55</v>
      </c>
      <c r="L578" t="s">
        <v>25</v>
      </c>
      <c r="M578">
        <v>86.42</v>
      </c>
      <c r="N578">
        <v>3174.97</v>
      </c>
      <c r="O578" t="s">
        <v>80</v>
      </c>
      <c r="P578" t="s">
        <v>56</v>
      </c>
    </row>
    <row r="579" spans="1:16" x14ac:dyDescent="0.35">
      <c r="A579" t="s">
        <v>643</v>
      </c>
      <c r="B579">
        <v>56</v>
      </c>
      <c r="C579" t="s">
        <v>55</v>
      </c>
      <c r="D579" t="s">
        <v>55</v>
      </c>
      <c r="E579" t="s">
        <v>56</v>
      </c>
      <c r="F579">
        <v>2</v>
      </c>
      <c r="G579" t="s">
        <v>55</v>
      </c>
      <c r="H579" t="s">
        <v>60</v>
      </c>
      <c r="I579" t="s">
        <v>29</v>
      </c>
      <c r="J579" t="s">
        <v>13</v>
      </c>
      <c r="K579" t="s">
        <v>55</v>
      </c>
      <c r="L579" t="s">
        <v>61</v>
      </c>
      <c r="M579">
        <v>61.53</v>
      </c>
      <c r="N579">
        <v>127.3</v>
      </c>
      <c r="O579" t="s">
        <v>80</v>
      </c>
      <c r="P579" t="s">
        <v>55</v>
      </c>
    </row>
    <row r="580" spans="1:16" x14ac:dyDescent="0.35">
      <c r="A580" t="s">
        <v>644</v>
      </c>
      <c r="B580">
        <v>52</v>
      </c>
      <c r="C580" t="s">
        <v>55</v>
      </c>
      <c r="D580" t="s">
        <v>56</v>
      </c>
      <c r="E580" t="s">
        <v>55</v>
      </c>
      <c r="F580">
        <v>16</v>
      </c>
      <c r="G580" t="s">
        <v>55</v>
      </c>
      <c r="H580" t="s">
        <v>60</v>
      </c>
      <c r="I580" t="s">
        <v>30</v>
      </c>
      <c r="J580" t="s">
        <v>14</v>
      </c>
      <c r="K580" t="s">
        <v>55</v>
      </c>
      <c r="L580" t="s">
        <v>57</v>
      </c>
      <c r="M580">
        <v>111.96</v>
      </c>
      <c r="N580">
        <v>1858.4</v>
      </c>
      <c r="O580" t="s">
        <v>80</v>
      </c>
      <c r="P580" t="s">
        <v>55</v>
      </c>
    </row>
    <row r="581" spans="1:16" x14ac:dyDescent="0.35">
      <c r="A581" t="s">
        <v>645</v>
      </c>
      <c r="B581">
        <v>47</v>
      </c>
      <c r="C581" t="s">
        <v>55</v>
      </c>
      <c r="D581" t="s">
        <v>55</v>
      </c>
      <c r="E581" t="s">
        <v>56</v>
      </c>
      <c r="F581">
        <v>57</v>
      </c>
      <c r="G581" t="s">
        <v>56</v>
      </c>
      <c r="H581" t="s">
        <v>55</v>
      </c>
      <c r="I581" t="s">
        <v>30</v>
      </c>
      <c r="J581" t="s">
        <v>13</v>
      </c>
      <c r="K581" t="s">
        <v>55</v>
      </c>
      <c r="L581" t="s">
        <v>26</v>
      </c>
      <c r="M581">
        <v>110.81</v>
      </c>
      <c r="N581">
        <v>6411.09</v>
      </c>
      <c r="O581" t="s">
        <v>62</v>
      </c>
      <c r="P581" t="s">
        <v>55</v>
      </c>
    </row>
    <row r="582" spans="1:16" x14ac:dyDescent="0.35">
      <c r="A582" t="s">
        <v>646</v>
      </c>
      <c r="B582">
        <v>32</v>
      </c>
      <c r="C582" t="s">
        <v>55</v>
      </c>
      <c r="D582" t="s">
        <v>55</v>
      </c>
      <c r="E582" t="s">
        <v>55</v>
      </c>
      <c r="F582">
        <v>5</v>
      </c>
      <c r="G582" t="s">
        <v>56</v>
      </c>
      <c r="H582" t="s">
        <v>56</v>
      </c>
      <c r="I582" t="s">
        <v>30</v>
      </c>
      <c r="J582" t="s">
        <v>14</v>
      </c>
      <c r="K582" t="s">
        <v>55</v>
      </c>
      <c r="L582" t="s">
        <v>26</v>
      </c>
      <c r="M582">
        <v>83.87</v>
      </c>
      <c r="N582">
        <v>419.37</v>
      </c>
      <c r="O582" t="s">
        <v>62</v>
      </c>
      <c r="P582" t="s">
        <v>56</v>
      </c>
    </row>
    <row r="583" spans="1:16" x14ac:dyDescent="0.35">
      <c r="A583" t="s">
        <v>647</v>
      </c>
      <c r="B583">
        <v>60</v>
      </c>
      <c r="C583" t="s">
        <v>56</v>
      </c>
      <c r="D583" t="s">
        <v>56</v>
      </c>
      <c r="E583" t="s">
        <v>56</v>
      </c>
      <c r="F583">
        <v>17</v>
      </c>
      <c r="G583" t="s">
        <v>56</v>
      </c>
      <c r="H583" t="s">
        <v>56</v>
      </c>
      <c r="I583" t="s">
        <v>29</v>
      </c>
      <c r="J583" t="s">
        <v>13</v>
      </c>
      <c r="K583" t="s">
        <v>56</v>
      </c>
      <c r="L583" t="s">
        <v>25</v>
      </c>
      <c r="M583">
        <v>69.16</v>
      </c>
      <c r="N583">
        <v>1143.8800000000001</v>
      </c>
      <c r="O583" t="s">
        <v>80</v>
      </c>
      <c r="P583" t="s">
        <v>55</v>
      </c>
    </row>
    <row r="584" spans="1:16" x14ac:dyDescent="0.35">
      <c r="A584" t="s">
        <v>648</v>
      </c>
      <c r="B584">
        <v>62</v>
      </c>
      <c r="C584" t="s">
        <v>56</v>
      </c>
      <c r="D584" t="s">
        <v>55</v>
      </c>
      <c r="E584" t="s">
        <v>55</v>
      </c>
      <c r="F584">
        <v>1</v>
      </c>
      <c r="G584" t="s">
        <v>56</v>
      </c>
      <c r="H584" t="s">
        <v>55</v>
      </c>
      <c r="I584" t="s">
        <v>55</v>
      </c>
      <c r="J584" t="s">
        <v>12</v>
      </c>
      <c r="K584" t="s">
        <v>55</v>
      </c>
      <c r="L584" t="s">
        <v>26</v>
      </c>
      <c r="M584">
        <v>26.16</v>
      </c>
      <c r="N584">
        <v>26.06</v>
      </c>
      <c r="O584" t="s">
        <v>66</v>
      </c>
      <c r="P584" t="s">
        <v>56</v>
      </c>
    </row>
    <row r="585" spans="1:16" x14ac:dyDescent="0.35">
      <c r="A585" t="s">
        <v>649</v>
      </c>
      <c r="B585">
        <v>20</v>
      </c>
      <c r="C585" t="s">
        <v>55</v>
      </c>
      <c r="D585" t="s">
        <v>56</v>
      </c>
      <c r="E585" t="s">
        <v>56</v>
      </c>
      <c r="F585">
        <v>36</v>
      </c>
      <c r="G585" t="s">
        <v>55</v>
      </c>
      <c r="H585" t="s">
        <v>60</v>
      </c>
      <c r="I585" t="s">
        <v>55</v>
      </c>
      <c r="J585" t="s">
        <v>12</v>
      </c>
      <c r="K585" t="s">
        <v>55</v>
      </c>
      <c r="L585" t="s">
        <v>26</v>
      </c>
      <c r="M585">
        <v>18.98</v>
      </c>
      <c r="N585">
        <v>689.17</v>
      </c>
      <c r="O585" t="s">
        <v>69</v>
      </c>
      <c r="P585" t="s">
        <v>56</v>
      </c>
    </row>
    <row r="586" spans="1:16" x14ac:dyDescent="0.35">
      <c r="A586" t="s">
        <v>650</v>
      </c>
      <c r="B586">
        <v>32</v>
      </c>
      <c r="C586" t="s">
        <v>55</v>
      </c>
      <c r="D586" t="s">
        <v>55</v>
      </c>
      <c r="E586" t="s">
        <v>56</v>
      </c>
      <c r="F586">
        <v>32</v>
      </c>
      <c r="G586" t="s">
        <v>55</v>
      </c>
      <c r="H586" t="s">
        <v>60</v>
      </c>
      <c r="I586" t="s">
        <v>30</v>
      </c>
      <c r="J586" t="s">
        <v>12</v>
      </c>
      <c r="K586" t="s">
        <v>56</v>
      </c>
      <c r="L586" t="s">
        <v>26</v>
      </c>
      <c r="M586">
        <v>91.6</v>
      </c>
      <c r="N586">
        <v>2763.78</v>
      </c>
      <c r="O586" t="s">
        <v>76</v>
      </c>
      <c r="P586" t="s">
        <v>55</v>
      </c>
    </row>
    <row r="587" spans="1:16" x14ac:dyDescent="0.35">
      <c r="A587" t="s">
        <v>651</v>
      </c>
      <c r="B587">
        <v>71</v>
      </c>
      <c r="C587" t="s">
        <v>56</v>
      </c>
      <c r="D587" t="s">
        <v>55</v>
      </c>
      <c r="E587" t="s">
        <v>56</v>
      </c>
      <c r="F587">
        <v>14</v>
      </c>
      <c r="G587" t="s">
        <v>55</v>
      </c>
      <c r="H587" t="s">
        <v>60</v>
      </c>
      <c r="I587" t="s">
        <v>29</v>
      </c>
      <c r="J587" t="s">
        <v>14</v>
      </c>
      <c r="K587" t="s">
        <v>55</v>
      </c>
      <c r="L587" t="s">
        <v>57</v>
      </c>
      <c r="M587">
        <v>49.47</v>
      </c>
      <c r="N587">
        <v>657.08</v>
      </c>
      <c r="O587" t="s">
        <v>64</v>
      </c>
      <c r="P587" t="s">
        <v>55</v>
      </c>
    </row>
    <row r="588" spans="1:16" x14ac:dyDescent="0.35">
      <c r="A588" t="s">
        <v>652</v>
      </c>
      <c r="B588">
        <v>66</v>
      </c>
      <c r="C588" t="s">
        <v>56</v>
      </c>
      <c r="D588" t="s">
        <v>56</v>
      </c>
      <c r="E588" t="s">
        <v>55</v>
      </c>
      <c r="F588">
        <v>16</v>
      </c>
      <c r="G588" t="s">
        <v>56</v>
      </c>
      <c r="H588" t="s">
        <v>55</v>
      </c>
      <c r="I588" t="s">
        <v>30</v>
      </c>
      <c r="J588" t="s">
        <v>12</v>
      </c>
      <c r="K588" t="s">
        <v>56</v>
      </c>
      <c r="L588" t="s">
        <v>61</v>
      </c>
      <c r="M588">
        <v>73.099999999999994</v>
      </c>
      <c r="N588">
        <v>1212.04</v>
      </c>
      <c r="O588" t="s">
        <v>58</v>
      </c>
      <c r="P588" t="s">
        <v>56</v>
      </c>
    </row>
    <row r="589" spans="1:16" x14ac:dyDescent="0.35">
      <c r="A589" t="s">
        <v>653</v>
      </c>
      <c r="B589">
        <v>58</v>
      </c>
      <c r="C589" t="s">
        <v>55</v>
      </c>
      <c r="D589" t="s">
        <v>55</v>
      </c>
      <c r="E589" t="s">
        <v>56</v>
      </c>
      <c r="F589">
        <v>14</v>
      </c>
      <c r="G589" t="s">
        <v>56</v>
      </c>
      <c r="H589" t="s">
        <v>56</v>
      </c>
      <c r="I589" t="s">
        <v>29</v>
      </c>
      <c r="J589" t="s">
        <v>12</v>
      </c>
      <c r="K589" t="s">
        <v>56</v>
      </c>
      <c r="L589" t="s">
        <v>61</v>
      </c>
      <c r="M589">
        <v>56.44</v>
      </c>
      <c r="N589">
        <v>824.73</v>
      </c>
      <c r="O589" t="s">
        <v>58</v>
      </c>
      <c r="P589" t="s">
        <v>55</v>
      </c>
    </row>
    <row r="590" spans="1:16" x14ac:dyDescent="0.35">
      <c r="A590" t="s">
        <v>654</v>
      </c>
      <c r="B590">
        <v>18</v>
      </c>
      <c r="C590" t="s">
        <v>55</v>
      </c>
      <c r="D590" t="s">
        <v>55</v>
      </c>
      <c r="E590" t="s">
        <v>55</v>
      </c>
      <c r="F590">
        <v>60</v>
      </c>
      <c r="G590" t="s">
        <v>56</v>
      </c>
      <c r="H590" t="s">
        <v>56</v>
      </c>
      <c r="I590" t="s">
        <v>29</v>
      </c>
      <c r="J590" t="s">
        <v>14</v>
      </c>
      <c r="K590" t="s">
        <v>56</v>
      </c>
      <c r="L590" t="s">
        <v>57</v>
      </c>
      <c r="M590">
        <v>53.13</v>
      </c>
      <c r="N590">
        <v>3070.16</v>
      </c>
      <c r="O590" t="s">
        <v>58</v>
      </c>
      <c r="P590" t="s">
        <v>56</v>
      </c>
    </row>
    <row r="591" spans="1:16" x14ac:dyDescent="0.35">
      <c r="A591" t="s">
        <v>655</v>
      </c>
      <c r="B591">
        <v>63</v>
      </c>
      <c r="C591" t="s">
        <v>56</v>
      </c>
      <c r="D591" t="s">
        <v>56</v>
      </c>
      <c r="E591" t="s">
        <v>56</v>
      </c>
      <c r="F591">
        <v>17</v>
      </c>
      <c r="G591" t="s">
        <v>55</v>
      </c>
      <c r="H591" t="s">
        <v>60</v>
      </c>
      <c r="I591" t="s">
        <v>29</v>
      </c>
      <c r="J591" t="s">
        <v>12</v>
      </c>
      <c r="K591" t="s">
        <v>55</v>
      </c>
      <c r="L591" t="s">
        <v>61</v>
      </c>
      <c r="M591">
        <v>57.78</v>
      </c>
      <c r="N591">
        <v>951.99</v>
      </c>
      <c r="O591" t="s">
        <v>80</v>
      </c>
      <c r="P591" t="s">
        <v>55</v>
      </c>
    </row>
    <row r="592" spans="1:16" x14ac:dyDescent="0.35">
      <c r="A592" t="s">
        <v>656</v>
      </c>
      <c r="B592">
        <v>26</v>
      </c>
      <c r="C592" t="s">
        <v>55</v>
      </c>
      <c r="D592" t="s">
        <v>55</v>
      </c>
      <c r="E592" t="s">
        <v>55</v>
      </c>
      <c r="F592">
        <v>66</v>
      </c>
      <c r="G592" t="s">
        <v>55</v>
      </c>
      <c r="H592" t="s">
        <v>60</v>
      </c>
      <c r="I592" t="s">
        <v>55</v>
      </c>
      <c r="J592" t="s">
        <v>12</v>
      </c>
      <c r="K592" t="s">
        <v>56</v>
      </c>
      <c r="L592" t="s">
        <v>26</v>
      </c>
      <c r="M592">
        <v>21.7</v>
      </c>
      <c r="N592">
        <v>1405.2</v>
      </c>
      <c r="O592" t="s">
        <v>80</v>
      </c>
      <c r="P592" t="s">
        <v>56</v>
      </c>
    </row>
    <row r="593" spans="1:16" x14ac:dyDescent="0.35">
      <c r="A593" t="s">
        <v>657</v>
      </c>
      <c r="B593">
        <v>51</v>
      </c>
      <c r="C593" t="s">
        <v>55</v>
      </c>
      <c r="D593" t="s">
        <v>56</v>
      </c>
      <c r="E593" t="s">
        <v>56</v>
      </c>
      <c r="F593">
        <v>31</v>
      </c>
      <c r="G593" t="s">
        <v>56</v>
      </c>
      <c r="H593" t="s">
        <v>55</v>
      </c>
      <c r="I593" t="s">
        <v>29</v>
      </c>
      <c r="J593" t="s">
        <v>12</v>
      </c>
      <c r="K593" t="s">
        <v>56</v>
      </c>
      <c r="L593" t="s">
        <v>61</v>
      </c>
      <c r="M593">
        <v>48.05</v>
      </c>
      <c r="N593">
        <v>1412.4</v>
      </c>
      <c r="O593" t="s">
        <v>64</v>
      </c>
      <c r="P593" t="s">
        <v>56</v>
      </c>
    </row>
    <row r="594" spans="1:16" x14ac:dyDescent="0.35">
      <c r="A594" t="s">
        <v>658</v>
      </c>
      <c r="B594">
        <v>62</v>
      </c>
      <c r="C594" t="s">
        <v>56</v>
      </c>
      <c r="D594" t="s">
        <v>55</v>
      </c>
      <c r="E594" t="s">
        <v>55</v>
      </c>
      <c r="F594">
        <v>43</v>
      </c>
      <c r="G594" t="s">
        <v>55</v>
      </c>
      <c r="H594" t="s">
        <v>60</v>
      </c>
      <c r="I594" t="s">
        <v>29</v>
      </c>
      <c r="J594" t="s">
        <v>12</v>
      </c>
      <c r="K594" t="s">
        <v>56</v>
      </c>
      <c r="L594" t="s">
        <v>57</v>
      </c>
      <c r="M594">
        <v>71.569999999999993</v>
      </c>
      <c r="N594">
        <v>2908.44</v>
      </c>
      <c r="O594" t="s">
        <v>80</v>
      </c>
      <c r="P594" t="s">
        <v>56</v>
      </c>
    </row>
    <row r="595" spans="1:16" x14ac:dyDescent="0.35">
      <c r="A595" t="s">
        <v>659</v>
      </c>
      <c r="B595">
        <v>58</v>
      </c>
      <c r="C595" t="s">
        <v>55</v>
      </c>
      <c r="D595" t="s">
        <v>56</v>
      </c>
      <c r="E595" t="s">
        <v>56</v>
      </c>
      <c r="F595">
        <v>60</v>
      </c>
      <c r="G595" t="s">
        <v>56</v>
      </c>
      <c r="H595" t="s">
        <v>55</v>
      </c>
      <c r="I595" t="s">
        <v>29</v>
      </c>
      <c r="J595" t="s">
        <v>13</v>
      </c>
      <c r="K595" t="s">
        <v>55</v>
      </c>
      <c r="L595" t="s">
        <v>61</v>
      </c>
      <c r="M595">
        <v>55.04</v>
      </c>
      <c r="N595">
        <v>3262.9</v>
      </c>
      <c r="O595" t="s">
        <v>80</v>
      </c>
      <c r="P595" t="s">
        <v>55</v>
      </c>
    </row>
    <row r="596" spans="1:16" x14ac:dyDescent="0.35">
      <c r="A596" t="s">
        <v>660</v>
      </c>
      <c r="B596">
        <v>41</v>
      </c>
      <c r="C596" t="s">
        <v>55</v>
      </c>
      <c r="D596" t="s">
        <v>56</v>
      </c>
      <c r="E596" t="s">
        <v>56</v>
      </c>
      <c r="F596">
        <v>46</v>
      </c>
      <c r="G596" t="s">
        <v>56</v>
      </c>
      <c r="H596" t="s">
        <v>56</v>
      </c>
      <c r="I596" t="s">
        <v>30</v>
      </c>
      <c r="J596" t="s">
        <v>12</v>
      </c>
      <c r="K596" t="s">
        <v>55</v>
      </c>
      <c r="L596" t="s">
        <v>26</v>
      </c>
      <c r="M596">
        <v>71.48</v>
      </c>
      <c r="N596">
        <v>3168.85</v>
      </c>
      <c r="O596" t="s">
        <v>76</v>
      </c>
      <c r="P596" t="s">
        <v>56</v>
      </c>
    </row>
    <row r="597" spans="1:16" x14ac:dyDescent="0.35">
      <c r="A597" t="s">
        <v>661</v>
      </c>
      <c r="B597">
        <v>64</v>
      </c>
      <c r="C597" t="s">
        <v>56</v>
      </c>
      <c r="D597" t="s">
        <v>56</v>
      </c>
      <c r="E597" t="s">
        <v>55</v>
      </c>
      <c r="F597">
        <v>71</v>
      </c>
      <c r="G597" t="s">
        <v>56</v>
      </c>
      <c r="H597" t="s">
        <v>56</v>
      </c>
      <c r="I597" t="s">
        <v>30</v>
      </c>
      <c r="J597" t="s">
        <v>14</v>
      </c>
      <c r="K597" t="s">
        <v>56</v>
      </c>
      <c r="L597" t="s">
        <v>26</v>
      </c>
      <c r="M597">
        <v>103.87</v>
      </c>
      <c r="N597">
        <v>7267.62</v>
      </c>
      <c r="O597" t="s">
        <v>80</v>
      </c>
      <c r="P597" t="s">
        <v>55</v>
      </c>
    </row>
    <row r="598" spans="1:16" x14ac:dyDescent="0.35">
      <c r="A598" t="s">
        <v>662</v>
      </c>
      <c r="B598">
        <v>39</v>
      </c>
      <c r="C598" t="s">
        <v>55</v>
      </c>
      <c r="D598" t="s">
        <v>56</v>
      </c>
      <c r="E598" t="s">
        <v>55</v>
      </c>
      <c r="F598">
        <v>59</v>
      </c>
      <c r="G598" t="s">
        <v>55</v>
      </c>
      <c r="H598" t="s">
        <v>60</v>
      </c>
      <c r="I598" t="s">
        <v>30</v>
      </c>
      <c r="J598" t="s">
        <v>13</v>
      </c>
      <c r="K598" t="s">
        <v>55</v>
      </c>
      <c r="L598" t="s">
        <v>25</v>
      </c>
      <c r="M598">
        <v>73.27</v>
      </c>
      <c r="N598">
        <v>4138.4799999999996</v>
      </c>
      <c r="O598" t="s">
        <v>66</v>
      </c>
      <c r="P598" t="s">
        <v>55</v>
      </c>
    </row>
    <row r="599" spans="1:16" x14ac:dyDescent="0.35">
      <c r="A599" t="s">
        <v>663</v>
      </c>
      <c r="B599">
        <v>30</v>
      </c>
      <c r="C599" t="s">
        <v>55</v>
      </c>
      <c r="D599" t="s">
        <v>56</v>
      </c>
      <c r="E599" t="s">
        <v>55</v>
      </c>
      <c r="F599">
        <v>48</v>
      </c>
      <c r="G599" t="s">
        <v>55</v>
      </c>
      <c r="H599" t="s">
        <v>60</v>
      </c>
      <c r="I599" t="s">
        <v>30</v>
      </c>
      <c r="J599" t="s">
        <v>14</v>
      </c>
      <c r="K599" t="s">
        <v>56</v>
      </c>
      <c r="L599" t="s">
        <v>25</v>
      </c>
      <c r="M599">
        <v>108.15</v>
      </c>
      <c r="N599">
        <v>5245.6</v>
      </c>
      <c r="O599" t="s">
        <v>76</v>
      </c>
      <c r="P599" t="s">
        <v>55</v>
      </c>
    </row>
    <row r="600" spans="1:16" x14ac:dyDescent="0.35">
      <c r="A600" t="s">
        <v>664</v>
      </c>
      <c r="B600">
        <v>68</v>
      </c>
      <c r="C600" t="s">
        <v>56</v>
      </c>
      <c r="D600" t="s">
        <v>56</v>
      </c>
      <c r="E600" t="s">
        <v>55</v>
      </c>
      <c r="F600">
        <v>32</v>
      </c>
      <c r="G600" t="s">
        <v>55</v>
      </c>
      <c r="H600" t="s">
        <v>60</v>
      </c>
      <c r="I600" t="s">
        <v>30</v>
      </c>
      <c r="J600" t="s">
        <v>14</v>
      </c>
      <c r="K600" t="s">
        <v>55</v>
      </c>
      <c r="L600" t="s">
        <v>26</v>
      </c>
      <c r="M600">
        <v>74.069999999999993</v>
      </c>
      <c r="N600">
        <v>2361.9</v>
      </c>
      <c r="O600" t="s">
        <v>80</v>
      </c>
      <c r="P600" t="s">
        <v>55</v>
      </c>
    </row>
    <row r="601" spans="1:16" x14ac:dyDescent="0.35">
      <c r="A601" t="s">
        <v>665</v>
      </c>
      <c r="B601">
        <v>28</v>
      </c>
      <c r="C601" t="s">
        <v>55</v>
      </c>
      <c r="D601" t="s">
        <v>55</v>
      </c>
      <c r="E601" t="s">
        <v>55</v>
      </c>
      <c r="F601">
        <v>64</v>
      </c>
      <c r="G601" t="s">
        <v>56</v>
      </c>
      <c r="H601" t="s">
        <v>56</v>
      </c>
      <c r="I601" t="s">
        <v>29</v>
      </c>
      <c r="J601" t="s">
        <v>12</v>
      </c>
      <c r="K601" t="s">
        <v>55</v>
      </c>
      <c r="L601" t="s">
        <v>61</v>
      </c>
      <c r="M601">
        <v>59.79</v>
      </c>
      <c r="N601">
        <v>3720.18</v>
      </c>
      <c r="O601" t="s">
        <v>66</v>
      </c>
      <c r="P601" t="s">
        <v>55</v>
      </c>
    </row>
    <row r="602" spans="1:16" x14ac:dyDescent="0.35">
      <c r="A602" t="s">
        <v>666</v>
      </c>
      <c r="B602">
        <v>55</v>
      </c>
      <c r="C602" t="s">
        <v>55</v>
      </c>
      <c r="D602" t="s">
        <v>56</v>
      </c>
      <c r="E602" t="s">
        <v>56</v>
      </c>
      <c r="F602">
        <v>29</v>
      </c>
      <c r="G602" t="s">
        <v>55</v>
      </c>
      <c r="H602" t="s">
        <v>60</v>
      </c>
      <c r="I602" t="s">
        <v>55</v>
      </c>
      <c r="J602" t="s">
        <v>14</v>
      </c>
      <c r="K602" t="s">
        <v>55</v>
      </c>
      <c r="L602" t="s">
        <v>26</v>
      </c>
      <c r="M602">
        <v>23.1</v>
      </c>
      <c r="N602">
        <v>660.02</v>
      </c>
      <c r="O602" t="s">
        <v>66</v>
      </c>
      <c r="P602" t="s">
        <v>56</v>
      </c>
    </row>
    <row r="603" spans="1:16" x14ac:dyDescent="0.35">
      <c r="A603" t="s">
        <v>667</v>
      </c>
      <c r="B603">
        <v>41</v>
      </c>
      <c r="C603" t="s">
        <v>55</v>
      </c>
      <c r="D603" t="s">
        <v>55</v>
      </c>
      <c r="E603" t="s">
        <v>56</v>
      </c>
      <c r="F603">
        <v>18</v>
      </c>
      <c r="G603" t="s">
        <v>55</v>
      </c>
      <c r="H603" t="s">
        <v>60</v>
      </c>
      <c r="I603" t="s">
        <v>29</v>
      </c>
      <c r="J603" t="s">
        <v>12</v>
      </c>
      <c r="K603" t="s">
        <v>55</v>
      </c>
      <c r="L603" t="s">
        <v>26</v>
      </c>
      <c r="M603">
        <v>41.65</v>
      </c>
      <c r="N603">
        <v>750.8</v>
      </c>
      <c r="O603" t="s">
        <v>64</v>
      </c>
      <c r="P603" t="s">
        <v>56</v>
      </c>
    </row>
    <row r="604" spans="1:16" x14ac:dyDescent="0.35">
      <c r="A604" t="s">
        <v>668</v>
      </c>
      <c r="B604">
        <v>47</v>
      </c>
      <c r="C604" t="s">
        <v>55</v>
      </c>
      <c r="D604" t="s">
        <v>55</v>
      </c>
      <c r="E604" t="s">
        <v>55</v>
      </c>
      <c r="F604">
        <v>48</v>
      </c>
      <c r="G604" t="s">
        <v>55</v>
      </c>
      <c r="H604" t="s">
        <v>60</v>
      </c>
      <c r="I604" t="s">
        <v>55</v>
      </c>
      <c r="J604" t="s">
        <v>12</v>
      </c>
      <c r="K604" t="s">
        <v>56</v>
      </c>
      <c r="L604" t="s">
        <v>26</v>
      </c>
      <c r="M604">
        <v>20.81</v>
      </c>
      <c r="N604">
        <v>1016.3</v>
      </c>
      <c r="O604" t="s">
        <v>80</v>
      </c>
      <c r="P604" t="s">
        <v>56</v>
      </c>
    </row>
    <row r="605" spans="1:16" x14ac:dyDescent="0.35">
      <c r="A605" t="s">
        <v>669</v>
      </c>
      <c r="B605">
        <v>36</v>
      </c>
      <c r="C605" t="s">
        <v>55</v>
      </c>
      <c r="D605" t="s">
        <v>56</v>
      </c>
      <c r="E605" t="s">
        <v>55</v>
      </c>
      <c r="F605">
        <v>30</v>
      </c>
      <c r="G605" t="s">
        <v>56</v>
      </c>
      <c r="H605" t="s">
        <v>55</v>
      </c>
      <c r="I605" t="s">
        <v>30</v>
      </c>
      <c r="J605" t="s">
        <v>12</v>
      </c>
      <c r="K605" t="s">
        <v>55</v>
      </c>
      <c r="L605" t="s">
        <v>26</v>
      </c>
      <c r="M605">
        <v>86.46</v>
      </c>
      <c r="N605">
        <v>2532.39</v>
      </c>
      <c r="O605" t="s">
        <v>69</v>
      </c>
      <c r="P605" t="s">
        <v>55</v>
      </c>
    </row>
    <row r="606" spans="1:16" x14ac:dyDescent="0.35">
      <c r="A606" t="s">
        <v>670</v>
      </c>
      <c r="B606">
        <v>72</v>
      </c>
      <c r="C606" t="s">
        <v>56</v>
      </c>
      <c r="D606" t="s">
        <v>55</v>
      </c>
      <c r="E606" t="s">
        <v>56</v>
      </c>
      <c r="F606">
        <v>18</v>
      </c>
      <c r="G606" t="s">
        <v>55</v>
      </c>
      <c r="H606" t="s">
        <v>60</v>
      </c>
      <c r="I606" t="s">
        <v>55</v>
      </c>
      <c r="J606" t="s">
        <v>12</v>
      </c>
      <c r="K606" t="s">
        <v>55</v>
      </c>
      <c r="L606" t="s">
        <v>26</v>
      </c>
      <c r="M606">
        <v>22.16</v>
      </c>
      <c r="N606">
        <v>422.66</v>
      </c>
      <c r="O606" t="s">
        <v>66</v>
      </c>
      <c r="P606" t="s">
        <v>55</v>
      </c>
    </row>
    <row r="607" spans="1:16" x14ac:dyDescent="0.35">
      <c r="A607" t="s">
        <v>671</v>
      </c>
      <c r="B607">
        <v>55</v>
      </c>
      <c r="C607" t="s">
        <v>55</v>
      </c>
      <c r="D607" t="s">
        <v>56</v>
      </c>
      <c r="E607" t="s">
        <v>55</v>
      </c>
      <c r="F607">
        <v>66</v>
      </c>
      <c r="G607" t="s">
        <v>56</v>
      </c>
      <c r="H607" t="s">
        <v>55</v>
      </c>
      <c r="I607" t="s">
        <v>55</v>
      </c>
      <c r="J607" t="s">
        <v>12</v>
      </c>
      <c r="K607" t="s">
        <v>56</v>
      </c>
      <c r="L607" t="s">
        <v>57</v>
      </c>
      <c r="M607">
        <v>24.19</v>
      </c>
      <c r="N607">
        <v>1651.33</v>
      </c>
      <c r="O607" t="s">
        <v>69</v>
      </c>
      <c r="P607" t="s">
        <v>55</v>
      </c>
    </row>
    <row r="608" spans="1:16" x14ac:dyDescent="0.35">
      <c r="A608" t="s">
        <v>672</v>
      </c>
      <c r="B608">
        <v>70</v>
      </c>
      <c r="C608" t="s">
        <v>56</v>
      </c>
      <c r="D608" t="s">
        <v>55</v>
      </c>
      <c r="E608" t="s">
        <v>55</v>
      </c>
      <c r="F608">
        <v>11</v>
      </c>
      <c r="G608" t="s">
        <v>56</v>
      </c>
      <c r="H608" t="s">
        <v>55</v>
      </c>
      <c r="I608" t="s">
        <v>30</v>
      </c>
      <c r="J608" t="s">
        <v>14</v>
      </c>
      <c r="K608" t="s">
        <v>55</v>
      </c>
      <c r="L608" t="s">
        <v>26</v>
      </c>
      <c r="M608">
        <v>92.5</v>
      </c>
      <c r="N608">
        <v>1024.6400000000001</v>
      </c>
      <c r="O608" t="s">
        <v>58</v>
      </c>
      <c r="P608" t="s">
        <v>56</v>
      </c>
    </row>
    <row r="609" spans="1:16" x14ac:dyDescent="0.35">
      <c r="A609" t="s">
        <v>673</v>
      </c>
      <c r="B609">
        <v>73</v>
      </c>
      <c r="C609" t="s">
        <v>56</v>
      </c>
      <c r="D609" t="s">
        <v>56</v>
      </c>
      <c r="E609" t="s">
        <v>55</v>
      </c>
      <c r="F609">
        <v>2</v>
      </c>
      <c r="G609" t="s">
        <v>55</v>
      </c>
      <c r="H609" t="s">
        <v>60</v>
      </c>
      <c r="I609" t="s">
        <v>29</v>
      </c>
      <c r="J609" t="s">
        <v>12</v>
      </c>
      <c r="K609" t="s">
        <v>55</v>
      </c>
      <c r="L609" t="s">
        <v>57</v>
      </c>
      <c r="M609">
        <v>70.11</v>
      </c>
      <c r="N609">
        <v>144.63999999999999</v>
      </c>
      <c r="O609" t="s">
        <v>76</v>
      </c>
      <c r="P609" t="s">
        <v>55</v>
      </c>
    </row>
    <row r="610" spans="1:16" x14ac:dyDescent="0.35">
      <c r="A610" t="s">
        <v>674</v>
      </c>
      <c r="B610">
        <v>38</v>
      </c>
      <c r="C610" t="s">
        <v>55</v>
      </c>
      <c r="D610" t="s">
        <v>56</v>
      </c>
      <c r="E610" t="s">
        <v>56</v>
      </c>
      <c r="F610">
        <v>18</v>
      </c>
      <c r="G610" t="s">
        <v>55</v>
      </c>
      <c r="H610" t="s">
        <v>60</v>
      </c>
      <c r="I610" t="s">
        <v>30</v>
      </c>
      <c r="J610" t="s">
        <v>13</v>
      </c>
      <c r="K610" t="s">
        <v>55</v>
      </c>
      <c r="L610" t="s">
        <v>25</v>
      </c>
      <c r="M610">
        <v>80.209999999999994</v>
      </c>
      <c r="N610">
        <v>1424.83</v>
      </c>
      <c r="O610" t="s">
        <v>62</v>
      </c>
      <c r="P610" t="s">
        <v>55</v>
      </c>
    </row>
    <row r="611" spans="1:16" x14ac:dyDescent="0.35">
      <c r="A611" t="s">
        <v>675</v>
      </c>
      <c r="B611">
        <v>48</v>
      </c>
      <c r="C611" t="s">
        <v>55</v>
      </c>
      <c r="D611" t="s">
        <v>56</v>
      </c>
      <c r="E611" t="s">
        <v>55</v>
      </c>
      <c r="F611">
        <v>58</v>
      </c>
      <c r="G611" t="s">
        <v>55</v>
      </c>
      <c r="H611" t="s">
        <v>60</v>
      </c>
      <c r="I611" t="s">
        <v>29</v>
      </c>
      <c r="J611" t="s">
        <v>12</v>
      </c>
      <c r="K611" t="s">
        <v>56</v>
      </c>
      <c r="L611" t="s">
        <v>61</v>
      </c>
      <c r="M611">
        <v>47.11</v>
      </c>
      <c r="N611">
        <v>2839.43</v>
      </c>
      <c r="O611" t="s">
        <v>80</v>
      </c>
      <c r="P611" t="s">
        <v>55</v>
      </c>
    </row>
    <row r="612" spans="1:16" x14ac:dyDescent="0.35">
      <c r="A612" t="s">
        <v>676</v>
      </c>
      <c r="B612">
        <v>29</v>
      </c>
      <c r="C612" t="s">
        <v>55</v>
      </c>
      <c r="D612" t="s">
        <v>56</v>
      </c>
      <c r="E612" t="s">
        <v>56</v>
      </c>
      <c r="F612">
        <v>50</v>
      </c>
      <c r="G612" t="s">
        <v>56</v>
      </c>
      <c r="H612" t="s">
        <v>56</v>
      </c>
      <c r="I612" t="s">
        <v>30</v>
      </c>
      <c r="J612" t="s">
        <v>12</v>
      </c>
      <c r="K612" t="s">
        <v>55</v>
      </c>
      <c r="L612" t="s">
        <v>26</v>
      </c>
      <c r="M612">
        <v>95.93</v>
      </c>
      <c r="N612">
        <v>4607.6099999999997</v>
      </c>
      <c r="O612" t="s">
        <v>64</v>
      </c>
      <c r="P612" t="s">
        <v>55</v>
      </c>
    </row>
    <row r="613" spans="1:16" x14ac:dyDescent="0.35">
      <c r="A613" t="s">
        <v>677</v>
      </c>
      <c r="B613">
        <v>43</v>
      </c>
      <c r="C613" t="s">
        <v>55</v>
      </c>
      <c r="D613" t="s">
        <v>56</v>
      </c>
      <c r="E613" t="s">
        <v>56</v>
      </c>
      <c r="F613">
        <v>17</v>
      </c>
      <c r="G613" t="s">
        <v>55</v>
      </c>
      <c r="H613" t="s">
        <v>60</v>
      </c>
      <c r="I613" t="s">
        <v>29</v>
      </c>
      <c r="J613" t="s">
        <v>13</v>
      </c>
      <c r="K613" t="s">
        <v>55</v>
      </c>
      <c r="L613" t="s">
        <v>25</v>
      </c>
      <c r="M613">
        <v>74.63</v>
      </c>
      <c r="N613">
        <v>1212.3699999999999</v>
      </c>
      <c r="O613" t="s">
        <v>64</v>
      </c>
      <c r="P613" t="s">
        <v>55</v>
      </c>
    </row>
    <row r="614" spans="1:16" x14ac:dyDescent="0.35">
      <c r="A614" t="s">
        <v>678</v>
      </c>
      <c r="B614">
        <v>70</v>
      </c>
      <c r="C614" t="s">
        <v>56</v>
      </c>
      <c r="D614" t="s">
        <v>55</v>
      </c>
      <c r="E614" t="s">
        <v>56</v>
      </c>
      <c r="F614">
        <v>40</v>
      </c>
      <c r="G614" t="s">
        <v>55</v>
      </c>
      <c r="H614" t="s">
        <v>60</v>
      </c>
      <c r="I614" t="s">
        <v>29</v>
      </c>
      <c r="J614" t="s">
        <v>12</v>
      </c>
      <c r="K614" t="s">
        <v>56</v>
      </c>
      <c r="L614" t="s">
        <v>25</v>
      </c>
      <c r="M614">
        <v>57.83</v>
      </c>
      <c r="N614">
        <v>2403.3000000000002</v>
      </c>
      <c r="O614" t="s">
        <v>62</v>
      </c>
      <c r="P614" t="s">
        <v>55</v>
      </c>
    </row>
    <row r="615" spans="1:16" x14ac:dyDescent="0.35">
      <c r="A615" t="s">
        <v>679</v>
      </c>
      <c r="B615">
        <v>51</v>
      </c>
      <c r="C615" t="s">
        <v>55</v>
      </c>
      <c r="D615" t="s">
        <v>55</v>
      </c>
      <c r="E615" t="s">
        <v>55</v>
      </c>
      <c r="F615">
        <v>59</v>
      </c>
      <c r="G615" t="s">
        <v>56</v>
      </c>
      <c r="H615" t="s">
        <v>55</v>
      </c>
      <c r="I615" t="s">
        <v>29</v>
      </c>
      <c r="J615" t="s">
        <v>12</v>
      </c>
      <c r="K615" t="s">
        <v>55</v>
      </c>
      <c r="L615" t="s">
        <v>26</v>
      </c>
      <c r="M615">
        <v>73.709999999999994</v>
      </c>
      <c r="N615">
        <v>4501.46</v>
      </c>
      <c r="O615" t="s">
        <v>66</v>
      </c>
      <c r="P615" t="s">
        <v>55</v>
      </c>
    </row>
    <row r="616" spans="1:16" x14ac:dyDescent="0.35">
      <c r="A616" t="s">
        <v>680</v>
      </c>
      <c r="B616">
        <v>69</v>
      </c>
      <c r="C616" t="s">
        <v>56</v>
      </c>
      <c r="D616" t="s">
        <v>56</v>
      </c>
      <c r="E616" t="s">
        <v>55</v>
      </c>
      <c r="F616">
        <v>32</v>
      </c>
      <c r="G616" t="s">
        <v>55</v>
      </c>
      <c r="H616" t="s">
        <v>60</v>
      </c>
      <c r="I616" t="s">
        <v>30</v>
      </c>
      <c r="J616" t="s">
        <v>12</v>
      </c>
      <c r="K616" t="s">
        <v>56</v>
      </c>
      <c r="L616" t="s">
        <v>61</v>
      </c>
      <c r="M616">
        <v>74.78</v>
      </c>
      <c r="N616">
        <v>2450</v>
      </c>
      <c r="O616" t="s">
        <v>66</v>
      </c>
      <c r="P616" t="s">
        <v>56</v>
      </c>
    </row>
    <row r="617" spans="1:16" x14ac:dyDescent="0.35">
      <c r="A617" t="s">
        <v>681</v>
      </c>
      <c r="B617">
        <v>28</v>
      </c>
      <c r="C617" t="s">
        <v>55</v>
      </c>
      <c r="D617" t="s">
        <v>55</v>
      </c>
      <c r="E617" t="s">
        <v>55</v>
      </c>
      <c r="F617">
        <v>9</v>
      </c>
      <c r="G617" t="s">
        <v>56</v>
      </c>
      <c r="H617" t="s">
        <v>55</v>
      </c>
      <c r="I617" t="s">
        <v>29</v>
      </c>
      <c r="J617" t="s">
        <v>12</v>
      </c>
      <c r="K617" t="s">
        <v>56</v>
      </c>
      <c r="L617" t="s">
        <v>25</v>
      </c>
      <c r="M617">
        <v>43.06</v>
      </c>
      <c r="N617">
        <v>369.18</v>
      </c>
      <c r="O617" t="s">
        <v>76</v>
      </c>
      <c r="P617" t="s">
        <v>55</v>
      </c>
    </row>
    <row r="618" spans="1:16" x14ac:dyDescent="0.35">
      <c r="A618" t="s">
        <v>682</v>
      </c>
      <c r="B618">
        <v>44</v>
      </c>
      <c r="C618" t="s">
        <v>55</v>
      </c>
      <c r="D618" t="s">
        <v>55</v>
      </c>
      <c r="E618" t="s">
        <v>56</v>
      </c>
      <c r="F618">
        <v>33</v>
      </c>
      <c r="G618" t="s">
        <v>56</v>
      </c>
      <c r="H618" t="s">
        <v>55</v>
      </c>
      <c r="I618" t="s">
        <v>30</v>
      </c>
      <c r="J618" t="s">
        <v>12</v>
      </c>
      <c r="K618" t="s">
        <v>55</v>
      </c>
      <c r="L618" t="s">
        <v>57</v>
      </c>
      <c r="M618">
        <v>107.3</v>
      </c>
      <c r="N618">
        <v>3692.07</v>
      </c>
      <c r="O618" t="s">
        <v>80</v>
      </c>
      <c r="P618" t="s">
        <v>56</v>
      </c>
    </row>
    <row r="619" spans="1:16" x14ac:dyDescent="0.35">
      <c r="A619" t="s">
        <v>683</v>
      </c>
      <c r="B619">
        <v>34</v>
      </c>
      <c r="C619" t="s">
        <v>55</v>
      </c>
      <c r="D619" t="s">
        <v>56</v>
      </c>
      <c r="E619" t="s">
        <v>56</v>
      </c>
      <c r="F619">
        <v>42</v>
      </c>
      <c r="G619" t="s">
        <v>55</v>
      </c>
      <c r="H619" t="s">
        <v>60</v>
      </c>
      <c r="I619" t="s">
        <v>29</v>
      </c>
      <c r="J619" t="s">
        <v>12</v>
      </c>
      <c r="K619" t="s">
        <v>56</v>
      </c>
      <c r="L619" t="s">
        <v>26</v>
      </c>
      <c r="M619">
        <v>66.28</v>
      </c>
      <c r="N619">
        <v>2855.11</v>
      </c>
      <c r="O619" t="s">
        <v>64</v>
      </c>
      <c r="P619" t="s">
        <v>55</v>
      </c>
    </row>
    <row r="620" spans="1:16" x14ac:dyDescent="0.35">
      <c r="A620" t="s">
        <v>684</v>
      </c>
      <c r="B620">
        <v>70</v>
      </c>
      <c r="C620" t="s">
        <v>56</v>
      </c>
      <c r="D620" t="s">
        <v>55</v>
      </c>
      <c r="E620" t="s">
        <v>56</v>
      </c>
      <c r="F620">
        <v>22</v>
      </c>
      <c r="G620" t="s">
        <v>56</v>
      </c>
      <c r="H620" t="s">
        <v>56</v>
      </c>
      <c r="I620" t="s">
        <v>55</v>
      </c>
      <c r="J620" t="s">
        <v>12</v>
      </c>
      <c r="K620" t="s">
        <v>55</v>
      </c>
      <c r="L620" t="s">
        <v>26</v>
      </c>
      <c r="M620">
        <v>26.06</v>
      </c>
      <c r="N620">
        <v>539.69000000000005</v>
      </c>
      <c r="O620" t="s">
        <v>64</v>
      </c>
      <c r="P620" t="s">
        <v>56</v>
      </c>
    </row>
    <row r="621" spans="1:16" x14ac:dyDescent="0.35">
      <c r="A621" t="s">
        <v>685</v>
      </c>
      <c r="B621">
        <v>40</v>
      </c>
      <c r="C621" t="s">
        <v>55</v>
      </c>
      <c r="D621" t="s">
        <v>56</v>
      </c>
      <c r="E621" t="s">
        <v>56</v>
      </c>
      <c r="F621">
        <v>5</v>
      </c>
      <c r="G621" t="s">
        <v>56</v>
      </c>
      <c r="H621" t="s">
        <v>55</v>
      </c>
      <c r="I621" t="s">
        <v>55</v>
      </c>
      <c r="J621" t="s">
        <v>12</v>
      </c>
      <c r="K621" t="s">
        <v>56</v>
      </c>
      <c r="L621" t="s">
        <v>57</v>
      </c>
      <c r="M621">
        <v>21.7</v>
      </c>
      <c r="N621">
        <v>102.67</v>
      </c>
      <c r="O621" t="s">
        <v>66</v>
      </c>
      <c r="P621" t="s">
        <v>56</v>
      </c>
    </row>
    <row r="622" spans="1:16" x14ac:dyDescent="0.35">
      <c r="A622" t="s">
        <v>686</v>
      </c>
      <c r="B622">
        <v>42</v>
      </c>
      <c r="C622" t="s">
        <v>55</v>
      </c>
      <c r="D622" t="s">
        <v>56</v>
      </c>
      <c r="E622" t="s">
        <v>56</v>
      </c>
      <c r="F622">
        <v>48</v>
      </c>
      <c r="G622" t="s">
        <v>56</v>
      </c>
      <c r="H622" t="s">
        <v>56</v>
      </c>
      <c r="I622" t="s">
        <v>55</v>
      </c>
      <c r="J622" t="s">
        <v>12</v>
      </c>
      <c r="K622" t="s">
        <v>56</v>
      </c>
      <c r="L622" t="s">
        <v>26</v>
      </c>
      <c r="M622">
        <v>20.309999999999999</v>
      </c>
      <c r="N622">
        <v>994.64</v>
      </c>
      <c r="O622" t="s">
        <v>80</v>
      </c>
      <c r="P622" t="s">
        <v>56</v>
      </c>
    </row>
    <row r="623" spans="1:16" x14ac:dyDescent="0.35">
      <c r="A623" t="s">
        <v>687</v>
      </c>
      <c r="B623">
        <v>69</v>
      </c>
      <c r="C623" t="s">
        <v>56</v>
      </c>
      <c r="D623" t="s">
        <v>56</v>
      </c>
      <c r="E623" t="s">
        <v>56</v>
      </c>
      <c r="F623">
        <v>6</v>
      </c>
      <c r="G623" t="s">
        <v>56</v>
      </c>
      <c r="H623" t="s">
        <v>55</v>
      </c>
      <c r="I623" t="s">
        <v>30</v>
      </c>
      <c r="J623" t="s">
        <v>12</v>
      </c>
      <c r="K623" t="s">
        <v>56</v>
      </c>
      <c r="L623" t="s">
        <v>61</v>
      </c>
      <c r="M623">
        <v>116.72</v>
      </c>
      <c r="N623">
        <v>691.5</v>
      </c>
      <c r="O623" t="s">
        <v>62</v>
      </c>
      <c r="P623" t="s">
        <v>56</v>
      </c>
    </row>
    <row r="624" spans="1:16" x14ac:dyDescent="0.35">
      <c r="A624" t="s">
        <v>688</v>
      </c>
      <c r="B624">
        <v>31</v>
      </c>
      <c r="C624" t="s">
        <v>55</v>
      </c>
      <c r="D624" t="s">
        <v>56</v>
      </c>
      <c r="E624" t="s">
        <v>55</v>
      </c>
      <c r="F624">
        <v>42</v>
      </c>
      <c r="G624" t="s">
        <v>55</v>
      </c>
      <c r="H624" t="s">
        <v>60</v>
      </c>
      <c r="I624" t="s">
        <v>30</v>
      </c>
      <c r="J624" t="s">
        <v>13</v>
      </c>
      <c r="K624" t="s">
        <v>56</v>
      </c>
      <c r="L624" t="s">
        <v>57</v>
      </c>
      <c r="M624">
        <v>92.94</v>
      </c>
      <c r="N624">
        <v>3700.19</v>
      </c>
      <c r="O624" t="s">
        <v>69</v>
      </c>
      <c r="P624" t="s">
        <v>55</v>
      </c>
    </row>
    <row r="625" spans="1:16" x14ac:dyDescent="0.35">
      <c r="A625" t="s">
        <v>689</v>
      </c>
      <c r="B625">
        <v>57</v>
      </c>
      <c r="C625" t="s">
        <v>55</v>
      </c>
      <c r="D625" t="s">
        <v>55</v>
      </c>
      <c r="E625" t="s">
        <v>56</v>
      </c>
      <c r="F625">
        <v>9</v>
      </c>
      <c r="G625" t="s">
        <v>55</v>
      </c>
      <c r="H625" t="s">
        <v>60</v>
      </c>
      <c r="I625" t="s">
        <v>55</v>
      </c>
      <c r="J625" t="s">
        <v>12</v>
      </c>
      <c r="K625" t="s">
        <v>55</v>
      </c>
      <c r="L625" t="s">
        <v>25</v>
      </c>
      <c r="M625">
        <v>19.22</v>
      </c>
      <c r="N625">
        <v>173.73</v>
      </c>
      <c r="O625" t="s">
        <v>66</v>
      </c>
      <c r="P625" t="s">
        <v>55</v>
      </c>
    </row>
    <row r="626" spans="1:16" x14ac:dyDescent="0.35">
      <c r="A626" t="s">
        <v>690</v>
      </c>
      <c r="B626">
        <v>54</v>
      </c>
      <c r="C626" t="s">
        <v>55</v>
      </c>
      <c r="D626" t="s">
        <v>56</v>
      </c>
      <c r="E626" t="s">
        <v>55</v>
      </c>
      <c r="F626">
        <v>13</v>
      </c>
      <c r="G626" t="s">
        <v>55</v>
      </c>
      <c r="H626" t="s">
        <v>60</v>
      </c>
      <c r="I626" t="s">
        <v>29</v>
      </c>
      <c r="J626" t="s">
        <v>13</v>
      </c>
      <c r="K626" t="s">
        <v>56</v>
      </c>
      <c r="L626" t="s">
        <v>26</v>
      </c>
      <c r="M626">
        <v>65.41</v>
      </c>
      <c r="N626">
        <v>889.51</v>
      </c>
      <c r="O626" t="s">
        <v>66</v>
      </c>
      <c r="P626" t="s">
        <v>55</v>
      </c>
    </row>
    <row r="627" spans="1:16" x14ac:dyDescent="0.35">
      <c r="A627" t="s">
        <v>691</v>
      </c>
      <c r="B627">
        <v>60</v>
      </c>
      <c r="C627" t="s">
        <v>56</v>
      </c>
      <c r="D627" t="s">
        <v>55</v>
      </c>
      <c r="E627" t="s">
        <v>56</v>
      </c>
      <c r="F627">
        <v>43</v>
      </c>
      <c r="G627" t="s">
        <v>55</v>
      </c>
      <c r="H627" t="s">
        <v>60</v>
      </c>
      <c r="I627" t="s">
        <v>30</v>
      </c>
      <c r="J627" t="s">
        <v>12</v>
      </c>
      <c r="K627" t="s">
        <v>56</v>
      </c>
      <c r="L627" t="s">
        <v>57</v>
      </c>
      <c r="M627">
        <v>105.23</v>
      </c>
      <c r="N627">
        <v>4260.6099999999997</v>
      </c>
      <c r="O627" t="s">
        <v>66</v>
      </c>
      <c r="P627" t="s">
        <v>56</v>
      </c>
    </row>
    <row r="628" spans="1:16" x14ac:dyDescent="0.35">
      <c r="A628" t="s">
        <v>692</v>
      </c>
      <c r="B628">
        <v>75</v>
      </c>
      <c r="C628" t="s">
        <v>56</v>
      </c>
      <c r="D628" t="s">
        <v>56</v>
      </c>
      <c r="E628" t="s">
        <v>55</v>
      </c>
      <c r="F628">
        <v>31</v>
      </c>
      <c r="G628" t="s">
        <v>56</v>
      </c>
      <c r="H628" t="s">
        <v>55</v>
      </c>
      <c r="I628" t="s">
        <v>29</v>
      </c>
      <c r="J628" t="s">
        <v>12</v>
      </c>
      <c r="K628" t="s">
        <v>55</v>
      </c>
      <c r="L628" t="s">
        <v>57</v>
      </c>
      <c r="M628">
        <v>48.08</v>
      </c>
      <c r="N628">
        <v>1468.26</v>
      </c>
      <c r="O628" t="s">
        <v>62</v>
      </c>
      <c r="P628" t="s">
        <v>55</v>
      </c>
    </row>
    <row r="629" spans="1:16" x14ac:dyDescent="0.35">
      <c r="A629" t="s">
        <v>693</v>
      </c>
      <c r="B629">
        <v>64</v>
      </c>
      <c r="C629" t="s">
        <v>56</v>
      </c>
      <c r="D629" t="s">
        <v>55</v>
      </c>
      <c r="E629" t="s">
        <v>55</v>
      </c>
      <c r="F629">
        <v>18</v>
      </c>
      <c r="G629" t="s">
        <v>56</v>
      </c>
      <c r="H629" t="s">
        <v>55</v>
      </c>
      <c r="I629" t="s">
        <v>30</v>
      </c>
      <c r="J629" t="s">
        <v>14</v>
      </c>
      <c r="K629" t="s">
        <v>55</v>
      </c>
      <c r="L629" t="s">
        <v>61</v>
      </c>
      <c r="M629">
        <v>81.45</v>
      </c>
      <c r="N629">
        <v>1507.07</v>
      </c>
      <c r="O629" t="s">
        <v>62</v>
      </c>
      <c r="P629" t="s">
        <v>55</v>
      </c>
    </row>
    <row r="630" spans="1:16" x14ac:dyDescent="0.35">
      <c r="A630" t="s">
        <v>694</v>
      </c>
      <c r="B630">
        <v>52</v>
      </c>
      <c r="C630" t="s">
        <v>55</v>
      </c>
      <c r="D630" t="s">
        <v>56</v>
      </c>
      <c r="E630" t="s">
        <v>56</v>
      </c>
      <c r="F630">
        <v>29</v>
      </c>
      <c r="G630" t="s">
        <v>55</v>
      </c>
      <c r="H630" t="s">
        <v>60</v>
      </c>
      <c r="I630" t="s">
        <v>29</v>
      </c>
      <c r="J630" t="s">
        <v>12</v>
      </c>
      <c r="K630" t="s">
        <v>56</v>
      </c>
      <c r="L630" t="s">
        <v>57</v>
      </c>
      <c r="M630">
        <v>40.24</v>
      </c>
      <c r="N630">
        <v>1218.75</v>
      </c>
      <c r="O630" t="s">
        <v>62</v>
      </c>
      <c r="P630" t="s">
        <v>56</v>
      </c>
    </row>
    <row r="631" spans="1:16" x14ac:dyDescent="0.35">
      <c r="A631" t="s">
        <v>695</v>
      </c>
      <c r="B631">
        <v>21</v>
      </c>
      <c r="C631" t="s">
        <v>55</v>
      </c>
      <c r="D631" t="s">
        <v>56</v>
      </c>
      <c r="E631" t="s">
        <v>56</v>
      </c>
      <c r="F631">
        <v>17</v>
      </c>
      <c r="G631" t="s">
        <v>56</v>
      </c>
      <c r="H631" t="s">
        <v>56</v>
      </c>
      <c r="I631" t="s">
        <v>30</v>
      </c>
      <c r="J631" t="s">
        <v>12</v>
      </c>
      <c r="K631" t="s">
        <v>55</v>
      </c>
      <c r="L631" t="s">
        <v>26</v>
      </c>
      <c r="M631">
        <v>106.08</v>
      </c>
      <c r="N631">
        <v>1748.16</v>
      </c>
      <c r="O631" t="s">
        <v>62</v>
      </c>
      <c r="P631" t="s">
        <v>56</v>
      </c>
    </row>
    <row r="632" spans="1:16" x14ac:dyDescent="0.35">
      <c r="A632" t="s">
        <v>696</v>
      </c>
      <c r="B632">
        <v>37</v>
      </c>
      <c r="C632" t="s">
        <v>55</v>
      </c>
      <c r="D632" t="s">
        <v>55</v>
      </c>
      <c r="E632" t="s">
        <v>55</v>
      </c>
      <c r="F632">
        <v>26</v>
      </c>
      <c r="G632" t="s">
        <v>55</v>
      </c>
      <c r="H632" t="s">
        <v>60</v>
      </c>
      <c r="I632" t="s">
        <v>30</v>
      </c>
      <c r="J632" t="s">
        <v>12</v>
      </c>
      <c r="K632" t="s">
        <v>55</v>
      </c>
      <c r="L632" t="s">
        <v>57</v>
      </c>
      <c r="M632">
        <v>78.39</v>
      </c>
      <c r="N632">
        <v>2023.8</v>
      </c>
      <c r="O632" t="s">
        <v>69</v>
      </c>
      <c r="P632" t="s">
        <v>55</v>
      </c>
    </row>
    <row r="633" spans="1:16" x14ac:dyDescent="0.35">
      <c r="A633" t="s">
        <v>697</v>
      </c>
      <c r="B633">
        <v>45</v>
      </c>
      <c r="C633" t="s">
        <v>55</v>
      </c>
      <c r="D633" t="s">
        <v>56</v>
      </c>
      <c r="E633" t="s">
        <v>55</v>
      </c>
      <c r="F633">
        <v>3</v>
      </c>
      <c r="G633" t="s">
        <v>55</v>
      </c>
      <c r="H633" t="s">
        <v>60</v>
      </c>
      <c r="I633" t="s">
        <v>29</v>
      </c>
      <c r="J633" t="s">
        <v>14</v>
      </c>
      <c r="K633" t="s">
        <v>55</v>
      </c>
      <c r="L633" t="s">
        <v>57</v>
      </c>
      <c r="M633">
        <v>46.11</v>
      </c>
      <c r="N633">
        <v>142.09</v>
      </c>
      <c r="O633" t="s">
        <v>64</v>
      </c>
      <c r="P633" t="s">
        <v>56</v>
      </c>
    </row>
    <row r="634" spans="1:16" x14ac:dyDescent="0.35">
      <c r="A634" t="s">
        <v>698</v>
      </c>
      <c r="B634">
        <v>37</v>
      </c>
      <c r="C634" t="s">
        <v>55</v>
      </c>
      <c r="D634" t="s">
        <v>55</v>
      </c>
      <c r="E634" t="s">
        <v>55</v>
      </c>
      <c r="F634">
        <v>49</v>
      </c>
      <c r="G634" t="s">
        <v>55</v>
      </c>
      <c r="H634" t="s">
        <v>60</v>
      </c>
      <c r="I634" t="s">
        <v>29</v>
      </c>
      <c r="J634" t="s">
        <v>12</v>
      </c>
      <c r="K634" t="s">
        <v>56</v>
      </c>
      <c r="L634" t="s">
        <v>61</v>
      </c>
      <c r="M634">
        <v>47.83</v>
      </c>
      <c r="N634">
        <v>2460.6999999999998</v>
      </c>
      <c r="O634" t="s">
        <v>66</v>
      </c>
      <c r="P634" t="s">
        <v>56</v>
      </c>
    </row>
    <row r="635" spans="1:16" x14ac:dyDescent="0.35">
      <c r="A635" t="s">
        <v>699</v>
      </c>
      <c r="B635">
        <v>50</v>
      </c>
      <c r="C635" t="s">
        <v>55</v>
      </c>
      <c r="D635" t="s">
        <v>55</v>
      </c>
      <c r="E635" t="s">
        <v>55</v>
      </c>
      <c r="F635">
        <v>52</v>
      </c>
      <c r="G635" t="s">
        <v>55</v>
      </c>
      <c r="H635" t="s">
        <v>60</v>
      </c>
      <c r="I635" t="s">
        <v>55</v>
      </c>
      <c r="J635" t="s">
        <v>14</v>
      </c>
      <c r="K635" t="s">
        <v>55</v>
      </c>
      <c r="L635" t="s">
        <v>57</v>
      </c>
      <c r="M635">
        <v>21.69</v>
      </c>
      <c r="N635">
        <v>1193.8599999999999</v>
      </c>
      <c r="O635" t="s">
        <v>80</v>
      </c>
      <c r="P635" t="s">
        <v>56</v>
      </c>
    </row>
    <row r="636" spans="1:16" x14ac:dyDescent="0.35">
      <c r="A636" t="s">
        <v>700</v>
      </c>
      <c r="B636">
        <v>25</v>
      </c>
      <c r="C636" t="s">
        <v>55</v>
      </c>
      <c r="D636" t="s">
        <v>55</v>
      </c>
      <c r="E636" t="s">
        <v>56</v>
      </c>
      <c r="F636">
        <v>25</v>
      </c>
      <c r="G636" t="s">
        <v>55</v>
      </c>
      <c r="H636" t="s">
        <v>60</v>
      </c>
      <c r="I636" t="s">
        <v>29</v>
      </c>
      <c r="J636" t="s">
        <v>13</v>
      </c>
      <c r="K636" t="s">
        <v>55</v>
      </c>
      <c r="L636" t="s">
        <v>57</v>
      </c>
      <c r="M636">
        <v>59.54</v>
      </c>
      <c r="N636">
        <v>1522.17</v>
      </c>
      <c r="O636" t="s">
        <v>69</v>
      </c>
      <c r="P636" t="s">
        <v>55</v>
      </c>
    </row>
    <row r="637" spans="1:16" x14ac:dyDescent="0.35">
      <c r="A637" t="s">
        <v>701</v>
      </c>
      <c r="B637">
        <v>42</v>
      </c>
      <c r="C637" t="s">
        <v>55</v>
      </c>
      <c r="D637" t="s">
        <v>55</v>
      </c>
      <c r="E637" t="s">
        <v>56</v>
      </c>
      <c r="F637">
        <v>32</v>
      </c>
      <c r="G637" t="s">
        <v>55</v>
      </c>
      <c r="H637" t="s">
        <v>60</v>
      </c>
      <c r="I637" t="s">
        <v>29</v>
      </c>
      <c r="J637" t="s">
        <v>13</v>
      </c>
      <c r="K637" t="s">
        <v>56</v>
      </c>
      <c r="L637" t="s">
        <v>61</v>
      </c>
      <c r="M637">
        <v>65.81</v>
      </c>
      <c r="N637">
        <v>2045.61</v>
      </c>
      <c r="O637" t="s">
        <v>69</v>
      </c>
      <c r="P637" t="s">
        <v>55</v>
      </c>
    </row>
    <row r="638" spans="1:16" x14ac:dyDescent="0.35">
      <c r="A638" t="s">
        <v>702</v>
      </c>
      <c r="B638">
        <v>27</v>
      </c>
      <c r="C638" t="s">
        <v>55</v>
      </c>
      <c r="D638" t="s">
        <v>55</v>
      </c>
      <c r="E638" t="s">
        <v>56</v>
      </c>
      <c r="F638">
        <v>21</v>
      </c>
      <c r="G638" t="s">
        <v>56</v>
      </c>
      <c r="H638" t="s">
        <v>55</v>
      </c>
      <c r="I638" t="s">
        <v>30</v>
      </c>
      <c r="J638" t="s">
        <v>14</v>
      </c>
      <c r="K638" t="s">
        <v>55</v>
      </c>
      <c r="L638" t="s">
        <v>61</v>
      </c>
      <c r="M638">
        <v>118.71</v>
      </c>
      <c r="N638">
        <v>2367.37</v>
      </c>
      <c r="O638" t="s">
        <v>64</v>
      </c>
      <c r="P638" t="s">
        <v>55</v>
      </c>
    </row>
    <row r="639" spans="1:16" x14ac:dyDescent="0.35">
      <c r="A639" t="s">
        <v>703</v>
      </c>
      <c r="B639">
        <v>28</v>
      </c>
      <c r="C639" t="s">
        <v>55</v>
      </c>
      <c r="D639" t="s">
        <v>55</v>
      </c>
      <c r="E639" t="s">
        <v>55</v>
      </c>
      <c r="F639">
        <v>39</v>
      </c>
      <c r="G639" t="s">
        <v>55</v>
      </c>
      <c r="H639" t="s">
        <v>60</v>
      </c>
      <c r="I639" t="s">
        <v>29</v>
      </c>
      <c r="J639" t="s">
        <v>13</v>
      </c>
      <c r="K639" t="s">
        <v>55</v>
      </c>
      <c r="L639" t="s">
        <v>61</v>
      </c>
      <c r="M639">
        <v>76.97</v>
      </c>
      <c r="N639">
        <v>3134.9</v>
      </c>
      <c r="O639" t="s">
        <v>58</v>
      </c>
      <c r="P639" t="s">
        <v>56</v>
      </c>
    </row>
    <row r="640" spans="1:16" x14ac:dyDescent="0.35">
      <c r="A640" t="s">
        <v>704</v>
      </c>
      <c r="B640">
        <v>67</v>
      </c>
      <c r="C640" t="s">
        <v>56</v>
      </c>
      <c r="D640" t="s">
        <v>55</v>
      </c>
      <c r="E640" t="s">
        <v>56</v>
      </c>
      <c r="F640">
        <v>35</v>
      </c>
      <c r="G640" t="s">
        <v>55</v>
      </c>
      <c r="H640" t="s">
        <v>60</v>
      </c>
      <c r="I640" t="s">
        <v>29</v>
      </c>
      <c r="J640" t="s">
        <v>13</v>
      </c>
      <c r="K640" t="s">
        <v>56</v>
      </c>
      <c r="L640" t="s">
        <v>25</v>
      </c>
      <c r="M640">
        <v>72.66</v>
      </c>
      <c r="N640">
        <v>2391</v>
      </c>
      <c r="O640" t="s">
        <v>69</v>
      </c>
      <c r="P640" t="s">
        <v>56</v>
      </c>
    </row>
    <row r="641" spans="1:16" x14ac:dyDescent="0.35">
      <c r="A641" t="s">
        <v>705</v>
      </c>
      <c r="B641">
        <v>44</v>
      </c>
      <c r="C641" t="s">
        <v>55</v>
      </c>
      <c r="D641" t="s">
        <v>55</v>
      </c>
      <c r="E641" t="s">
        <v>55</v>
      </c>
      <c r="F641">
        <v>56</v>
      </c>
      <c r="G641" t="s">
        <v>55</v>
      </c>
      <c r="H641" t="s">
        <v>60</v>
      </c>
      <c r="I641" t="s">
        <v>30</v>
      </c>
      <c r="J641" t="s">
        <v>12</v>
      </c>
      <c r="K641" t="s">
        <v>56</v>
      </c>
      <c r="L641" t="s">
        <v>26</v>
      </c>
      <c r="M641">
        <v>79.099999999999994</v>
      </c>
      <c r="N641">
        <v>4667.99</v>
      </c>
      <c r="O641" t="s">
        <v>66</v>
      </c>
      <c r="P641" t="s">
        <v>56</v>
      </c>
    </row>
    <row r="642" spans="1:16" x14ac:dyDescent="0.35">
      <c r="A642" t="s">
        <v>706</v>
      </c>
      <c r="B642">
        <v>31</v>
      </c>
      <c r="C642" t="s">
        <v>55</v>
      </c>
      <c r="D642" t="s">
        <v>56</v>
      </c>
      <c r="E642" t="s">
        <v>56</v>
      </c>
      <c r="F642">
        <v>8</v>
      </c>
      <c r="G642" t="s">
        <v>56</v>
      </c>
      <c r="H642" t="s">
        <v>56</v>
      </c>
      <c r="I642" t="s">
        <v>29</v>
      </c>
      <c r="J642" t="s">
        <v>14</v>
      </c>
      <c r="K642" t="s">
        <v>55</v>
      </c>
      <c r="L642" t="s">
        <v>57</v>
      </c>
      <c r="M642">
        <v>76.52</v>
      </c>
      <c r="N642">
        <v>583.45000000000005</v>
      </c>
      <c r="O642" t="s">
        <v>80</v>
      </c>
      <c r="P642" t="s">
        <v>55</v>
      </c>
    </row>
    <row r="643" spans="1:16" x14ac:dyDescent="0.35">
      <c r="A643" t="s">
        <v>707</v>
      </c>
      <c r="B643">
        <v>36</v>
      </c>
      <c r="C643" t="s">
        <v>55</v>
      </c>
      <c r="D643" t="s">
        <v>56</v>
      </c>
      <c r="E643" t="s">
        <v>55</v>
      </c>
      <c r="F643">
        <v>16</v>
      </c>
      <c r="G643" t="s">
        <v>55</v>
      </c>
      <c r="H643" t="s">
        <v>60</v>
      </c>
      <c r="I643" t="s">
        <v>30</v>
      </c>
      <c r="J643" t="s">
        <v>12</v>
      </c>
      <c r="K643" t="s">
        <v>56</v>
      </c>
      <c r="L643" t="s">
        <v>57</v>
      </c>
      <c r="M643">
        <v>103.64</v>
      </c>
      <c r="N643">
        <v>1578.81</v>
      </c>
      <c r="O643" t="s">
        <v>66</v>
      </c>
      <c r="P643" t="s">
        <v>56</v>
      </c>
    </row>
    <row r="644" spans="1:16" x14ac:dyDescent="0.35">
      <c r="A644" t="s">
        <v>708</v>
      </c>
      <c r="B644">
        <v>18</v>
      </c>
      <c r="C644" t="s">
        <v>55</v>
      </c>
      <c r="D644" t="s">
        <v>56</v>
      </c>
      <c r="E644" t="s">
        <v>56</v>
      </c>
      <c r="F644">
        <v>28</v>
      </c>
      <c r="G644" t="s">
        <v>56</v>
      </c>
      <c r="H644" t="s">
        <v>55</v>
      </c>
      <c r="I644" t="s">
        <v>29</v>
      </c>
      <c r="J644" t="s">
        <v>12</v>
      </c>
      <c r="K644" t="s">
        <v>55</v>
      </c>
      <c r="L644" t="s">
        <v>25</v>
      </c>
      <c r="M644">
        <v>58.93</v>
      </c>
      <c r="N644">
        <v>1617.77</v>
      </c>
      <c r="O644" t="s">
        <v>76</v>
      </c>
      <c r="P644" t="s">
        <v>55</v>
      </c>
    </row>
    <row r="645" spans="1:16" x14ac:dyDescent="0.35">
      <c r="A645" t="s">
        <v>709</v>
      </c>
      <c r="B645">
        <v>61</v>
      </c>
      <c r="C645" t="s">
        <v>56</v>
      </c>
      <c r="D645" t="s">
        <v>55</v>
      </c>
      <c r="E645" t="s">
        <v>55</v>
      </c>
      <c r="F645">
        <v>31</v>
      </c>
      <c r="G645" t="s">
        <v>55</v>
      </c>
      <c r="H645" t="s">
        <v>60</v>
      </c>
      <c r="I645" t="s">
        <v>55</v>
      </c>
      <c r="J645" t="s">
        <v>12</v>
      </c>
      <c r="K645" t="s">
        <v>56</v>
      </c>
      <c r="L645" t="s">
        <v>25</v>
      </c>
      <c r="M645">
        <v>28.48</v>
      </c>
      <c r="N645">
        <v>915.33</v>
      </c>
      <c r="O645" t="s">
        <v>66</v>
      </c>
      <c r="P645" t="s">
        <v>56</v>
      </c>
    </row>
    <row r="646" spans="1:16" x14ac:dyDescent="0.35">
      <c r="A646" t="s">
        <v>710</v>
      </c>
      <c r="B646">
        <v>62</v>
      </c>
      <c r="C646" t="s">
        <v>56</v>
      </c>
      <c r="D646" t="s">
        <v>55</v>
      </c>
      <c r="E646" t="s">
        <v>56</v>
      </c>
      <c r="F646">
        <v>4</v>
      </c>
      <c r="G646" t="s">
        <v>55</v>
      </c>
      <c r="H646" t="s">
        <v>60</v>
      </c>
      <c r="I646" t="s">
        <v>29</v>
      </c>
      <c r="J646" t="s">
        <v>14</v>
      </c>
      <c r="K646" t="s">
        <v>56</v>
      </c>
      <c r="L646" t="s">
        <v>57</v>
      </c>
      <c r="M646">
        <v>64.73</v>
      </c>
      <c r="N646">
        <v>263.86</v>
      </c>
      <c r="O646" t="s">
        <v>64</v>
      </c>
      <c r="P646" t="s">
        <v>55</v>
      </c>
    </row>
    <row r="647" spans="1:16" x14ac:dyDescent="0.35">
      <c r="A647" t="s">
        <v>711</v>
      </c>
      <c r="B647">
        <v>60</v>
      </c>
      <c r="C647" t="s">
        <v>56</v>
      </c>
      <c r="D647" t="s">
        <v>56</v>
      </c>
      <c r="E647" t="s">
        <v>56</v>
      </c>
      <c r="F647">
        <v>42</v>
      </c>
      <c r="G647" t="s">
        <v>55</v>
      </c>
      <c r="H647" t="s">
        <v>60</v>
      </c>
      <c r="I647" t="s">
        <v>30</v>
      </c>
      <c r="J647" t="s">
        <v>14</v>
      </c>
      <c r="K647" t="s">
        <v>55</v>
      </c>
      <c r="L647" t="s">
        <v>61</v>
      </c>
      <c r="M647">
        <v>81.680000000000007</v>
      </c>
      <c r="N647">
        <v>3424.19</v>
      </c>
      <c r="O647" t="s">
        <v>66</v>
      </c>
      <c r="P647" t="s">
        <v>55</v>
      </c>
    </row>
    <row r="648" spans="1:16" x14ac:dyDescent="0.35">
      <c r="A648" t="s">
        <v>712</v>
      </c>
      <c r="B648">
        <v>23</v>
      </c>
      <c r="C648" t="s">
        <v>55</v>
      </c>
      <c r="D648" t="s">
        <v>55</v>
      </c>
      <c r="E648" t="s">
        <v>55</v>
      </c>
      <c r="F648">
        <v>61</v>
      </c>
      <c r="G648" t="s">
        <v>56</v>
      </c>
      <c r="H648" t="s">
        <v>55</v>
      </c>
      <c r="I648" t="s">
        <v>55</v>
      </c>
      <c r="J648" t="s">
        <v>12</v>
      </c>
      <c r="K648" t="s">
        <v>56</v>
      </c>
      <c r="L648" t="s">
        <v>61</v>
      </c>
      <c r="M648">
        <v>28.44</v>
      </c>
      <c r="N648">
        <v>1813.16</v>
      </c>
      <c r="O648" t="s">
        <v>69</v>
      </c>
      <c r="P648" t="s">
        <v>55</v>
      </c>
    </row>
    <row r="649" spans="1:16" x14ac:dyDescent="0.35">
      <c r="A649" t="s">
        <v>713</v>
      </c>
      <c r="B649">
        <v>50</v>
      </c>
      <c r="C649" t="s">
        <v>55</v>
      </c>
      <c r="D649" t="s">
        <v>56</v>
      </c>
      <c r="E649" t="s">
        <v>56</v>
      </c>
      <c r="F649">
        <v>64</v>
      </c>
      <c r="G649" t="s">
        <v>55</v>
      </c>
      <c r="H649" t="s">
        <v>60</v>
      </c>
      <c r="I649" t="s">
        <v>29</v>
      </c>
      <c r="J649" t="s">
        <v>14</v>
      </c>
      <c r="K649" t="s">
        <v>55</v>
      </c>
      <c r="L649" t="s">
        <v>26</v>
      </c>
      <c r="M649">
        <v>57.85</v>
      </c>
      <c r="N649">
        <v>3531.65</v>
      </c>
      <c r="O649" t="s">
        <v>62</v>
      </c>
      <c r="P649" t="s">
        <v>55</v>
      </c>
    </row>
    <row r="650" spans="1:16" x14ac:dyDescent="0.35">
      <c r="A650" t="s">
        <v>714</v>
      </c>
      <c r="B650">
        <v>33</v>
      </c>
      <c r="C650" t="s">
        <v>55</v>
      </c>
      <c r="D650" t="s">
        <v>56</v>
      </c>
      <c r="E650" t="s">
        <v>56</v>
      </c>
      <c r="F650">
        <v>12</v>
      </c>
      <c r="G650" t="s">
        <v>56</v>
      </c>
      <c r="H650" t="s">
        <v>56</v>
      </c>
      <c r="I650" t="s">
        <v>30</v>
      </c>
      <c r="J650" t="s">
        <v>14</v>
      </c>
      <c r="K650" t="s">
        <v>55</v>
      </c>
      <c r="L650" t="s">
        <v>61</v>
      </c>
      <c r="M650">
        <v>81.02</v>
      </c>
      <c r="N650">
        <v>943.96</v>
      </c>
      <c r="O650" t="s">
        <v>69</v>
      </c>
      <c r="P650" t="s">
        <v>55</v>
      </c>
    </row>
    <row r="651" spans="1:16" x14ac:dyDescent="0.35">
      <c r="A651" t="s">
        <v>715</v>
      </c>
      <c r="B651">
        <v>25</v>
      </c>
      <c r="C651" t="s">
        <v>55</v>
      </c>
      <c r="D651" t="s">
        <v>56</v>
      </c>
      <c r="E651" t="s">
        <v>55</v>
      </c>
      <c r="F651">
        <v>12</v>
      </c>
      <c r="G651" t="s">
        <v>55</v>
      </c>
      <c r="H651" t="s">
        <v>60</v>
      </c>
      <c r="I651" t="s">
        <v>29</v>
      </c>
      <c r="J651" t="s">
        <v>14</v>
      </c>
      <c r="K651" t="s">
        <v>56</v>
      </c>
      <c r="L651" t="s">
        <v>61</v>
      </c>
      <c r="M651">
        <v>55.08</v>
      </c>
      <c r="N651">
        <v>678.21</v>
      </c>
      <c r="O651" t="s">
        <v>64</v>
      </c>
      <c r="P651" t="s">
        <v>55</v>
      </c>
    </row>
    <row r="652" spans="1:16" x14ac:dyDescent="0.35">
      <c r="A652" t="s">
        <v>716</v>
      </c>
      <c r="B652">
        <v>59</v>
      </c>
      <c r="C652" t="s">
        <v>55</v>
      </c>
      <c r="D652" t="s">
        <v>55</v>
      </c>
      <c r="E652" t="s">
        <v>56</v>
      </c>
      <c r="F652">
        <v>29</v>
      </c>
      <c r="G652" t="s">
        <v>55</v>
      </c>
      <c r="H652" t="s">
        <v>60</v>
      </c>
      <c r="I652" t="s">
        <v>30</v>
      </c>
      <c r="J652" t="s">
        <v>12</v>
      </c>
      <c r="K652" t="s">
        <v>56</v>
      </c>
      <c r="L652" t="s">
        <v>26</v>
      </c>
      <c r="M652">
        <v>99.61</v>
      </c>
      <c r="N652">
        <v>2780.59</v>
      </c>
      <c r="O652" t="s">
        <v>58</v>
      </c>
      <c r="P652" t="s">
        <v>55</v>
      </c>
    </row>
    <row r="653" spans="1:16" x14ac:dyDescent="0.35">
      <c r="A653" t="s">
        <v>717</v>
      </c>
      <c r="B653">
        <v>41</v>
      </c>
      <c r="C653" t="s">
        <v>55</v>
      </c>
      <c r="D653" t="s">
        <v>56</v>
      </c>
      <c r="E653" t="s">
        <v>55</v>
      </c>
      <c r="F653">
        <v>49</v>
      </c>
      <c r="G653" t="s">
        <v>56</v>
      </c>
      <c r="H653" t="s">
        <v>56</v>
      </c>
      <c r="I653" t="s">
        <v>29</v>
      </c>
      <c r="J653" t="s">
        <v>13</v>
      </c>
      <c r="K653" t="s">
        <v>56</v>
      </c>
      <c r="L653" t="s">
        <v>61</v>
      </c>
      <c r="M653">
        <v>79.19</v>
      </c>
      <c r="N653">
        <v>3796.33</v>
      </c>
      <c r="O653" t="s">
        <v>69</v>
      </c>
      <c r="P653" t="s">
        <v>55</v>
      </c>
    </row>
    <row r="654" spans="1:16" x14ac:dyDescent="0.35">
      <c r="A654" t="s">
        <v>718</v>
      </c>
      <c r="B654">
        <v>68</v>
      </c>
      <c r="C654" t="s">
        <v>56</v>
      </c>
      <c r="D654" t="s">
        <v>56</v>
      </c>
      <c r="E654" t="s">
        <v>56</v>
      </c>
      <c r="F654">
        <v>14</v>
      </c>
      <c r="G654" t="s">
        <v>55</v>
      </c>
      <c r="H654" t="s">
        <v>60</v>
      </c>
      <c r="I654" t="s">
        <v>30</v>
      </c>
      <c r="J654" t="s">
        <v>12</v>
      </c>
      <c r="K654" t="s">
        <v>55</v>
      </c>
      <c r="L654" t="s">
        <v>61</v>
      </c>
      <c r="M654">
        <v>94.99</v>
      </c>
      <c r="N654">
        <v>1322.8</v>
      </c>
      <c r="O654" t="s">
        <v>62</v>
      </c>
      <c r="P654" t="s">
        <v>55</v>
      </c>
    </row>
    <row r="655" spans="1:16" x14ac:dyDescent="0.35">
      <c r="A655" t="s">
        <v>719</v>
      </c>
      <c r="B655">
        <v>65</v>
      </c>
      <c r="C655" t="s">
        <v>56</v>
      </c>
      <c r="D655" t="s">
        <v>56</v>
      </c>
      <c r="E655" t="s">
        <v>55</v>
      </c>
      <c r="F655">
        <v>40</v>
      </c>
      <c r="G655" t="s">
        <v>56</v>
      </c>
      <c r="H655" t="s">
        <v>56</v>
      </c>
      <c r="I655" t="s">
        <v>29</v>
      </c>
      <c r="J655" t="s">
        <v>14</v>
      </c>
      <c r="K655" t="s">
        <v>55</v>
      </c>
      <c r="L655" t="s">
        <v>61</v>
      </c>
      <c r="M655">
        <v>48.63</v>
      </c>
      <c r="N655">
        <v>1896.53</v>
      </c>
      <c r="O655" t="s">
        <v>80</v>
      </c>
      <c r="P655" t="s">
        <v>55</v>
      </c>
    </row>
    <row r="656" spans="1:16" x14ac:dyDescent="0.35">
      <c r="A656" t="s">
        <v>720</v>
      </c>
      <c r="B656">
        <v>69</v>
      </c>
      <c r="C656" t="s">
        <v>56</v>
      </c>
      <c r="D656" t="s">
        <v>55</v>
      </c>
      <c r="E656" t="s">
        <v>56</v>
      </c>
      <c r="F656">
        <v>27</v>
      </c>
      <c r="G656" t="s">
        <v>56</v>
      </c>
      <c r="H656" t="s">
        <v>55</v>
      </c>
      <c r="I656" t="s">
        <v>55</v>
      </c>
      <c r="J656" t="s">
        <v>12</v>
      </c>
      <c r="K656" t="s">
        <v>56</v>
      </c>
      <c r="L656" t="s">
        <v>25</v>
      </c>
      <c r="M656">
        <v>26.73</v>
      </c>
      <c r="N656">
        <v>704.31</v>
      </c>
      <c r="O656" t="s">
        <v>66</v>
      </c>
      <c r="P656" t="s">
        <v>55</v>
      </c>
    </row>
    <row r="657" spans="1:16" x14ac:dyDescent="0.35">
      <c r="A657" t="s">
        <v>721</v>
      </c>
      <c r="B657">
        <v>28</v>
      </c>
      <c r="C657" t="s">
        <v>55</v>
      </c>
      <c r="D657" t="s">
        <v>56</v>
      </c>
      <c r="E657" t="s">
        <v>55</v>
      </c>
      <c r="F657">
        <v>44</v>
      </c>
      <c r="G657" t="s">
        <v>55</v>
      </c>
      <c r="H657" t="s">
        <v>60</v>
      </c>
      <c r="I657" t="s">
        <v>30</v>
      </c>
      <c r="J657" t="s">
        <v>14</v>
      </c>
      <c r="K657" t="s">
        <v>55</v>
      </c>
      <c r="L657" t="s">
        <v>57</v>
      </c>
      <c r="M657">
        <v>96.39</v>
      </c>
      <c r="N657">
        <v>4130.74</v>
      </c>
      <c r="O657" t="s">
        <v>62</v>
      </c>
      <c r="P657" t="s">
        <v>55</v>
      </c>
    </row>
    <row r="658" spans="1:16" x14ac:dyDescent="0.35">
      <c r="A658" t="s">
        <v>722</v>
      </c>
      <c r="B658">
        <v>62</v>
      </c>
      <c r="C658" t="s">
        <v>56</v>
      </c>
      <c r="D658" t="s">
        <v>55</v>
      </c>
      <c r="E658" t="s">
        <v>56</v>
      </c>
      <c r="F658">
        <v>17</v>
      </c>
      <c r="G658" t="s">
        <v>56</v>
      </c>
      <c r="H658" t="s">
        <v>55</v>
      </c>
      <c r="I658" t="s">
        <v>30</v>
      </c>
      <c r="J658" t="s">
        <v>13</v>
      </c>
      <c r="K658" t="s">
        <v>55</v>
      </c>
      <c r="L658" t="s">
        <v>61</v>
      </c>
      <c r="M658">
        <v>98.86</v>
      </c>
      <c r="N658">
        <v>1668.9</v>
      </c>
      <c r="O658" t="s">
        <v>62</v>
      </c>
      <c r="P658" t="s">
        <v>55</v>
      </c>
    </row>
    <row r="659" spans="1:16" x14ac:dyDescent="0.35">
      <c r="A659" t="s">
        <v>723</v>
      </c>
      <c r="B659">
        <v>31</v>
      </c>
      <c r="C659" t="s">
        <v>55</v>
      </c>
      <c r="D659" t="s">
        <v>56</v>
      </c>
      <c r="E659" t="s">
        <v>56</v>
      </c>
      <c r="F659">
        <v>2</v>
      </c>
      <c r="G659" t="s">
        <v>56</v>
      </c>
      <c r="H659" t="s">
        <v>55</v>
      </c>
      <c r="I659" t="s">
        <v>30</v>
      </c>
      <c r="J659" t="s">
        <v>14</v>
      </c>
      <c r="K659" t="s">
        <v>56</v>
      </c>
      <c r="L659" t="s">
        <v>57</v>
      </c>
      <c r="M659">
        <v>119.14</v>
      </c>
      <c r="N659">
        <v>243.41</v>
      </c>
      <c r="O659" t="s">
        <v>80</v>
      </c>
      <c r="P659" t="s">
        <v>56</v>
      </c>
    </row>
    <row r="660" spans="1:16" x14ac:dyDescent="0.35">
      <c r="A660" t="s">
        <v>724</v>
      </c>
      <c r="B660">
        <v>24</v>
      </c>
      <c r="C660" t="s">
        <v>55</v>
      </c>
      <c r="D660" t="s">
        <v>55</v>
      </c>
      <c r="E660" t="s">
        <v>55</v>
      </c>
      <c r="F660">
        <v>23</v>
      </c>
      <c r="G660" t="s">
        <v>56</v>
      </c>
      <c r="H660" t="s">
        <v>55</v>
      </c>
      <c r="I660" t="s">
        <v>55</v>
      </c>
      <c r="J660" t="s">
        <v>13</v>
      </c>
      <c r="K660" t="s">
        <v>55</v>
      </c>
      <c r="L660" t="s">
        <v>25</v>
      </c>
      <c r="M660">
        <v>25.52</v>
      </c>
      <c r="N660">
        <v>580.20000000000005</v>
      </c>
      <c r="O660" t="s">
        <v>62</v>
      </c>
      <c r="P660" t="s">
        <v>56</v>
      </c>
    </row>
    <row r="661" spans="1:16" x14ac:dyDescent="0.35">
      <c r="A661" t="s">
        <v>725</v>
      </c>
      <c r="B661">
        <v>43</v>
      </c>
      <c r="C661" t="s">
        <v>55</v>
      </c>
      <c r="D661" t="s">
        <v>55</v>
      </c>
      <c r="E661" t="s">
        <v>55</v>
      </c>
      <c r="F661">
        <v>23</v>
      </c>
      <c r="G661" t="s">
        <v>55</v>
      </c>
      <c r="H661" t="s">
        <v>60</v>
      </c>
      <c r="I661" t="s">
        <v>29</v>
      </c>
      <c r="J661" t="s">
        <v>13</v>
      </c>
      <c r="K661" t="s">
        <v>56</v>
      </c>
      <c r="L661" t="s">
        <v>61</v>
      </c>
      <c r="M661">
        <v>74.599999999999994</v>
      </c>
      <c r="N661">
        <v>1746.75</v>
      </c>
      <c r="O661" t="s">
        <v>69</v>
      </c>
      <c r="P661" t="s">
        <v>55</v>
      </c>
    </row>
    <row r="662" spans="1:16" x14ac:dyDescent="0.35">
      <c r="A662" t="s">
        <v>726</v>
      </c>
      <c r="B662">
        <v>46</v>
      </c>
      <c r="C662" t="s">
        <v>55</v>
      </c>
      <c r="D662" t="s">
        <v>55</v>
      </c>
      <c r="E662" t="s">
        <v>56</v>
      </c>
      <c r="F662">
        <v>16</v>
      </c>
      <c r="G662" t="s">
        <v>56</v>
      </c>
      <c r="H662" t="s">
        <v>55</v>
      </c>
      <c r="I662" t="s">
        <v>30</v>
      </c>
      <c r="J662" t="s">
        <v>13</v>
      </c>
      <c r="K662" t="s">
        <v>56</v>
      </c>
      <c r="L662" t="s">
        <v>26</v>
      </c>
      <c r="M662">
        <v>98.65</v>
      </c>
      <c r="N662">
        <v>1592.16</v>
      </c>
      <c r="O662" t="s">
        <v>69</v>
      </c>
      <c r="P662" t="s">
        <v>56</v>
      </c>
    </row>
    <row r="663" spans="1:16" x14ac:dyDescent="0.35">
      <c r="A663" t="s">
        <v>727</v>
      </c>
      <c r="B663">
        <v>24</v>
      </c>
      <c r="C663" t="s">
        <v>55</v>
      </c>
      <c r="D663" t="s">
        <v>56</v>
      </c>
      <c r="E663" t="s">
        <v>55</v>
      </c>
      <c r="F663">
        <v>62</v>
      </c>
      <c r="G663" t="s">
        <v>55</v>
      </c>
      <c r="H663" t="s">
        <v>60</v>
      </c>
      <c r="I663" t="s">
        <v>55</v>
      </c>
      <c r="J663" t="s">
        <v>12</v>
      </c>
      <c r="K663" t="s">
        <v>56</v>
      </c>
      <c r="L663" t="s">
        <v>26</v>
      </c>
      <c r="M663">
        <v>18.760000000000002</v>
      </c>
      <c r="N663">
        <v>1220.19</v>
      </c>
      <c r="O663" t="s">
        <v>62</v>
      </c>
      <c r="P663" t="s">
        <v>55</v>
      </c>
    </row>
    <row r="664" spans="1:16" x14ac:dyDescent="0.35">
      <c r="A664" t="s">
        <v>728</v>
      </c>
      <c r="B664">
        <v>43</v>
      </c>
      <c r="C664" t="s">
        <v>55</v>
      </c>
      <c r="D664" t="s">
        <v>56</v>
      </c>
      <c r="E664" t="s">
        <v>55</v>
      </c>
      <c r="F664">
        <v>72</v>
      </c>
      <c r="G664" t="s">
        <v>55</v>
      </c>
      <c r="H664" t="s">
        <v>60</v>
      </c>
      <c r="I664" t="s">
        <v>55</v>
      </c>
      <c r="J664" t="s">
        <v>12</v>
      </c>
      <c r="K664" t="s">
        <v>56</v>
      </c>
      <c r="L664" t="s">
        <v>61</v>
      </c>
      <c r="M664">
        <v>20.49</v>
      </c>
      <c r="N664">
        <v>1503.35</v>
      </c>
      <c r="O664" t="s">
        <v>66</v>
      </c>
      <c r="P664" t="s">
        <v>56</v>
      </c>
    </row>
    <row r="665" spans="1:16" x14ac:dyDescent="0.35">
      <c r="A665" t="s">
        <v>729</v>
      </c>
      <c r="B665">
        <v>56</v>
      </c>
      <c r="C665" t="s">
        <v>55</v>
      </c>
      <c r="D665" t="s">
        <v>56</v>
      </c>
      <c r="E665" t="s">
        <v>56</v>
      </c>
      <c r="F665">
        <v>72</v>
      </c>
      <c r="G665" t="s">
        <v>55</v>
      </c>
      <c r="H665" t="s">
        <v>60</v>
      </c>
      <c r="I665" t="s">
        <v>30</v>
      </c>
      <c r="J665" t="s">
        <v>12</v>
      </c>
      <c r="K665" t="s">
        <v>56</v>
      </c>
      <c r="L665" t="s">
        <v>57</v>
      </c>
      <c r="M665">
        <v>102.63</v>
      </c>
      <c r="N665">
        <v>7023.87</v>
      </c>
      <c r="O665" t="s">
        <v>66</v>
      </c>
      <c r="P665" t="s">
        <v>56</v>
      </c>
    </row>
    <row r="666" spans="1:16" x14ac:dyDescent="0.35">
      <c r="A666" t="s">
        <v>730</v>
      </c>
      <c r="B666">
        <v>20</v>
      </c>
      <c r="C666" t="s">
        <v>55</v>
      </c>
      <c r="D666" t="s">
        <v>56</v>
      </c>
      <c r="E666" t="s">
        <v>56</v>
      </c>
      <c r="F666">
        <v>65</v>
      </c>
      <c r="G666" t="s">
        <v>56</v>
      </c>
      <c r="H666" t="s">
        <v>55</v>
      </c>
      <c r="I666" t="s">
        <v>30</v>
      </c>
      <c r="J666" t="s">
        <v>14</v>
      </c>
      <c r="K666" t="s">
        <v>56</v>
      </c>
      <c r="L666" t="s">
        <v>26</v>
      </c>
      <c r="M666">
        <v>72.31</v>
      </c>
      <c r="N666">
        <v>4951.59</v>
      </c>
      <c r="O666" t="s">
        <v>76</v>
      </c>
      <c r="P666" t="s">
        <v>55</v>
      </c>
    </row>
    <row r="667" spans="1:16" x14ac:dyDescent="0.35">
      <c r="A667" t="s">
        <v>731</v>
      </c>
      <c r="B667">
        <v>60</v>
      </c>
      <c r="C667" t="s">
        <v>56</v>
      </c>
      <c r="D667" t="s">
        <v>55</v>
      </c>
      <c r="E667" t="s">
        <v>56</v>
      </c>
      <c r="F667">
        <v>63</v>
      </c>
      <c r="G667" t="s">
        <v>55</v>
      </c>
      <c r="H667" t="s">
        <v>60</v>
      </c>
      <c r="I667" t="s">
        <v>29</v>
      </c>
      <c r="J667" t="s">
        <v>13</v>
      </c>
      <c r="K667" t="s">
        <v>56</v>
      </c>
      <c r="L667" t="s">
        <v>61</v>
      </c>
      <c r="M667">
        <v>66.5</v>
      </c>
      <c r="N667">
        <v>3960.62</v>
      </c>
      <c r="O667" t="s">
        <v>62</v>
      </c>
      <c r="P667" t="s">
        <v>56</v>
      </c>
    </row>
    <row r="668" spans="1:16" x14ac:dyDescent="0.35">
      <c r="A668" t="s">
        <v>732</v>
      </c>
      <c r="B668">
        <v>37</v>
      </c>
      <c r="C668" t="s">
        <v>55</v>
      </c>
      <c r="D668" t="s">
        <v>56</v>
      </c>
      <c r="E668" t="s">
        <v>56</v>
      </c>
      <c r="F668">
        <v>71</v>
      </c>
      <c r="G668" t="s">
        <v>55</v>
      </c>
      <c r="H668" t="s">
        <v>60</v>
      </c>
      <c r="I668" t="s">
        <v>30</v>
      </c>
      <c r="J668" t="s">
        <v>12</v>
      </c>
      <c r="K668" t="s">
        <v>55</v>
      </c>
      <c r="L668" t="s">
        <v>26</v>
      </c>
      <c r="M668">
        <v>82.75</v>
      </c>
      <c r="N668">
        <v>5791.9</v>
      </c>
      <c r="O668" t="s">
        <v>64</v>
      </c>
      <c r="P668" t="s">
        <v>55</v>
      </c>
    </row>
    <row r="669" spans="1:16" x14ac:dyDescent="0.35">
      <c r="A669" t="s">
        <v>733</v>
      </c>
      <c r="B669">
        <v>47</v>
      </c>
      <c r="C669" t="s">
        <v>55</v>
      </c>
      <c r="D669" t="s">
        <v>56</v>
      </c>
      <c r="E669" t="s">
        <v>55</v>
      </c>
      <c r="F669">
        <v>55</v>
      </c>
      <c r="G669" t="s">
        <v>56</v>
      </c>
      <c r="H669" t="s">
        <v>55</v>
      </c>
      <c r="I669" t="s">
        <v>55</v>
      </c>
      <c r="J669" t="s">
        <v>12</v>
      </c>
      <c r="K669" t="s">
        <v>55</v>
      </c>
      <c r="L669" t="s">
        <v>25</v>
      </c>
      <c r="M669">
        <v>26.36</v>
      </c>
      <c r="N669">
        <v>1396.32</v>
      </c>
      <c r="O669" t="s">
        <v>69</v>
      </c>
      <c r="P669" t="s">
        <v>55</v>
      </c>
    </row>
    <row r="670" spans="1:16" x14ac:dyDescent="0.35">
      <c r="A670" t="s">
        <v>734</v>
      </c>
      <c r="B670">
        <v>59</v>
      </c>
      <c r="C670" t="s">
        <v>55</v>
      </c>
      <c r="D670" t="s">
        <v>56</v>
      </c>
      <c r="E670" t="s">
        <v>55</v>
      </c>
      <c r="F670">
        <v>20</v>
      </c>
      <c r="G670" t="s">
        <v>55</v>
      </c>
      <c r="H670" t="s">
        <v>60</v>
      </c>
      <c r="I670" t="s">
        <v>30</v>
      </c>
      <c r="J670" t="s">
        <v>12</v>
      </c>
      <c r="K670" t="s">
        <v>56</v>
      </c>
      <c r="L670" t="s">
        <v>26</v>
      </c>
      <c r="M670">
        <v>76.23</v>
      </c>
      <c r="N670">
        <v>1453.25</v>
      </c>
      <c r="O670" t="s">
        <v>80</v>
      </c>
      <c r="P670" t="s">
        <v>55</v>
      </c>
    </row>
    <row r="671" spans="1:16" x14ac:dyDescent="0.35">
      <c r="A671" t="s">
        <v>735</v>
      </c>
      <c r="B671">
        <v>39</v>
      </c>
      <c r="C671" t="s">
        <v>55</v>
      </c>
      <c r="D671" t="s">
        <v>56</v>
      </c>
      <c r="E671" t="s">
        <v>55</v>
      </c>
      <c r="F671">
        <v>43</v>
      </c>
      <c r="G671" t="s">
        <v>56</v>
      </c>
      <c r="H671" t="s">
        <v>55</v>
      </c>
      <c r="I671" t="s">
        <v>29</v>
      </c>
      <c r="J671" t="s">
        <v>12</v>
      </c>
      <c r="K671" t="s">
        <v>56</v>
      </c>
      <c r="L671" t="s">
        <v>26</v>
      </c>
      <c r="M671">
        <v>79.180000000000007</v>
      </c>
      <c r="N671">
        <v>3291.25</v>
      </c>
      <c r="O671" t="s">
        <v>66</v>
      </c>
      <c r="P671" t="s">
        <v>55</v>
      </c>
    </row>
    <row r="672" spans="1:16" x14ac:dyDescent="0.35">
      <c r="A672" t="s">
        <v>736</v>
      </c>
      <c r="B672">
        <v>25</v>
      </c>
      <c r="C672" t="s">
        <v>55</v>
      </c>
      <c r="D672" t="s">
        <v>56</v>
      </c>
      <c r="E672" t="s">
        <v>55</v>
      </c>
      <c r="F672">
        <v>63</v>
      </c>
      <c r="G672" t="s">
        <v>55</v>
      </c>
      <c r="H672" t="s">
        <v>60</v>
      </c>
      <c r="I672" t="s">
        <v>30</v>
      </c>
      <c r="J672" t="s">
        <v>13</v>
      </c>
      <c r="K672" t="s">
        <v>55</v>
      </c>
      <c r="L672" t="s">
        <v>57</v>
      </c>
      <c r="M672">
        <v>100.37</v>
      </c>
      <c r="N672">
        <v>6624.23</v>
      </c>
      <c r="O672" t="s">
        <v>66</v>
      </c>
      <c r="P672" t="s">
        <v>56</v>
      </c>
    </row>
    <row r="673" spans="1:16" x14ac:dyDescent="0.35">
      <c r="A673" t="s">
        <v>737</v>
      </c>
      <c r="B673">
        <v>42</v>
      </c>
      <c r="C673" t="s">
        <v>55</v>
      </c>
      <c r="D673" t="s">
        <v>56</v>
      </c>
      <c r="E673" t="s">
        <v>55</v>
      </c>
      <c r="F673">
        <v>69</v>
      </c>
      <c r="G673" t="s">
        <v>55</v>
      </c>
      <c r="H673" t="s">
        <v>60</v>
      </c>
      <c r="I673" t="s">
        <v>29</v>
      </c>
      <c r="J673" t="s">
        <v>12</v>
      </c>
      <c r="K673" t="s">
        <v>56</v>
      </c>
      <c r="L673" t="s">
        <v>26</v>
      </c>
      <c r="M673">
        <v>67.47</v>
      </c>
      <c r="N673">
        <v>4774.55</v>
      </c>
      <c r="O673" t="s">
        <v>62</v>
      </c>
      <c r="P673" t="s">
        <v>55</v>
      </c>
    </row>
    <row r="674" spans="1:16" x14ac:dyDescent="0.35">
      <c r="A674" t="s">
        <v>738</v>
      </c>
      <c r="B674">
        <v>42</v>
      </c>
      <c r="C674" t="s">
        <v>55</v>
      </c>
      <c r="D674" t="s">
        <v>55</v>
      </c>
      <c r="E674" t="s">
        <v>56</v>
      </c>
      <c r="F674">
        <v>48</v>
      </c>
      <c r="G674" t="s">
        <v>56</v>
      </c>
      <c r="H674" t="s">
        <v>55</v>
      </c>
      <c r="I674" t="s">
        <v>29</v>
      </c>
      <c r="J674" t="s">
        <v>12</v>
      </c>
      <c r="K674" t="s">
        <v>55</v>
      </c>
      <c r="L674" t="s">
        <v>26</v>
      </c>
      <c r="M674">
        <v>79.45</v>
      </c>
      <c r="N674">
        <v>3950.19</v>
      </c>
      <c r="O674" t="s">
        <v>76</v>
      </c>
      <c r="P674" t="s">
        <v>55</v>
      </c>
    </row>
    <row r="675" spans="1:16" x14ac:dyDescent="0.35">
      <c r="A675" t="s">
        <v>739</v>
      </c>
      <c r="B675">
        <v>45</v>
      </c>
      <c r="C675" t="s">
        <v>55</v>
      </c>
      <c r="D675" t="s">
        <v>56</v>
      </c>
      <c r="E675" t="s">
        <v>55</v>
      </c>
      <c r="F675">
        <v>12</v>
      </c>
      <c r="G675" t="s">
        <v>55</v>
      </c>
      <c r="H675" t="s">
        <v>60</v>
      </c>
      <c r="I675" t="s">
        <v>55</v>
      </c>
      <c r="J675" t="s">
        <v>13</v>
      </c>
      <c r="K675" t="s">
        <v>56</v>
      </c>
      <c r="L675" t="s">
        <v>61</v>
      </c>
      <c r="M675">
        <v>18.920000000000002</v>
      </c>
      <c r="N675">
        <v>219.96</v>
      </c>
      <c r="O675" t="s">
        <v>58</v>
      </c>
      <c r="P675" t="s">
        <v>56</v>
      </c>
    </row>
    <row r="676" spans="1:16" x14ac:dyDescent="0.35">
      <c r="A676" t="s">
        <v>740</v>
      </c>
      <c r="B676">
        <v>21</v>
      </c>
      <c r="C676" t="s">
        <v>55</v>
      </c>
      <c r="D676" t="s">
        <v>56</v>
      </c>
      <c r="E676" t="s">
        <v>55</v>
      </c>
      <c r="F676">
        <v>71</v>
      </c>
      <c r="G676" t="s">
        <v>56</v>
      </c>
      <c r="H676" t="s">
        <v>55</v>
      </c>
      <c r="I676" t="s">
        <v>55</v>
      </c>
      <c r="J676" t="s">
        <v>12</v>
      </c>
      <c r="K676" t="s">
        <v>56</v>
      </c>
      <c r="L676" t="s">
        <v>57</v>
      </c>
      <c r="M676">
        <v>24.18</v>
      </c>
      <c r="N676">
        <v>1819.37</v>
      </c>
      <c r="O676" t="s">
        <v>69</v>
      </c>
      <c r="P676" t="s">
        <v>55</v>
      </c>
    </row>
    <row r="677" spans="1:16" x14ac:dyDescent="0.35">
      <c r="A677" t="s">
        <v>741</v>
      </c>
      <c r="B677">
        <v>25</v>
      </c>
      <c r="C677" t="s">
        <v>55</v>
      </c>
      <c r="D677" t="s">
        <v>55</v>
      </c>
      <c r="E677" t="s">
        <v>56</v>
      </c>
      <c r="F677">
        <v>25</v>
      </c>
      <c r="G677" t="s">
        <v>56</v>
      </c>
      <c r="H677" t="s">
        <v>55</v>
      </c>
      <c r="I677" t="s">
        <v>55</v>
      </c>
      <c r="J677" t="s">
        <v>13</v>
      </c>
      <c r="K677" t="s">
        <v>55</v>
      </c>
      <c r="L677" t="s">
        <v>26</v>
      </c>
      <c r="M677">
        <v>26.87</v>
      </c>
      <c r="N677">
        <v>708.09</v>
      </c>
      <c r="O677" t="s">
        <v>58</v>
      </c>
      <c r="P677" t="s">
        <v>55</v>
      </c>
    </row>
    <row r="678" spans="1:16" x14ac:dyDescent="0.35">
      <c r="A678" t="s">
        <v>742</v>
      </c>
      <c r="B678">
        <v>61</v>
      </c>
      <c r="C678" t="s">
        <v>56</v>
      </c>
      <c r="D678" t="s">
        <v>56</v>
      </c>
      <c r="E678" t="s">
        <v>55</v>
      </c>
      <c r="F678">
        <v>22</v>
      </c>
      <c r="G678" t="s">
        <v>56</v>
      </c>
      <c r="H678" t="s">
        <v>56</v>
      </c>
      <c r="I678" t="s">
        <v>29</v>
      </c>
      <c r="J678" t="s">
        <v>12</v>
      </c>
      <c r="K678" t="s">
        <v>56</v>
      </c>
      <c r="L678" t="s">
        <v>57</v>
      </c>
      <c r="M678">
        <v>78.099999999999994</v>
      </c>
      <c r="N678">
        <v>1702.27</v>
      </c>
      <c r="O678" t="s">
        <v>76</v>
      </c>
      <c r="P678" t="s">
        <v>55</v>
      </c>
    </row>
    <row r="679" spans="1:16" x14ac:dyDescent="0.35">
      <c r="A679" t="s">
        <v>743</v>
      </c>
      <c r="B679">
        <v>25</v>
      </c>
      <c r="C679" t="s">
        <v>55</v>
      </c>
      <c r="D679" t="s">
        <v>55</v>
      </c>
      <c r="E679" t="s">
        <v>56</v>
      </c>
      <c r="F679">
        <v>70</v>
      </c>
      <c r="G679" t="s">
        <v>56</v>
      </c>
      <c r="H679" t="s">
        <v>56</v>
      </c>
      <c r="I679" t="s">
        <v>55</v>
      </c>
      <c r="J679" t="s">
        <v>12</v>
      </c>
      <c r="K679" t="s">
        <v>55</v>
      </c>
      <c r="L679" t="s">
        <v>26</v>
      </c>
      <c r="M679">
        <v>26.86</v>
      </c>
      <c r="N679">
        <v>1895.73</v>
      </c>
      <c r="O679" t="s">
        <v>76</v>
      </c>
      <c r="P679" t="s">
        <v>56</v>
      </c>
    </row>
    <row r="680" spans="1:16" x14ac:dyDescent="0.35">
      <c r="A680" t="s">
        <v>744</v>
      </c>
      <c r="B680">
        <v>59</v>
      </c>
      <c r="C680" t="s">
        <v>55</v>
      </c>
      <c r="D680" t="s">
        <v>56</v>
      </c>
      <c r="E680" t="s">
        <v>55</v>
      </c>
      <c r="F680">
        <v>63</v>
      </c>
      <c r="G680" t="s">
        <v>56</v>
      </c>
      <c r="H680" t="s">
        <v>55</v>
      </c>
      <c r="I680" t="s">
        <v>30</v>
      </c>
      <c r="J680" t="s">
        <v>12</v>
      </c>
      <c r="K680" t="s">
        <v>55</v>
      </c>
      <c r="L680" t="s">
        <v>26</v>
      </c>
      <c r="M680">
        <v>87.49</v>
      </c>
      <c r="N680">
        <v>5658.99</v>
      </c>
      <c r="O680" t="s">
        <v>80</v>
      </c>
      <c r="P680" t="s">
        <v>56</v>
      </c>
    </row>
    <row r="681" spans="1:16" x14ac:dyDescent="0.35">
      <c r="A681" t="s">
        <v>745</v>
      </c>
      <c r="B681">
        <v>24</v>
      </c>
      <c r="C681" t="s">
        <v>55</v>
      </c>
      <c r="D681" t="s">
        <v>55</v>
      </c>
      <c r="E681" t="s">
        <v>55</v>
      </c>
      <c r="F681">
        <v>26</v>
      </c>
      <c r="G681" t="s">
        <v>56</v>
      </c>
      <c r="H681" t="s">
        <v>55</v>
      </c>
      <c r="I681" t="s">
        <v>30</v>
      </c>
      <c r="J681" t="s">
        <v>14</v>
      </c>
      <c r="K681" t="s">
        <v>56</v>
      </c>
      <c r="L681" t="s">
        <v>26</v>
      </c>
      <c r="M681">
        <v>102.83</v>
      </c>
      <c r="N681">
        <v>2585.6999999999998</v>
      </c>
      <c r="O681" t="s">
        <v>76</v>
      </c>
      <c r="P681" t="s">
        <v>55</v>
      </c>
    </row>
    <row r="682" spans="1:16" x14ac:dyDescent="0.35">
      <c r="A682" t="s">
        <v>746</v>
      </c>
      <c r="B682">
        <v>41</v>
      </c>
      <c r="C682" t="s">
        <v>55</v>
      </c>
      <c r="D682" t="s">
        <v>55</v>
      </c>
      <c r="E682" t="s">
        <v>56</v>
      </c>
      <c r="F682">
        <v>69</v>
      </c>
      <c r="G682" t="s">
        <v>56</v>
      </c>
      <c r="H682" t="s">
        <v>55</v>
      </c>
      <c r="I682" t="s">
        <v>55</v>
      </c>
      <c r="J682" t="s">
        <v>13</v>
      </c>
      <c r="K682" t="s">
        <v>55</v>
      </c>
      <c r="L682" t="s">
        <v>26</v>
      </c>
      <c r="M682">
        <v>22.24</v>
      </c>
      <c r="N682">
        <v>1522.4</v>
      </c>
      <c r="O682" t="s">
        <v>66</v>
      </c>
      <c r="P682" t="s">
        <v>55</v>
      </c>
    </row>
    <row r="683" spans="1:16" x14ac:dyDescent="0.35">
      <c r="A683" t="s">
        <v>747</v>
      </c>
      <c r="B683">
        <v>63</v>
      </c>
      <c r="C683" t="s">
        <v>56</v>
      </c>
      <c r="D683" t="s">
        <v>56</v>
      </c>
      <c r="E683" t="s">
        <v>56</v>
      </c>
      <c r="F683">
        <v>25</v>
      </c>
      <c r="G683" t="s">
        <v>56</v>
      </c>
      <c r="H683" t="s">
        <v>55</v>
      </c>
      <c r="I683" t="s">
        <v>30</v>
      </c>
      <c r="J683" t="s">
        <v>13</v>
      </c>
      <c r="K683" t="s">
        <v>56</v>
      </c>
      <c r="L683" t="s">
        <v>26</v>
      </c>
      <c r="M683">
        <v>79.95</v>
      </c>
      <c r="N683">
        <v>1993.78</v>
      </c>
      <c r="O683" t="s">
        <v>76</v>
      </c>
      <c r="P683" t="s">
        <v>55</v>
      </c>
    </row>
    <row r="684" spans="1:16" x14ac:dyDescent="0.35">
      <c r="A684" t="s">
        <v>748</v>
      </c>
      <c r="B684">
        <v>25</v>
      </c>
      <c r="C684" t="s">
        <v>55</v>
      </c>
      <c r="D684" t="s">
        <v>55</v>
      </c>
      <c r="E684" t="s">
        <v>55</v>
      </c>
      <c r="F684">
        <v>71</v>
      </c>
      <c r="G684" t="s">
        <v>56</v>
      </c>
      <c r="H684" t="s">
        <v>56</v>
      </c>
      <c r="I684" t="s">
        <v>29</v>
      </c>
      <c r="J684" t="s">
        <v>13</v>
      </c>
      <c r="K684" t="s">
        <v>55</v>
      </c>
      <c r="L684" t="s">
        <v>57</v>
      </c>
      <c r="M684">
        <v>76.94</v>
      </c>
      <c r="N684">
        <v>5687.63</v>
      </c>
      <c r="O684" t="s">
        <v>80</v>
      </c>
      <c r="P684" t="s">
        <v>55</v>
      </c>
    </row>
    <row r="685" spans="1:16" x14ac:dyDescent="0.35">
      <c r="A685" t="s">
        <v>749</v>
      </c>
      <c r="B685">
        <v>24</v>
      </c>
      <c r="C685" t="s">
        <v>55</v>
      </c>
      <c r="D685" t="s">
        <v>56</v>
      </c>
      <c r="E685" t="s">
        <v>56</v>
      </c>
      <c r="F685">
        <v>20</v>
      </c>
      <c r="G685" t="s">
        <v>56</v>
      </c>
      <c r="H685" t="s">
        <v>55</v>
      </c>
      <c r="I685" t="s">
        <v>30</v>
      </c>
      <c r="J685" t="s">
        <v>12</v>
      </c>
      <c r="K685" t="s">
        <v>55</v>
      </c>
      <c r="L685" t="s">
        <v>57</v>
      </c>
      <c r="M685">
        <v>99.85</v>
      </c>
      <c r="N685">
        <v>1879.1</v>
      </c>
      <c r="O685" t="s">
        <v>76</v>
      </c>
      <c r="P685" t="s">
        <v>55</v>
      </c>
    </row>
    <row r="686" spans="1:16" x14ac:dyDescent="0.35">
      <c r="A686" t="s">
        <v>750</v>
      </c>
      <c r="B686">
        <v>49</v>
      </c>
      <c r="C686" t="s">
        <v>55</v>
      </c>
      <c r="D686" t="s">
        <v>56</v>
      </c>
      <c r="E686" t="s">
        <v>55</v>
      </c>
      <c r="F686">
        <v>32</v>
      </c>
      <c r="G686" t="s">
        <v>56</v>
      </c>
      <c r="H686" t="s">
        <v>56</v>
      </c>
      <c r="I686" t="s">
        <v>29</v>
      </c>
      <c r="J686" t="s">
        <v>13</v>
      </c>
      <c r="K686" t="s">
        <v>55</v>
      </c>
      <c r="L686" t="s">
        <v>25</v>
      </c>
      <c r="M686">
        <v>49.89</v>
      </c>
      <c r="N686">
        <v>1657.9</v>
      </c>
      <c r="O686" t="s">
        <v>69</v>
      </c>
      <c r="P686" t="s">
        <v>55</v>
      </c>
    </row>
    <row r="687" spans="1:16" x14ac:dyDescent="0.35">
      <c r="A687" t="s">
        <v>751</v>
      </c>
      <c r="B687">
        <v>68</v>
      </c>
      <c r="C687" t="s">
        <v>56</v>
      </c>
      <c r="D687" t="s">
        <v>56</v>
      </c>
      <c r="E687" t="s">
        <v>56</v>
      </c>
      <c r="F687">
        <v>25</v>
      </c>
      <c r="G687" t="s">
        <v>56</v>
      </c>
      <c r="H687" t="s">
        <v>56</v>
      </c>
      <c r="I687" t="s">
        <v>55</v>
      </c>
      <c r="J687" t="s">
        <v>12</v>
      </c>
      <c r="K687" t="s">
        <v>56</v>
      </c>
      <c r="L687" t="s">
        <v>26</v>
      </c>
      <c r="M687">
        <v>20.309999999999999</v>
      </c>
      <c r="N687">
        <v>486.19</v>
      </c>
      <c r="O687" t="s">
        <v>62</v>
      </c>
      <c r="P687" t="s">
        <v>56</v>
      </c>
    </row>
    <row r="688" spans="1:16" x14ac:dyDescent="0.35">
      <c r="A688" t="s">
        <v>752</v>
      </c>
      <c r="B688">
        <v>23</v>
      </c>
      <c r="C688" t="s">
        <v>55</v>
      </c>
      <c r="D688" t="s">
        <v>56</v>
      </c>
      <c r="E688" t="s">
        <v>55</v>
      </c>
      <c r="F688">
        <v>53</v>
      </c>
      <c r="G688" t="s">
        <v>56</v>
      </c>
      <c r="H688" t="s">
        <v>56</v>
      </c>
      <c r="I688" t="s">
        <v>29</v>
      </c>
      <c r="J688" t="s">
        <v>12</v>
      </c>
      <c r="K688" t="s">
        <v>56</v>
      </c>
      <c r="L688" t="s">
        <v>57</v>
      </c>
      <c r="M688">
        <v>65.75</v>
      </c>
      <c r="N688">
        <v>3402.91</v>
      </c>
      <c r="O688" t="s">
        <v>76</v>
      </c>
      <c r="P688" t="s">
        <v>56</v>
      </c>
    </row>
    <row r="689" spans="1:16" x14ac:dyDescent="0.35">
      <c r="A689" t="s">
        <v>753</v>
      </c>
      <c r="B689">
        <v>40</v>
      </c>
      <c r="C689" t="s">
        <v>55</v>
      </c>
      <c r="D689" t="s">
        <v>55</v>
      </c>
      <c r="E689" t="s">
        <v>56</v>
      </c>
      <c r="F689">
        <v>41</v>
      </c>
      <c r="G689" t="s">
        <v>56</v>
      </c>
      <c r="H689" t="s">
        <v>56</v>
      </c>
      <c r="I689" t="s">
        <v>55</v>
      </c>
      <c r="J689" t="s">
        <v>12</v>
      </c>
      <c r="K689" t="s">
        <v>55</v>
      </c>
      <c r="L689" t="s">
        <v>26</v>
      </c>
      <c r="M689">
        <v>23.66</v>
      </c>
      <c r="N689">
        <v>1017.61</v>
      </c>
      <c r="O689" t="s">
        <v>62</v>
      </c>
      <c r="P689" t="s">
        <v>56</v>
      </c>
    </row>
    <row r="690" spans="1:16" x14ac:dyDescent="0.35">
      <c r="A690" t="s">
        <v>754</v>
      </c>
      <c r="B690">
        <v>34</v>
      </c>
      <c r="C690" t="s">
        <v>55</v>
      </c>
      <c r="D690" t="s">
        <v>55</v>
      </c>
      <c r="E690" t="s">
        <v>55</v>
      </c>
      <c r="F690">
        <v>43</v>
      </c>
      <c r="G690" t="s">
        <v>56</v>
      </c>
      <c r="H690" t="s">
        <v>55</v>
      </c>
      <c r="I690" t="s">
        <v>30</v>
      </c>
      <c r="J690" t="s">
        <v>13</v>
      </c>
      <c r="K690" t="s">
        <v>56</v>
      </c>
      <c r="L690" t="s">
        <v>26</v>
      </c>
      <c r="M690">
        <v>107.06</v>
      </c>
      <c r="N690">
        <v>4527</v>
      </c>
      <c r="O690" t="s">
        <v>58</v>
      </c>
      <c r="P690" t="s">
        <v>55</v>
      </c>
    </row>
    <row r="691" spans="1:16" x14ac:dyDescent="0.35">
      <c r="A691" t="s">
        <v>755</v>
      </c>
      <c r="B691">
        <v>56</v>
      </c>
      <c r="C691" t="s">
        <v>55</v>
      </c>
      <c r="D691" t="s">
        <v>55</v>
      </c>
      <c r="E691" t="s">
        <v>56</v>
      </c>
      <c r="F691">
        <v>36</v>
      </c>
      <c r="G691" t="s">
        <v>55</v>
      </c>
      <c r="H691" t="s">
        <v>60</v>
      </c>
      <c r="I691" t="s">
        <v>30</v>
      </c>
      <c r="J691" t="s">
        <v>12</v>
      </c>
      <c r="K691" t="s">
        <v>56</v>
      </c>
      <c r="L691" t="s">
        <v>26</v>
      </c>
      <c r="M691">
        <v>107.13</v>
      </c>
      <c r="N691">
        <v>3680.98</v>
      </c>
      <c r="O691" t="s">
        <v>69</v>
      </c>
      <c r="P691" t="s">
        <v>55</v>
      </c>
    </row>
    <row r="692" spans="1:16" x14ac:dyDescent="0.35">
      <c r="A692" t="s">
        <v>756</v>
      </c>
      <c r="B692">
        <v>70</v>
      </c>
      <c r="C692" t="s">
        <v>56</v>
      </c>
      <c r="D692" t="s">
        <v>56</v>
      </c>
      <c r="E692" t="s">
        <v>56</v>
      </c>
      <c r="F692">
        <v>58</v>
      </c>
      <c r="G692" t="s">
        <v>56</v>
      </c>
      <c r="H692" t="s">
        <v>55</v>
      </c>
      <c r="I692" t="s">
        <v>55</v>
      </c>
      <c r="J692" t="s">
        <v>13</v>
      </c>
      <c r="K692" t="s">
        <v>55</v>
      </c>
      <c r="L692" t="s">
        <v>61</v>
      </c>
      <c r="M692">
        <v>29.88</v>
      </c>
      <c r="N692">
        <v>1671.07</v>
      </c>
      <c r="O692" t="s">
        <v>80</v>
      </c>
      <c r="P692" t="s">
        <v>55</v>
      </c>
    </row>
    <row r="693" spans="1:16" x14ac:dyDescent="0.35">
      <c r="A693" t="s">
        <v>757</v>
      </c>
      <c r="B693">
        <v>26</v>
      </c>
      <c r="C693" t="s">
        <v>55</v>
      </c>
      <c r="D693" t="s">
        <v>56</v>
      </c>
      <c r="E693" t="s">
        <v>55</v>
      </c>
      <c r="F693">
        <v>71</v>
      </c>
      <c r="G693" t="s">
        <v>55</v>
      </c>
      <c r="H693" t="s">
        <v>60</v>
      </c>
      <c r="I693" t="s">
        <v>29</v>
      </c>
      <c r="J693" t="s">
        <v>14</v>
      </c>
      <c r="K693" t="s">
        <v>55</v>
      </c>
      <c r="L693" t="s">
        <v>61</v>
      </c>
      <c r="M693">
        <v>44.7</v>
      </c>
      <c r="N693">
        <v>3149.37</v>
      </c>
      <c r="O693" t="s">
        <v>58</v>
      </c>
      <c r="P693" t="s">
        <v>55</v>
      </c>
    </row>
    <row r="694" spans="1:16" x14ac:dyDescent="0.35">
      <c r="A694" t="s">
        <v>758</v>
      </c>
      <c r="B694">
        <v>50</v>
      </c>
      <c r="C694" t="s">
        <v>55</v>
      </c>
      <c r="D694" t="s">
        <v>56</v>
      </c>
      <c r="E694" t="s">
        <v>56</v>
      </c>
      <c r="F694">
        <v>36</v>
      </c>
      <c r="G694" t="s">
        <v>56</v>
      </c>
      <c r="H694" t="s">
        <v>56</v>
      </c>
      <c r="I694" t="s">
        <v>29</v>
      </c>
      <c r="J694" t="s">
        <v>14</v>
      </c>
      <c r="K694" t="s">
        <v>56</v>
      </c>
      <c r="L694" t="s">
        <v>61</v>
      </c>
      <c r="M694">
        <v>67.75</v>
      </c>
      <c r="N694">
        <v>2509.4499999999998</v>
      </c>
      <c r="O694" t="s">
        <v>69</v>
      </c>
      <c r="P694" t="s">
        <v>55</v>
      </c>
    </row>
    <row r="695" spans="1:16" x14ac:dyDescent="0.35">
      <c r="A695" t="s">
        <v>759</v>
      </c>
      <c r="B695">
        <v>52</v>
      </c>
      <c r="C695" t="s">
        <v>55</v>
      </c>
      <c r="D695" t="s">
        <v>56</v>
      </c>
      <c r="E695" t="s">
        <v>56</v>
      </c>
      <c r="F695">
        <v>57</v>
      </c>
      <c r="G695" t="s">
        <v>55</v>
      </c>
      <c r="H695" t="s">
        <v>60</v>
      </c>
      <c r="I695" t="s">
        <v>29</v>
      </c>
      <c r="J695" t="s">
        <v>13</v>
      </c>
      <c r="K695" t="s">
        <v>55</v>
      </c>
      <c r="L695" t="s">
        <v>57</v>
      </c>
      <c r="M695">
        <v>50.86</v>
      </c>
      <c r="N695">
        <v>2789.11</v>
      </c>
      <c r="O695" t="s">
        <v>62</v>
      </c>
      <c r="P695" t="s">
        <v>55</v>
      </c>
    </row>
    <row r="696" spans="1:16" x14ac:dyDescent="0.35">
      <c r="A696" t="s">
        <v>760</v>
      </c>
      <c r="B696">
        <v>55</v>
      </c>
      <c r="C696" t="s">
        <v>55</v>
      </c>
      <c r="D696" t="s">
        <v>56</v>
      </c>
      <c r="E696" t="s">
        <v>55</v>
      </c>
      <c r="F696">
        <v>65</v>
      </c>
      <c r="G696" t="s">
        <v>55</v>
      </c>
      <c r="H696" t="s">
        <v>60</v>
      </c>
      <c r="I696" t="s">
        <v>29</v>
      </c>
      <c r="J696" t="s">
        <v>12</v>
      </c>
      <c r="K696" t="s">
        <v>56</v>
      </c>
      <c r="L696" t="s">
        <v>26</v>
      </c>
      <c r="M696">
        <v>50.74</v>
      </c>
      <c r="N696">
        <v>3147.35</v>
      </c>
      <c r="O696" t="s">
        <v>58</v>
      </c>
      <c r="P696" t="s">
        <v>56</v>
      </c>
    </row>
    <row r="697" spans="1:16" x14ac:dyDescent="0.35">
      <c r="A697" t="s">
        <v>761</v>
      </c>
      <c r="B697">
        <v>33</v>
      </c>
      <c r="C697" t="s">
        <v>55</v>
      </c>
      <c r="D697" t="s">
        <v>55</v>
      </c>
      <c r="E697" t="s">
        <v>56</v>
      </c>
      <c r="F697">
        <v>19</v>
      </c>
      <c r="G697" t="s">
        <v>55</v>
      </c>
      <c r="H697" t="s">
        <v>60</v>
      </c>
      <c r="I697" t="s">
        <v>55</v>
      </c>
      <c r="J697" t="s">
        <v>14</v>
      </c>
      <c r="K697" t="s">
        <v>55</v>
      </c>
      <c r="L697" t="s">
        <v>25</v>
      </c>
      <c r="M697">
        <v>18.62</v>
      </c>
      <c r="N697">
        <v>374.16</v>
      </c>
      <c r="O697" t="s">
        <v>62</v>
      </c>
      <c r="P697" t="s">
        <v>55</v>
      </c>
    </row>
    <row r="698" spans="1:16" x14ac:dyDescent="0.35">
      <c r="A698" t="s">
        <v>762</v>
      </c>
      <c r="B698">
        <v>52</v>
      </c>
      <c r="C698" t="s">
        <v>55</v>
      </c>
      <c r="D698" t="s">
        <v>56</v>
      </c>
      <c r="E698" t="s">
        <v>56</v>
      </c>
      <c r="F698">
        <v>45</v>
      </c>
      <c r="G698" t="s">
        <v>55</v>
      </c>
      <c r="H698" t="s">
        <v>60</v>
      </c>
      <c r="I698" t="s">
        <v>29</v>
      </c>
      <c r="J698" t="s">
        <v>12</v>
      </c>
      <c r="K698" t="s">
        <v>55</v>
      </c>
      <c r="L698" t="s">
        <v>61</v>
      </c>
      <c r="M698">
        <v>56.33</v>
      </c>
      <c r="N698">
        <v>2568.7600000000002</v>
      </c>
      <c r="O698" t="s">
        <v>80</v>
      </c>
      <c r="P698" t="s">
        <v>55</v>
      </c>
    </row>
    <row r="699" spans="1:16" x14ac:dyDescent="0.35">
      <c r="A699" t="s">
        <v>763</v>
      </c>
      <c r="B699">
        <v>58</v>
      </c>
      <c r="C699" t="s">
        <v>55</v>
      </c>
      <c r="D699" t="s">
        <v>56</v>
      </c>
      <c r="E699" t="s">
        <v>55</v>
      </c>
      <c r="F699">
        <v>29</v>
      </c>
      <c r="G699" t="s">
        <v>55</v>
      </c>
      <c r="H699" t="s">
        <v>60</v>
      </c>
      <c r="I699" t="s">
        <v>29</v>
      </c>
      <c r="J699" t="s">
        <v>12</v>
      </c>
      <c r="K699" t="s">
        <v>56</v>
      </c>
      <c r="L699" t="s">
        <v>57</v>
      </c>
      <c r="M699">
        <v>79.150000000000006</v>
      </c>
      <c r="N699">
        <v>2371.9699999999998</v>
      </c>
      <c r="O699" t="s">
        <v>80</v>
      </c>
      <c r="P699" t="s">
        <v>55</v>
      </c>
    </row>
    <row r="700" spans="1:16" x14ac:dyDescent="0.35">
      <c r="A700" t="s">
        <v>764</v>
      </c>
      <c r="B700">
        <v>64</v>
      </c>
      <c r="C700" t="s">
        <v>56</v>
      </c>
      <c r="D700" t="s">
        <v>55</v>
      </c>
      <c r="E700" t="s">
        <v>55</v>
      </c>
      <c r="F700">
        <v>71</v>
      </c>
      <c r="G700" t="s">
        <v>55</v>
      </c>
      <c r="H700" t="s">
        <v>60</v>
      </c>
      <c r="I700" t="s">
        <v>30</v>
      </c>
      <c r="J700" t="s">
        <v>12</v>
      </c>
      <c r="K700" t="s">
        <v>55</v>
      </c>
      <c r="L700" t="s">
        <v>26</v>
      </c>
      <c r="M700">
        <v>101.49</v>
      </c>
      <c r="N700">
        <v>7515.54</v>
      </c>
      <c r="O700" t="s">
        <v>64</v>
      </c>
      <c r="P700" t="s">
        <v>56</v>
      </c>
    </row>
    <row r="701" spans="1:16" x14ac:dyDescent="0.35">
      <c r="A701" t="s">
        <v>765</v>
      </c>
      <c r="B701">
        <v>32</v>
      </c>
      <c r="C701" t="s">
        <v>55</v>
      </c>
      <c r="D701" t="s">
        <v>55</v>
      </c>
      <c r="E701" t="s">
        <v>55</v>
      </c>
      <c r="F701">
        <v>19</v>
      </c>
      <c r="G701" t="s">
        <v>56</v>
      </c>
      <c r="H701" t="s">
        <v>55</v>
      </c>
      <c r="I701" t="s">
        <v>55</v>
      </c>
      <c r="J701" t="s">
        <v>12</v>
      </c>
      <c r="K701" t="s">
        <v>56</v>
      </c>
      <c r="L701" t="s">
        <v>26</v>
      </c>
      <c r="M701">
        <v>23.89</v>
      </c>
      <c r="N701">
        <v>466.41</v>
      </c>
      <c r="O701" t="s">
        <v>80</v>
      </c>
      <c r="P701" t="s">
        <v>55</v>
      </c>
    </row>
    <row r="702" spans="1:16" x14ac:dyDescent="0.35">
      <c r="A702" t="s">
        <v>766</v>
      </c>
      <c r="B702">
        <v>37</v>
      </c>
      <c r="C702" t="s">
        <v>55</v>
      </c>
      <c r="D702" t="s">
        <v>56</v>
      </c>
      <c r="E702" t="s">
        <v>56</v>
      </c>
      <c r="F702">
        <v>51</v>
      </c>
      <c r="G702" t="s">
        <v>56</v>
      </c>
      <c r="H702" t="s">
        <v>56</v>
      </c>
      <c r="I702" t="s">
        <v>29</v>
      </c>
      <c r="J702" t="s">
        <v>12</v>
      </c>
      <c r="K702" t="s">
        <v>56</v>
      </c>
      <c r="L702" t="s">
        <v>57</v>
      </c>
      <c r="M702">
        <v>65.8</v>
      </c>
      <c r="N702">
        <v>3316.54</v>
      </c>
      <c r="O702" t="s">
        <v>62</v>
      </c>
      <c r="P702" t="s">
        <v>55</v>
      </c>
    </row>
    <row r="703" spans="1:16" x14ac:dyDescent="0.35">
      <c r="A703" t="s">
        <v>767</v>
      </c>
      <c r="B703">
        <v>64</v>
      </c>
      <c r="C703" t="s">
        <v>56</v>
      </c>
      <c r="D703" t="s">
        <v>56</v>
      </c>
      <c r="E703" t="s">
        <v>56</v>
      </c>
      <c r="F703">
        <v>49</v>
      </c>
      <c r="G703" t="s">
        <v>56</v>
      </c>
      <c r="H703" t="s">
        <v>55</v>
      </c>
      <c r="I703" t="s">
        <v>30</v>
      </c>
      <c r="J703" t="s">
        <v>13</v>
      </c>
      <c r="K703" t="s">
        <v>56</v>
      </c>
      <c r="L703" t="s">
        <v>26</v>
      </c>
      <c r="M703">
        <v>108.51</v>
      </c>
      <c r="N703">
        <v>5168.75</v>
      </c>
      <c r="O703" t="s">
        <v>58</v>
      </c>
      <c r="P703" t="s">
        <v>55</v>
      </c>
    </row>
    <row r="704" spans="1:16" x14ac:dyDescent="0.35">
      <c r="A704" t="s">
        <v>768</v>
      </c>
      <c r="B704">
        <v>18</v>
      </c>
      <c r="C704" t="s">
        <v>55</v>
      </c>
      <c r="D704" t="s">
        <v>56</v>
      </c>
      <c r="E704" t="s">
        <v>56</v>
      </c>
      <c r="F704">
        <v>70</v>
      </c>
      <c r="G704" t="s">
        <v>55</v>
      </c>
      <c r="H704" t="s">
        <v>60</v>
      </c>
      <c r="I704" t="s">
        <v>29</v>
      </c>
      <c r="J704" t="s">
        <v>14</v>
      </c>
      <c r="K704" t="s">
        <v>56</v>
      </c>
      <c r="L704" t="s">
        <v>26</v>
      </c>
      <c r="M704">
        <v>59.22</v>
      </c>
      <c r="N704">
        <v>4176.67</v>
      </c>
      <c r="O704" t="s">
        <v>62</v>
      </c>
      <c r="P704" t="s">
        <v>55</v>
      </c>
    </row>
    <row r="705" spans="1:16" x14ac:dyDescent="0.35">
      <c r="A705" t="s">
        <v>769</v>
      </c>
      <c r="B705">
        <v>37</v>
      </c>
      <c r="C705" t="s">
        <v>55</v>
      </c>
      <c r="D705" t="s">
        <v>55</v>
      </c>
      <c r="E705" t="s">
        <v>55</v>
      </c>
      <c r="F705">
        <v>20</v>
      </c>
      <c r="G705" t="s">
        <v>55</v>
      </c>
      <c r="H705" t="s">
        <v>60</v>
      </c>
      <c r="I705" t="s">
        <v>30</v>
      </c>
      <c r="J705" t="s">
        <v>13</v>
      </c>
      <c r="K705" t="s">
        <v>56</v>
      </c>
      <c r="L705" t="s">
        <v>26</v>
      </c>
      <c r="M705">
        <v>72.23</v>
      </c>
      <c r="N705">
        <v>1452.34</v>
      </c>
      <c r="O705" t="s">
        <v>66</v>
      </c>
      <c r="P705" t="s">
        <v>56</v>
      </c>
    </row>
    <row r="706" spans="1:16" x14ac:dyDescent="0.35">
      <c r="A706" t="s">
        <v>770</v>
      </c>
      <c r="B706">
        <v>44</v>
      </c>
      <c r="C706" t="s">
        <v>55</v>
      </c>
      <c r="D706" t="s">
        <v>56</v>
      </c>
      <c r="E706" t="s">
        <v>56</v>
      </c>
      <c r="F706">
        <v>29</v>
      </c>
      <c r="G706" t="s">
        <v>55</v>
      </c>
      <c r="H706" t="s">
        <v>60</v>
      </c>
      <c r="I706" t="s">
        <v>30</v>
      </c>
      <c r="J706" t="s">
        <v>12</v>
      </c>
      <c r="K706" t="s">
        <v>55</v>
      </c>
      <c r="L706" t="s">
        <v>61</v>
      </c>
      <c r="M706">
        <v>81.290000000000006</v>
      </c>
      <c r="N706">
        <v>2464.62</v>
      </c>
      <c r="O706" t="s">
        <v>69</v>
      </c>
      <c r="P706" t="s">
        <v>55</v>
      </c>
    </row>
    <row r="707" spans="1:16" x14ac:dyDescent="0.35">
      <c r="A707" t="s">
        <v>771</v>
      </c>
      <c r="B707">
        <v>70</v>
      </c>
      <c r="C707" t="s">
        <v>56</v>
      </c>
      <c r="D707" t="s">
        <v>56</v>
      </c>
      <c r="E707" t="s">
        <v>55</v>
      </c>
      <c r="F707">
        <v>22</v>
      </c>
      <c r="G707" t="s">
        <v>56</v>
      </c>
      <c r="H707" t="s">
        <v>56</v>
      </c>
      <c r="I707" t="s">
        <v>55</v>
      </c>
      <c r="J707" t="s">
        <v>14</v>
      </c>
      <c r="K707" t="s">
        <v>55</v>
      </c>
      <c r="L707" t="s">
        <v>26</v>
      </c>
      <c r="M707">
        <v>22</v>
      </c>
      <c r="N707">
        <v>475.9</v>
      </c>
      <c r="O707" t="s">
        <v>80</v>
      </c>
      <c r="P707" t="s">
        <v>55</v>
      </c>
    </row>
    <row r="708" spans="1:16" x14ac:dyDescent="0.35">
      <c r="A708" t="s">
        <v>772</v>
      </c>
      <c r="B708">
        <v>75</v>
      </c>
      <c r="C708" t="s">
        <v>56</v>
      </c>
      <c r="D708" t="s">
        <v>56</v>
      </c>
      <c r="E708" t="s">
        <v>56</v>
      </c>
      <c r="F708">
        <v>23</v>
      </c>
      <c r="G708" t="s">
        <v>55</v>
      </c>
      <c r="H708" t="s">
        <v>60</v>
      </c>
      <c r="I708" t="s">
        <v>30</v>
      </c>
      <c r="J708" t="s">
        <v>13</v>
      </c>
      <c r="K708" t="s">
        <v>55</v>
      </c>
      <c r="L708" t="s">
        <v>26</v>
      </c>
      <c r="M708">
        <v>103.36</v>
      </c>
      <c r="N708">
        <v>2320.67</v>
      </c>
      <c r="O708" t="s">
        <v>76</v>
      </c>
      <c r="P708" t="s">
        <v>55</v>
      </c>
    </row>
    <row r="709" spans="1:16" x14ac:dyDescent="0.35">
      <c r="A709" t="s">
        <v>773</v>
      </c>
      <c r="B709">
        <v>74</v>
      </c>
      <c r="C709" t="s">
        <v>56</v>
      </c>
      <c r="D709" t="s">
        <v>56</v>
      </c>
      <c r="E709" t="s">
        <v>55</v>
      </c>
      <c r="F709">
        <v>64</v>
      </c>
      <c r="G709" t="s">
        <v>55</v>
      </c>
      <c r="H709" t="s">
        <v>60</v>
      </c>
      <c r="I709" t="s">
        <v>29</v>
      </c>
      <c r="J709" t="s">
        <v>14</v>
      </c>
      <c r="K709" t="s">
        <v>56</v>
      </c>
      <c r="L709" t="s">
        <v>61</v>
      </c>
      <c r="M709">
        <v>74.47</v>
      </c>
      <c r="N709">
        <v>5039.49</v>
      </c>
      <c r="O709" t="s">
        <v>62</v>
      </c>
      <c r="P709" t="s">
        <v>55</v>
      </c>
    </row>
    <row r="710" spans="1:16" x14ac:dyDescent="0.35">
      <c r="A710" t="s">
        <v>774</v>
      </c>
      <c r="B710">
        <v>38</v>
      </c>
      <c r="C710" t="s">
        <v>55</v>
      </c>
      <c r="D710" t="s">
        <v>56</v>
      </c>
      <c r="E710" t="s">
        <v>55</v>
      </c>
      <c r="F710">
        <v>58</v>
      </c>
      <c r="G710" t="s">
        <v>55</v>
      </c>
      <c r="H710" t="s">
        <v>60</v>
      </c>
      <c r="I710" t="s">
        <v>29</v>
      </c>
      <c r="J710" t="s">
        <v>14</v>
      </c>
      <c r="K710" t="s">
        <v>56</v>
      </c>
      <c r="L710" t="s">
        <v>57</v>
      </c>
      <c r="M710">
        <v>78.38</v>
      </c>
      <c r="N710">
        <v>4425.1899999999996</v>
      </c>
      <c r="O710" t="s">
        <v>62</v>
      </c>
      <c r="P710" t="s">
        <v>56</v>
      </c>
    </row>
    <row r="711" spans="1:16" x14ac:dyDescent="0.35">
      <c r="A711" t="s">
        <v>775</v>
      </c>
      <c r="B711">
        <v>29</v>
      </c>
      <c r="C711" t="s">
        <v>55</v>
      </c>
      <c r="D711" t="s">
        <v>55</v>
      </c>
      <c r="E711" t="s">
        <v>55</v>
      </c>
      <c r="F711">
        <v>41</v>
      </c>
      <c r="G711" t="s">
        <v>55</v>
      </c>
      <c r="H711" t="s">
        <v>60</v>
      </c>
      <c r="I711" t="s">
        <v>29</v>
      </c>
      <c r="J711" t="s">
        <v>13</v>
      </c>
      <c r="K711" t="s">
        <v>55</v>
      </c>
      <c r="L711" t="s">
        <v>61</v>
      </c>
      <c r="M711">
        <v>65.459999999999994</v>
      </c>
      <c r="N711">
        <v>2567.34</v>
      </c>
      <c r="O711" t="s">
        <v>62</v>
      </c>
      <c r="P711" t="s">
        <v>55</v>
      </c>
    </row>
    <row r="712" spans="1:16" x14ac:dyDescent="0.35">
      <c r="A712" t="s">
        <v>776</v>
      </c>
      <c r="B712">
        <v>42</v>
      </c>
      <c r="C712" t="s">
        <v>55</v>
      </c>
      <c r="D712" t="s">
        <v>55</v>
      </c>
      <c r="E712" t="s">
        <v>55</v>
      </c>
      <c r="F712">
        <v>69</v>
      </c>
      <c r="G712" t="s">
        <v>56</v>
      </c>
      <c r="H712" t="s">
        <v>55</v>
      </c>
      <c r="I712" t="s">
        <v>29</v>
      </c>
      <c r="J712" t="s">
        <v>13</v>
      </c>
      <c r="K712" t="s">
        <v>55</v>
      </c>
      <c r="L712" t="s">
        <v>57</v>
      </c>
      <c r="M712">
        <v>71.06</v>
      </c>
      <c r="N712">
        <v>5086.3</v>
      </c>
      <c r="O712" t="s">
        <v>80</v>
      </c>
      <c r="P712" t="s">
        <v>55</v>
      </c>
    </row>
    <row r="713" spans="1:16" x14ac:dyDescent="0.35">
      <c r="A713" t="s">
        <v>777</v>
      </c>
      <c r="B713">
        <v>33</v>
      </c>
      <c r="C713" t="s">
        <v>55</v>
      </c>
      <c r="D713" t="s">
        <v>55</v>
      </c>
      <c r="E713" t="s">
        <v>56</v>
      </c>
      <c r="F713">
        <v>27</v>
      </c>
      <c r="G713" t="s">
        <v>56</v>
      </c>
      <c r="H713" t="s">
        <v>55</v>
      </c>
      <c r="I713" t="s">
        <v>55</v>
      </c>
      <c r="J713" t="s">
        <v>12</v>
      </c>
      <c r="K713" t="s">
        <v>56</v>
      </c>
      <c r="L713" t="s">
        <v>25</v>
      </c>
      <c r="M713">
        <v>18.71</v>
      </c>
      <c r="N713">
        <v>496.04</v>
      </c>
      <c r="O713" t="s">
        <v>66</v>
      </c>
      <c r="P713" t="s">
        <v>55</v>
      </c>
    </row>
    <row r="714" spans="1:16" x14ac:dyDescent="0.35">
      <c r="A714" t="s">
        <v>778</v>
      </c>
      <c r="B714">
        <v>67</v>
      </c>
      <c r="C714" t="s">
        <v>56</v>
      </c>
      <c r="D714" t="s">
        <v>56</v>
      </c>
      <c r="E714" t="s">
        <v>55</v>
      </c>
      <c r="F714">
        <v>59</v>
      </c>
      <c r="G714" t="s">
        <v>55</v>
      </c>
      <c r="H714" t="s">
        <v>60</v>
      </c>
      <c r="I714" t="s">
        <v>30</v>
      </c>
      <c r="J714" t="s">
        <v>12</v>
      </c>
      <c r="K714" t="s">
        <v>56</v>
      </c>
      <c r="L714" t="s">
        <v>26</v>
      </c>
      <c r="M714">
        <v>76.89</v>
      </c>
      <c r="N714">
        <v>4788.04</v>
      </c>
      <c r="O714" t="s">
        <v>64</v>
      </c>
      <c r="P714" t="s">
        <v>55</v>
      </c>
    </row>
    <row r="715" spans="1:16" x14ac:dyDescent="0.35">
      <c r="A715" t="s">
        <v>779</v>
      </c>
      <c r="B715">
        <v>64</v>
      </c>
      <c r="C715" t="s">
        <v>56</v>
      </c>
      <c r="D715" t="s">
        <v>56</v>
      </c>
      <c r="E715" t="s">
        <v>55</v>
      </c>
      <c r="F715">
        <v>48</v>
      </c>
      <c r="G715" t="s">
        <v>56</v>
      </c>
      <c r="H715" t="s">
        <v>55</v>
      </c>
      <c r="I715" t="s">
        <v>30</v>
      </c>
      <c r="J715" t="s">
        <v>12</v>
      </c>
      <c r="K715" t="s">
        <v>56</v>
      </c>
      <c r="L715" t="s">
        <v>26</v>
      </c>
      <c r="M715">
        <v>88.26</v>
      </c>
      <c r="N715">
        <v>4022.45</v>
      </c>
      <c r="O715" t="s">
        <v>58</v>
      </c>
      <c r="P715" t="s">
        <v>56</v>
      </c>
    </row>
    <row r="716" spans="1:16" x14ac:dyDescent="0.35">
      <c r="A716" t="s">
        <v>780</v>
      </c>
      <c r="B716">
        <v>71</v>
      </c>
      <c r="C716" t="s">
        <v>56</v>
      </c>
      <c r="D716" t="s">
        <v>55</v>
      </c>
      <c r="E716" t="s">
        <v>56</v>
      </c>
      <c r="F716">
        <v>24</v>
      </c>
      <c r="G716" t="s">
        <v>56</v>
      </c>
      <c r="H716" t="s">
        <v>55</v>
      </c>
      <c r="I716" t="s">
        <v>29</v>
      </c>
      <c r="J716" t="s">
        <v>13</v>
      </c>
      <c r="K716" t="s">
        <v>55</v>
      </c>
      <c r="L716" t="s">
        <v>57</v>
      </c>
      <c r="M716">
        <v>68.900000000000006</v>
      </c>
      <c r="N716">
        <v>1642.48</v>
      </c>
      <c r="O716" t="s">
        <v>80</v>
      </c>
      <c r="P716" t="s">
        <v>55</v>
      </c>
    </row>
    <row r="717" spans="1:16" x14ac:dyDescent="0.35">
      <c r="A717" t="s">
        <v>781</v>
      </c>
      <c r="B717">
        <v>36</v>
      </c>
      <c r="C717" t="s">
        <v>55</v>
      </c>
      <c r="D717" t="s">
        <v>56</v>
      </c>
      <c r="E717" t="s">
        <v>56</v>
      </c>
      <c r="F717">
        <v>8</v>
      </c>
      <c r="G717" t="s">
        <v>56</v>
      </c>
      <c r="H717" t="s">
        <v>55</v>
      </c>
      <c r="I717" t="s">
        <v>55</v>
      </c>
      <c r="J717" t="s">
        <v>12</v>
      </c>
      <c r="K717" t="s">
        <v>56</v>
      </c>
      <c r="L717" t="s">
        <v>26</v>
      </c>
      <c r="M717">
        <v>27.99</v>
      </c>
      <c r="N717">
        <v>228.75</v>
      </c>
      <c r="O717" t="s">
        <v>58</v>
      </c>
      <c r="P717" t="s">
        <v>55</v>
      </c>
    </row>
    <row r="718" spans="1:16" x14ac:dyDescent="0.35">
      <c r="A718" t="s">
        <v>782</v>
      </c>
      <c r="B718">
        <v>63</v>
      </c>
      <c r="C718" t="s">
        <v>56</v>
      </c>
      <c r="D718" t="s">
        <v>55</v>
      </c>
      <c r="E718" t="s">
        <v>55</v>
      </c>
      <c r="F718">
        <v>30</v>
      </c>
      <c r="G718" t="s">
        <v>56</v>
      </c>
      <c r="H718" t="s">
        <v>56</v>
      </c>
      <c r="I718" t="s">
        <v>30</v>
      </c>
      <c r="J718" t="s">
        <v>12</v>
      </c>
      <c r="K718" t="s">
        <v>55</v>
      </c>
      <c r="L718" t="s">
        <v>25</v>
      </c>
      <c r="M718">
        <v>76.260000000000005</v>
      </c>
      <c r="N718">
        <v>2208.6999999999998</v>
      </c>
      <c r="O718" t="s">
        <v>62</v>
      </c>
      <c r="P718" t="s">
        <v>55</v>
      </c>
    </row>
    <row r="719" spans="1:16" x14ac:dyDescent="0.35">
      <c r="A719" t="s">
        <v>783</v>
      </c>
      <c r="B719">
        <v>43</v>
      </c>
      <c r="C719" t="s">
        <v>55</v>
      </c>
      <c r="D719" t="s">
        <v>56</v>
      </c>
      <c r="E719" t="s">
        <v>56</v>
      </c>
      <c r="F719">
        <v>60</v>
      </c>
      <c r="G719" t="s">
        <v>55</v>
      </c>
      <c r="H719" t="s">
        <v>60</v>
      </c>
      <c r="I719" t="s">
        <v>29</v>
      </c>
      <c r="J719" t="s">
        <v>14</v>
      </c>
      <c r="K719" t="s">
        <v>56</v>
      </c>
      <c r="L719" t="s">
        <v>26</v>
      </c>
      <c r="M719">
        <v>54.86</v>
      </c>
      <c r="N719">
        <v>3261.67</v>
      </c>
      <c r="O719" t="s">
        <v>80</v>
      </c>
      <c r="P719" t="s">
        <v>55</v>
      </c>
    </row>
    <row r="720" spans="1:16" x14ac:dyDescent="0.35">
      <c r="A720" t="s">
        <v>784</v>
      </c>
      <c r="B720">
        <v>22</v>
      </c>
      <c r="C720" t="s">
        <v>55</v>
      </c>
      <c r="D720" t="s">
        <v>55</v>
      </c>
      <c r="E720" t="s">
        <v>55</v>
      </c>
      <c r="F720">
        <v>4</v>
      </c>
      <c r="G720" t="s">
        <v>56</v>
      </c>
      <c r="H720" t="s">
        <v>55</v>
      </c>
      <c r="I720" t="s">
        <v>30</v>
      </c>
      <c r="J720" t="s">
        <v>12</v>
      </c>
      <c r="K720" t="s">
        <v>56</v>
      </c>
      <c r="L720" t="s">
        <v>61</v>
      </c>
      <c r="M720">
        <v>85.46</v>
      </c>
      <c r="N720">
        <v>343.96</v>
      </c>
      <c r="O720" t="s">
        <v>80</v>
      </c>
      <c r="P720" t="s">
        <v>55</v>
      </c>
    </row>
    <row r="721" spans="1:16" x14ac:dyDescent="0.35">
      <c r="A721" t="s">
        <v>785</v>
      </c>
      <c r="B721">
        <v>33</v>
      </c>
      <c r="C721" t="s">
        <v>55</v>
      </c>
      <c r="D721" t="s">
        <v>55</v>
      </c>
      <c r="E721" t="s">
        <v>56</v>
      </c>
      <c r="F721">
        <v>6</v>
      </c>
      <c r="G721" t="s">
        <v>55</v>
      </c>
      <c r="H721" t="s">
        <v>60</v>
      </c>
      <c r="I721" t="s">
        <v>29</v>
      </c>
      <c r="J721" t="s">
        <v>12</v>
      </c>
      <c r="K721" t="s">
        <v>55</v>
      </c>
      <c r="L721" t="s">
        <v>26</v>
      </c>
      <c r="M721">
        <v>52.34</v>
      </c>
      <c r="N721">
        <v>332.15</v>
      </c>
      <c r="O721" t="s">
        <v>64</v>
      </c>
      <c r="P721" t="s">
        <v>55</v>
      </c>
    </row>
    <row r="722" spans="1:16" x14ac:dyDescent="0.35">
      <c r="A722" t="s">
        <v>786</v>
      </c>
      <c r="B722">
        <v>50</v>
      </c>
      <c r="C722" t="s">
        <v>55</v>
      </c>
      <c r="D722" t="s">
        <v>56</v>
      </c>
      <c r="E722" t="s">
        <v>55</v>
      </c>
      <c r="F722">
        <v>51</v>
      </c>
      <c r="G722" t="s">
        <v>56</v>
      </c>
      <c r="H722" t="s">
        <v>55</v>
      </c>
      <c r="I722" t="s">
        <v>29</v>
      </c>
      <c r="J722" t="s">
        <v>12</v>
      </c>
      <c r="K722" t="s">
        <v>55</v>
      </c>
      <c r="L722" t="s">
        <v>25</v>
      </c>
      <c r="M722">
        <v>60.14</v>
      </c>
      <c r="N722">
        <v>3067.94</v>
      </c>
      <c r="O722" t="s">
        <v>80</v>
      </c>
      <c r="P722" t="s">
        <v>55</v>
      </c>
    </row>
    <row r="723" spans="1:16" x14ac:dyDescent="0.35">
      <c r="A723" t="s">
        <v>787</v>
      </c>
      <c r="B723">
        <v>55</v>
      </c>
      <c r="C723" t="s">
        <v>55</v>
      </c>
      <c r="D723" t="s">
        <v>55</v>
      </c>
      <c r="E723" t="s">
        <v>55</v>
      </c>
      <c r="F723">
        <v>5</v>
      </c>
      <c r="G723" t="s">
        <v>56</v>
      </c>
      <c r="H723" t="s">
        <v>55</v>
      </c>
      <c r="I723" t="s">
        <v>30</v>
      </c>
      <c r="J723" t="s">
        <v>12</v>
      </c>
      <c r="K723" t="s">
        <v>56</v>
      </c>
      <c r="L723" t="s">
        <v>25</v>
      </c>
      <c r="M723">
        <v>81.58</v>
      </c>
      <c r="N723">
        <v>393.98</v>
      </c>
      <c r="O723" t="s">
        <v>62</v>
      </c>
      <c r="P723" t="s">
        <v>55</v>
      </c>
    </row>
    <row r="724" spans="1:16" x14ac:dyDescent="0.35">
      <c r="A724" t="s">
        <v>788</v>
      </c>
      <c r="B724">
        <v>67</v>
      </c>
      <c r="C724" t="s">
        <v>56</v>
      </c>
      <c r="D724" t="s">
        <v>56</v>
      </c>
      <c r="E724" t="s">
        <v>55</v>
      </c>
      <c r="F724">
        <v>58</v>
      </c>
      <c r="G724" t="s">
        <v>55</v>
      </c>
      <c r="H724" t="s">
        <v>60</v>
      </c>
      <c r="I724" t="s">
        <v>29</v>
      </c>
      <c r="J724" t="s">
        <v>12</v>
      </c>
      <c r="K724" t="s">
        <v>55</v>
      </c>
      <c r="L724" t="s">
        <v>26</v>
      </c>
      <c r="M724">
        <v>68.510000000000005</v>
      </c>
      <c r="N724">
        <v>4060.78</v>
      </c>
      <c r="O724" t="s">
        <v>58</v>
      </c>
      <c r="P724" t="s">
        <v>56</v>
      </c>
    </row>
    <row r="725" spans="1:16" x14ac:dyDescent="0.35">
      <c r="A725" t="s">
        <v>789</v>
      </c>
      <c r="B725">
        <v>56</v>
      </c>
      <c r="C725" t="s">
        <v>55</v>
      </c>
      <c r="D725" t="s">
        <v>56</v>
      </c>
      <c r="E725" t="s">
        <v>56</v>
      </c>
      <c r="F725">
        <v>64</v>
      </c>
      <c r="G725" t="s">
        <v>56</v>
      </c>
      <c r="H725" t="s">
        <v>56</v>
      </c>
      <c r="I725" t="s">
        <v>30</v>
      </c>
      <c r="J725" t="s">
        <v>14</v>
      </c>
      <c r="K725" t="s">
        <v>56</v>
      </c>
      <c r="L725" t="s">
        <v>57</v>
      </c>
      <c r="M725">
        <v>92.74</v>
      </c>
      <c r="N725">
        <v>5700.12</v>
      </c>
      <c r="O725" t="s">
        <v>80</v>
      </c>
      <c r="P725" t="s">
        <v>55</v>
      </c>
    </row>
    <row r="726" spans="1:16" x14ac:dyDescent="0.35">
      <c r="A726" t="s">
        <v>790</v>
      </c>
      <c r="B726">
        <v>35</v>
      </c>
      <c r="C726" t="s">
        <v>55</v>
      </c>
      <c r="D726" t="s">
        <v>55</v>
      </c>
      <c r="E726" t="s">
        <v>55</v>
      </c>
      <c r="F726">
        <v>12</v>
      </c>
      <c r="G726" t="s">
        <v>55</v>
      </c>
      <c r="H726" t="s">
        <v>60</v>
      </c>
      <c r="I726" t="s">
        <v>30</v>
      </c>
      <c r="J726" t="s">
        <v>12</v>
      </c>
      <c r="K726" t="s">
        <v>55</v>
      </c>
      <c r="L726" t="s">
        <v>25</v>
      </c>
      <c r="M726">
        <v>108.16</v>
      </c>
      <c r="N726">
        <v>1288.8900000000001</v>
      </c>
      <c r="O726" t="s">
        <v>80</v>
      </c>
      <c r="P726" t="s">
        <v>55</v>
      </c>
    </row>
    <row r="727" spans="1:16" x14ac:dyDescent="0.35">
      <c r="A727" t="s">
        <v>791</v>
      </c>
      <c r="B727">
        <v>54</v>
      </c>
      <c r="C727" t="s">
        <v>55</v>
      </c>
      <c r="D727" t="s">
        <v>55</v>
      </c>
      <c r="E727" t="s">
        <v>56</v>
      </c>
      <c r="F727">
        <v>47</v>
      </c>
      <c r="G727" t="s">
        <v>55</v>
      </c>
      <c r="H727" t="s">
        <v>60</v>
      </c>
      <c r="I727" t="s">
        <v>55</v>
      </c>
      <c r="J727" t="s">
        <v>12</v>
      </c>
      <c r="K727" t="s">
        <v>56</v>
      </c>
      <c r="L727" t="s">
        <v>57</v>
      </c>
      <c r="M727">
        <v>24.15</v>
      </c>
      <c r="N727">
        <v>1152.03</v>
      </c>
      <c r="O727" t="s">
        <v>80</v>
      </c>
      <c r="P727" t="s">
        <v>55</v>
      </c>
    </row>
    <row r="728" spans="1:16" x14ac:dyDescent="0.35">
      <c r="A728" t="s">
        <v>792</v>
      </c>
      <c r="B728">
        <v>61</v>
      </c>
      <c r="C728" t="s">
        <v>56</v>
      </c>
      <c r="D728" t="s">
        <v>55</v>
      </c>
      <c r="E728" t="s">
        <v>55</v>
      </c>
      <c r="F728">
        <v>34</v>
      </c>
      <c r="G728" t="s">
        <v>56</v>
      </c>
      <c r="H728" t="s">
        <v>55</v>
      </c>
      <c r="I728" t="s">
        <v>55</v>
      </c>
      <c r="J728" t="s">
        <v>13</v>
      </c>
      <c r="K728" t="s">
        <v>56</v>
      </c>
      <c r="L728" t="s">
        <v>61</v>
      </c>
      <c r="M728">
        <v>24.73</v>
      </c>
      <c r="N728">
        <v>805.97</v>
      </c>
      <c r="O728" t="s">
        <v>64</v>
      </c>
      <c r="P728" t="s">
        <v>56</v>
      </c>
    </row>
    <row r="729" spans="1:16" x14ac:dyDescent="0.35">
      <c r="A729" t="s">
        <v>793</v>
      </c>
      <c r="B729">
        <v>28</v>
      </c>
      <c r="C729" t="s">
        <v>55</v>
      </c>
      <c r="D729" t="s">
        <v>55</v>
      </c>
      <c r="E729" t="s">
        <v>56</v>
      </c>
      <c r="F729">
        <v>29</v>
      </c>
      <c r="G729" t="s">
        <v>55</v>
      </c>
      <c r="H729" t="s">
        <v>60</v>
      </c>
      <c r="I729" t="s">
        <v>30</v>
      </c>
      <c r="J729" t="s">
        <v>13</v>
      </c>
      <c r="K729" t="s">
        <v>55</v>
      </c>
      <c r="L729" t="s">
        <v>57</v>
      </c>
      <c r="M729">
        <v>102.12</v>
      </c>
      <c r="N729">
        <v>3103.68</v>
      </c>
      <c r="O729" t="s">
        <v>80</v>
      </c>
      <c r="P729" t="s">
        <v>55</v>
      </c>
    </row>
    <row r="730" spans="1:16" x14ac:dyDescent="0.35">
      <c r="A730" t="s">
        <v>794</v>
      </c>
      <c r="B730">
        <v>29</v>
      </c>
      <c r="C730" t="s">
        <v>55</v>
      </c>
      <c r="D730" t="s">
        <v>56</v>
      </c>
      <c r="E730" t="s">
        <v>55</v>
      </c>
      <c r="F730">
        <v>56</v>
      </c>
      <c r="G730" t="s">
        <v>55</v>
      </c>
      <c r="H730" t="s">
        <v>60</v>
      </c>
      <c r="I730" t="s">
        <v>30</v>
      </c>
      <c r="J730" t="s">
        <v>12</v>
      </c>
      <c r="K730" t="s">
        <v>55</v>
      </c>
      <c r="L730" t="s">
        <v>25</v>
      </c>
      <c r="M730">
        <v>94.31</v>
      </c>
      <c r="N730">
        <v>5409.56</v>
      </c>
      <c r="O730" t="s">
        <v>76</v>
      </c>
      <c r="P730" t="s">
        <v>55</v>
      </c>
    </row>
    <row r="731" spans="1:16" x14ac:dyDescent="0.35">
      <c r="A731" t="s">
        <v>795</v>
      </c>
      <c r="B731">
        <v>47</v>
      </c>
      <c r="C731" t="s">
        <v>55</v>
      </c>
      <c r="D731" t="s">
        <v>56</v>
      </c>
      <c r="E731" t="s">
        <v>56</v>
      </c>
      <c r="F731">
        <v>61</v>
      </c>
      <c r="G731" t="s">
        <v>56</v>
      </c>
      <c r="H731" t="s">
        <v>56</v>
      </c>
      <c r="I731" t="s">
        <v>30</v>
      </c>
      <c r="J731" t="s">
        <v>12</v>
      </c>
      <c r="K731" t="s">
        <v>55</v>
      </c>
      <c r="L731" t="s">
        <v>26</v>
      </c>
      <c r="M731">
        <v>110.43</v>
      </c>
      <c r="N731">
        <v>6970.29</v>
      </c>
      <c r="O731" t="s">
        <v>62</v>
      </c>
      <c r="P731" t="s">
        <v>55</v>
      </c>
    </row>
    <row r="732" spans="1:16" x14ac:dyDescent="0.35">
      <c r="A732" t="s">
        <v>796</v>
      </c>
      <c r="B732">
        <v>21</v>
      </c>
      <c r="C732" t="s">
        <v>55</v>
      </c>
      <c r="D732" t="s">
        <v>56</v>
      </c>
      <c r="E732" t="s">
        <v>56</v>
      </c>
      <c r="F732">
        <v>55</v>
      </c>
      <c r="G732" t="s">
        <v>56</v>
      </c>
      <c r="H732" t="s">
        <v>56</v>
      </c>
      <c r="I732" t="s">
        <v>30</v>
      </c>
      <c r="J732" t="s">
        <v>12</v>
      </c>
      <c r="K732" t="s">
        <v>55</v>
      </c>
      <c r="L732" t="s">
        <v>26</v>
      </c>
      <c r="M732">
        <v>113.69</v>
      </c>
      <c r="N732">
        <v>6216.5</v>
      </c>
      <c r="O732" t="s">
        <v>62</v>
      </c>
      <c r="P732" t="s">
        <v>56</v>
      </c>
    </row>
    <row r="733" spans="1:16" x14ac:dyDescent="0.35">
      <c r="A733" t="s">
        <v>797</v>
      </c>
      <c r="B733">
        <v>60</v>
      </c>
      <c r="C733" t="s">
        <v>56</v>
      </c>
      <c r="D733" t="s">
        <v>55</v>
      </c>
      <c r="E733" t="s">
        <v>56</v>
      </c>
      <c r="F733">
        <v>7</v>
      </c>
      <c r="G733" t="s">
        <v>55</v>
      </c>
      <c r="H733" t="s">
        <v>60</v>
      </c>
      <c r="I733" t="s">
        <v>30</v>
      </c>
      <c r="J733" t="s">
        <v>12</v>
      </c>
      <c r="K733" t="s">
        <v>55</v>
      </c>
      <c r="L733" t="s">
        <v>26</v>
      </c>
      <c r="M733">
        <v>87.46</v>
      </c>
      <c r="N733">
        <v>606.28</v>
      </c>
      <c r="O733" t="s">
        <v>69</v>
      </c>
      <c r="P733" t="s">
        <v>56</v>
      </c>
    </row>
    <row r="734" spans="1:16" x14ac:dyDescent="0.35">
      <c r="A734" t="s">
        <v>798</v>
      </c>
      <c r="B734">
        <v>68</v>
      </c>
      <c r="C734" t="s">
        <v>56</v>
      </c>
      <c r="D734" t="s">
        <v>56</v>
      </c>
      <c r="E734" t="s">
        <v>55</v>
      </c>
      <c r="F734">
        <v>46</v>
      </c>
      <c r="G734" t="s">
        <v>55</v>
      </c>
      <c r="H734" t="s">
        <v>60</v>
      </c>
      <c r="I734" t="s">
        <v>55</v>
      </c>
      <c r="J734" t="s">
        <v>14</v>
      </c>
      <c r="K734" t="s">
        <v>56</v>
      </c>
      <c r="L734" t="s">
        <v>26</v>
      </c>
      <c r="M734">
        <v>26.02</v>
      </c>
      <c r="N734">
        <v>1213.6500000000001</v>
      </c>
      <c r="O734" t="s">
        <v>66</v>
      </c>
      <c r="P734" t="s">
        <v>55</v>
      </c>
    </row>
    <row r="735" spans="1:16" x14ac:dyDescent="0.35">
      <c r="A735" t="s">
        <v>799</v>
      </c>
      <c r="B735">
        <v>64</v>
      </c>
      <c r="C735" t="s">
        <v>56</v>
      </c>
      <c r="D735" t="s">
        <v>55</v>
      </c>
      <c r="E735" t="s">
        <v>56</v>
      </c>
      <c r="F735">
        <v>20</v>
      </c>
      <c r="G735" t="s">
        <v>56</v>
      </c>
      <c r="H735" t="s">
        <v>55</v>
      </c>
      <c r="I735" t="s">
        <v>55</v>
      </c>
      <c r="J735" t="s">
        <v>12</v>
      </c>
      <c r="K735" t="s">
        <v>55</v>
      </c>
      <c r="L735" t="s">
        <v>26</v>
      </c>
      <c r="M735">
        <v>26.67</v>
      </c>
      <c r="N735">
        <v>564.65</v>
      </c>
      <c r="O735" t="s">
        <v>66</v>
      </c>
      <c r="P735" t="s">
        <v>55</v>
      </c>
    </row>
    <row r="736" spans="1:16" x14ac:dyDescent="0.35">
      <c r="A736" t="s">
        <v>800</v>
      </c>
      <c r="B736">
        <v>26</v>
      </c>
      <c r="C736" t="s">
        <v>55</v>
      </c>
      <c r="D736" t="s">
        <v>55</v>
      </c>
      <c r="E736" t="s">
        <v>56</v>
      </c>
      <c r="F736">
        <v>5</v>
      </c>
      <c r="G736" t="s">
        <v>56</v>
      </c>
      <c r="H736" t="s">
        <v>55</v>
      </c>
      <c r="I736" t="s">
        <v>30</v>
      </c>
      <c r="J736" t="s">
        <v>12</v>
      </c>
      <c r="K736" t="s">
        <v>56</v>
      </c>
      <c r="L736" t="s">
        <v>61</v>
      </c>
      <c r="M736">
        <v>80.81</v>
      </c>
      <c r="N736">
        <v>389.98</v>
      </c>
      <c r="O736" t="s">
        <v>69</v>
      </c>
      <c r="P736" t="s">
        <v>56</v>
      </c>
    </row>
    <row r="737" spans="1:16" x14ac:dyDescent="0.35">
      <c r="A737" t="s">
        <v>801</v>
      </c>
      <c r="B737">
        <v>54</v>
      </c>
      <c r="C737" t="s">
        <v>55</v>
      </c>
      <c r="D737" t="s">
        <v>56</v>
      </c>
      <c r="E737" t="s">
        <v>55</v>
      </c>
      <c r="F737">
        <v>47</v>
      </c>
      <c r="G737" t="s">
        <v>55</v>
      </c>
      <c r="H737" t="s">
        <v>60</v>
      </c>
      <c r="I737" t="s">
        <v>30</v>
      </c>
      <c r="J737" t="s">
        <v>12</v>
      </c>
      <c r="K737" t="s">
        <v>56</v>
      </c>
      <c r="L737" t="s">
        <v>61</v>
      </c>
      <c r="M737">
        <v>102.45</v>
      </c>
      <c r="N737">
        <v>4789.72</v>
      </c>
      <c r="O737" t="s">
        <v>76</v>
      </c>
      <c r="P737" t="s">
        <v>56</v>
      </c>
    </row>
    <row r="738" spans="1:16" x14ac:dyDescent="0.35">
      <c r="A738" t="s">
        <v>802</v>
      </c>
      <c r="B738">
        <v>71</v>
      </c>
      <c r="C738" t="s">
        <v>56</v>
      </c>
      <c r="D738" t="s">
        <v>55</v>
      </c>
      <c r="E738" t="s">
        <v>55</v>
      </c>
      <c r="F738">
        <v>15</v>
      </c>
      <c r="G738" t="s">
        <v>55</v>
      </c>
      <c r="H738" t="s">
        <v>60</v>
      </c>
      <c r="I738" t="s">
        <v>55</v>
      </c>
      <c r="J738" t="s">
        <v>12</v>
      </c>
      <c r="K738" t="s">
        <v>56</v>
      </c>
      <c r="L738" t="s">
        <v>57</v>
      </c>
      <c r="M738">
        <v>19.95</v>
      </c>
      <c r="N738">
        <v>296.95</v>
      </c>
      <c r="O738" t="s">
        <v>69</v>
      </c>
      <c r="P738" t="s">
        <v>56</v>
      </c>
    </row>
    <row r="739" spans="1:16" x14ac:dyDescent="0.35">
      <c r="A739" t="s">
        <v>803</v>
      </c>
      <c r="B739">
        <v>62</v>
      </c>
      <c r="C739" t="s">
        <v>56</v>
      </c>
      <c r="D739" t="s">
        <v>55</v>
      </c>
      <c r="E739" t="s">
        <v>55</v>
      </c>
      <c r="F739">
        <v>13</v>
      </c>
      <c r="G739" t="s">
        <v>56</v>
      </c>
      <c r="H739" t="s">
        <v>56</v>
      </c>
      <c r="I739" t="s">
        <v>55</v>
      </c>
      <c r="J739" t="s">
        <v>12</v>
      </c>
      <c r="K739" t="s">
        <v>55</v>
      </c>
      <c r="L739" t="s">
        <v>26</v>
      </c>
      <c r="M739">
        <v>27</v>
      </c>
      <c r="N739">
        <v>356.22</v>
      </c>
      <c r="O739" t="s">
        <v>69</v>
      </c>
      <c r="P739" t="s">
        <v>55</v>
      </c>
    </row>
    <row r="740" spans="1:16" x14ac:dyDescent="0.35">
      <c r="A740" t="s">
        <v>804</v>
      </c>
      <c r="B740">
        <v>46</v>
      </c>
      <c r="C740" t="s">
        <v>55</v>
      </c>
      <c r="D740" t="s">
        <v>56</v>
      </c>
      <c r="E740" t="s">
        <v>55</v>
      </c>
      <c r="F740">
        <v>54</v>
      </c>
      <c r="G740" t="s">
        <v>55</v>
      </c>
      <c r="H740" t="s">
        <v>60</v>
      </c>
      <c r="I740" t="s">
        <v>30</v>
      </c>
      <c r="J740" t="s">
        <v>13</v>
      </c>
      <c r="K740" t="s">
        <v>56</v>
      </c>
      <c r="L740" t="s">
        <v>26</v>
      </c>
      <c r="M740">
        <v>93.48</v>
      </c>
      <c r="N740">
        <v>4820.42</v>
      </c>
      <c r="O740" t="s">
        <v>64</v>
      </c>
      <c r="P740" t="s">
        <v>55</v>
      </c>
    </row>
    <row r="741" spans="1:16" x14ac:dyDescent="0.35">
      <c r="A741" t="s">
        <v>805</v>
      </c>
      <c r="B741">
        <v>44</v>
      </c>
      <c r="C741" t="s">
        <v>55</v>
      </c>
      <c r="D741" t="s">
        <v>55</v>
      </c>
      <c r="E741" t="s">
        <v>56</v>
      </c>
      <c r="F741">
        <v>48</v>
      </c>
      <c r="G741" t="s">
        <v>55</v>
      </c>
      <c r="H741" t="s">
        <v>60</v>
      </c>
      <c r="I741" t="s">
        <v>29</v>
      </c>
      <c r="J741" t="s">
        <v>12</v>
      </c>
      <c r="K741" t="s">
        <v>55</v>
      </c>
      <c r="L741" t="s">
        <v>26</v>
      </c>
      <c r="M741">
        <v>76.11</v>
      </c>
      <c r="N741">
        <v>3832.73</v>
      </c>
      <c r="O741" t="s">
        <v>80</v>
      </c>
      <c r="P741" t="s">
        <v>55</v>
      </c>
    </row>
    <row r="742" spans="1:16" x14ac:dyDescent="0.35">
      <c r="A742" t="s">
        <v>806</v>
      </c>
      <c r="B742">
        <v>75</v>
      </c>
      <c r="C742" t="s">
        <v>56</v>
      </c>
      <c r="D742" t="s">
        <v>55</v>
      </c>
      <c r="E742" t="s">
        <v>56</v>
      </c>
      <c r="F742">
        <v>2</v>
      </c>
      <c r="G742" t="s">
        <v>55</v>
      </c>
      <c r="H742" t="s">
        <v>60</v>
      </c>
      <c r="I742" t="s">
        <v>30</v>
      </c>
      <c r="J742" t="s">
        <v>14</v>
      </c>
      <c r="K742" t="s">
        <v>55</v>
      </c>
      <c r="L742" t="s">
        <v>26</v>
      </c>
      <c r="M742">
        <v>117.96</v>
      </c>
      <c r="N742">
        <v>249.87</v>
      </c>
      <c r="O742" t="s">
        <v>64</v>
      </c>
      <c r="P742" t="s">
        <v>56</v>
      </c>
    </row>
    <row r="743" spans="1:16" x14ac:dyDescent="0.35">
      <c r="A743" t="s">
        <v>807</v>
      </c>
      <c r="B743">
        <v>30</v>
      </c>
      <c r="C743" t="s">
        <v>55</v>
      </c>
      <c r="D743" t="s">
        <v>55</v>
      </c>
      <c r="E743" t="s">
        <v>56</v>
      </c>
      <c r="F743">
        <v>55</v>
      </c>
      <c r="G743" t="s">
        <v>55</v>
      </c>
      <c r="H743" t="s">
        <v>60</v>
      </c>
      <c r="I743" t="s">
        <v>30</v>
      </c>
      <c r="J743" t="s">
        <v>14</v>
      </c>
      <c r="K743" t="s">
        <v>56</v>
      </c>
      <c r="L743" t="s">
        <v>57</v>
      </c>
      <c r="M743">
        <v>85.91</v>
      </c>
      <c r="N743">
        <v>4531.3900000000003</v>
      </c>
      <c r="O743" t="s">
        <v>69</v>
      </c>
      <c r="P743" t="s">
        <v>55</v>
      </c>
    </row>
    <row r="744" spans="1:16" x14ac:dyDescent="0.35">
      <c r="A744" t="s">
        <v>808</v>
      </c>
      <c r="B744">
        <v>69</v>
      </c>
      <c r="C744" t="s">
        <v>56</v>
      </c>
      <c r="D744" t="s">
        <v>56</v>
      </c>
      <c r="E744" t="s">
        <v>56</v>
      </c>
      <c r="F744">
        <v>51</v>
      </c>
      <c r="G744" t="s">
        <v>55</v>
      </c>
      <c r="H744" t="s">
        <v>60</v>
      </c>
      <c r="I744" t="s">
        <v>55</v>
      </c>
      <c r="J744" t="s">
        <v>14</v>
      </c>
      <c r="K744" t="s">
        <v>56</v>
      </c>
      <c r="L744" t="s">
        <v>25</v>
      </c>
      <c r="M744">
        <v>20.45</v>
      </c>
      <c r="N744">
        <v>992.05</v>
      </c>
      <c r="O744" t="s">
        <v>69</v>
      </c>
      <c r="P744" t="s">
        <v>55</v>
      </c>
    </row>
    <row r="745" spans="1:16" x14ac:dyDescent="0.35">
      <c r="A745" t="s">
        <v>809</v>
      </c>
      <c r="B745">
        <v>67</v>
      </c>
      <c r="C745" t="s">
        <v>56</v>
      </c>
      <c r="D745" t="s">
        <v>56</v>
      </c>
      <c r="E745" t="s">
        <v>56</v>
      </c>
      <c r="F745">
        <v>70</v>
      </c>
      <c r="G745" t="s">
        <v>56</v>
      </c>
      <c r="H745" t="s">
        <v>55</v>
      </c>
      <c r="I745" t="s">
        <v>55</v>
      </c>
      <c r="J745" t="s">
        <v>12</v>
      </c>
      <c r="K745" t="s">
        <v>56</v>
      </c>
      <c r="L745" t="s">
        <v>25</v>
      </c>
      <c r="M745">
        <v>25.61</v>
      </c>
      <c r="N745">
        <v>1852.42</v>
      </c>
      <c r="O745" t="s">
        <v>69</v>
      </c>
      <c r="P745" t="s">
        <v>56</v>
      </c>
    </row>
    <row r="746" spans="1:16" x14ac:dyDescent="0.35">
      <c r="A746" t="s">
        <v>810</v>
      </c>
      <c r="B746">
        <v>75</v>
      </c>
      <c r="C746" t="s">
        <v>56</v>
      </c>
      <c r="D746" t="s">
        <v>56</v>
      </c>
      <c r="E746" t="s">
        <v>55</v>
      </c>
      <c r="F746">
        <v>25</v>
      </c>
      <c r="G746" t="s">
        <v>56</v>
      </c>
      <c r="H746" t="s">
        <v>55</v>
      </c>
      <c r="I746" t="s">
        <v>29</v>
      </c>
      <c r="J746" t="s">
        <v>14</v>
      </c>
      <c r="K746" t="s">
        <v>55</v>
      </c>
      <c r="L746" t="s">
        <v>61</v>
      </c>
      <c r="M746">
        <v>66.37</v>
      </c>
      <c r="N746">
        <v>1614.44</v>
      </c>
      <c r="O746" t="s">
        <v>69</v>
      </c>
      <c r="P746" t="s">
        <v>55</v>
      </c>
    </row>
    <row r="747" spans="1:16" x14ac:dyDescent="0.35">
      <c r="A747" t="s">
        <v>811</v>
      </c>
      <c r="B747">
        <v>19</v>
      </c>
      <c r="C747" t="s">
        <v>55</v>
      </c>
      <c r="D747" t="s">
        <v>56</v>
      </c>
      <c r="E747" t="s">
        <v>56</v>
      </c>
      <c r="F747">
        <v>59</v>
      </c>
      <c r="G747" t="s">
        <v>56</v>
      </c>
      <c r="H747" t="s">
        <v>56</v>
      </c>
      <c r="I747" t="s">
        <v>55</v>
      </c>
      <c r="J747" t="s">
        <v>12</v>
      </c>
      <c r="K747" t="s">
        <v>56</v>
      </c>
      <c r="L747" t="s">
        <v>26</v>
      </c>
      <c r="M747">
        <v>23.93</v>
      </c>
      <c r="N747">
        <v>1388.39</v>
      </c>
      <c r="O747" t="s">
        <v>64</v>
      </c>
      <c r="P747" t="s">
        <v>55</v>
      </c>
    </row>
    <row r="748" spans="1:16" x14ac:dyDescent="0.35">
      <c r="A748" t="s">
        <v>812</v>
      </c>
      <c r="B748">
        <v>24</v>
      </c>
      <c r="C748" t="s">
        <v>55</v>
      </c>
      <c r="D748" t="s">
        <v>55</v>
      </c>
      <c r="E748" t="s">
        <v>56</v>
      </c>
      <c r="F748">
        <v>53</v>
      </c>
      <c r="G748" t="s">
        <v>56</v>
      </c>
      <c r="H748" t="s">
        <v>56</v>
      </c>
      <c r="I748" t="s">
        <v>30</v>
      </c>
      <c r="J748" t="s">
        <v>12</v>
      </c>
      <c r="K748" t="s">
        <v>55</v>
      </c>
      <c r="L748" t="s">
        <v>61</v>
      </c>
      <c r="M748">
        <v>92.54</v>
      </c>
      <c r="N748">
        <v>4705.16</v>
      </c>
      <c r="O748" t="s">
        <v>62</v>
      </c>
      <c r="P748" t="s">
        <v>56</v>
      </c>
    </row>
    <row r="749" spans="1:16" x14ac:dyDescent="0.35">
      <c r="A749" t="s">
        <v>813</v>
      </c>
      <c r="B749">
        <v>60</v>
      </c>
      <c r="C749" t="s">
        <v>56</v>
      </c>
      <c r="D749" t="s">
        <v>56</v>
      </c>
      <c r="E749" t="s">
        <v>56</v>
      </c>
      <c r="F749">
        <v>44</v>
      </c>
      <c r="G749" t="s">
        <v>55</v>
      </c>
      <c r="H749" t="s">
        <v>60</v>
      </c>
      <c r="I749" t="s">
        <v>55</v>
      </c>
      <c r="J749" t="s">
        <v>14</v>
      </c>
      <c r="K749" t="s">
        <v>56</v>
      </c>
      <c r="L749" t="s">
        <v>26</v>
      </c>
      <c r="M749">
        <v>26.9</v>
      </c>
      <c r="N749">
        <v>1244.19</v>
      </c>
      <c r="O749" t="s">
        <v>80</v>
      </c>
      <c r="P749" t="s">
        <v>56</v>
      </c>
    </row>
    <row r="750" spans="1:16" x14ac:dyDescent="0.35">
      <c r="A750" t="s">
        <v>814</v>
      </c>
      <c r="B750">
        <v>52</v>
      </c>
      <c r="C750" t="s">
        <v>55</v>
      </c>
      <c r="D750" t="s">
        <v>56</v>
      </c>
      <c r="E750" t="s">
        <v>56</v>
      </c>
      <c r="F750">
        <v>28</v>
      </c>
      <c r="G750" t="s">
        <v>56</v>
      </c>
      <c r="H750" t="s">
        <v>55</v>
      </c>
      <c r="I750" t="s">
        <v>55</v>
      </c>
      <c r="J750" t="s">
        <v>12</v>
      </c>
      <c r="K750" t="s">
        <v>56</v>
      </c>
      <c r="L750" t="s">
        <v>26</v>
      </c>
      <c r="M750">
        <v>26.73</v>
      </c>
      <c r="N750">
        <v>787.94</v>
      </c>
      <c r="O750" t="s">
        <v>64</v>
      </c>
      <c r="P750" t="s">
        <v>56</v>
      </c>
    </row>
    <row r="751" spans="1:16" x14ac:dyDescent="0.35">
      <c r="A751" t="s">
        <v>815</v>
      </c>
      <c r="B751">
        <v>30</v>
      </c>
      <c r="C751" t="s">
        <v>55</v>
      </c>
      <c r="D751" t="s">
        <v>56</v>
      </c>
      <c r="E751" t="s">
        <v>55</v>
      </c>
      <c r="F751">
        <v>71</v>
      </c>
      <c r="G751" t="s">
        <v>55</v>
      </c>
      <c r="H751" t="s">
        <v>60</v>
      </c>
      <c r="I751" t="s">
        <v>29</v>
      </c>
      <c r="J751" t="s">
        <v>13</v>
      </c>
      <c r="K751" t="s">
        <v>55</v>
      </c>
      <c r="L751" t="s">
        <v>57</v>
      </c>
      <c r="M751">
        <v>77.849999999999994</v>
      </c>
      <c r="N751">
        <v>5807.49</v>
      </c>
      <c r="O751" t="s">
        <v>62</v>
      </c>
      <c r="P751" t="s">
        <v>55</v>
      </c>
    </row>
    <row r="752" spans="1:16" x14ac:dyDescent="0.35">
      <c r="A752" t="s">
        <v>816</v>
      </c>
      <c r="B752">
        <v>61</v>
      </c>
      <c r="C752" t="s">
        <v>56</v>
      </c>
      <c r="D752" t="s">
        <v>55</v>
      </c>
      <c r="E752" t="s">
        <v>55</v>
      </c>
      <c r="F752">
        <v>14</v>
      </c>
      <c r="G752" t="s">
        <v>55</v>
      </c>
      <c r="H752" t="s">
        <v>60</v>
      </c>
      <c r="I752" t="s">
        <v>29</v>
      </c>
      <c r="J752" t="s">
        <v>12</v>
      </c>
      <c r="K752" t="s">
        <v>56</v>
      </c>
      <c r="L752" t="s">
        <v>25</v>
      </c>
      <c r="M752">
        <v>59.51</v>
      </c>
      <c r="N752">
        <v>871.42</v>
      </c>
      <c r="O752" t="s">
        <v>69</v>
      </c>
      <c r="P752" t="s">
        <v>55</v>
      </c>
    </row>
    <row r="753" spans="1:16" x14ac:dyDescent="0.35">
      <c r="A753" t="s">
        <v>817</v>
      </c>
      <c r="B753">
        <v>35</v>
      </c>
      <c r="C753" t="s">
        <v>55</v>
      </c>
      <c r="D753" t="s">
        <v>55</v>
      </c>
      <c r="E753" t="s">
        <v>56</v>
      </c>
      <c r="F753">
        <v>50</v>
      </c>
      <c r="G753" t="s">
        <v>55</v>
      </c>
      <c r="H753" t="s">
        <v>60</v>
      </c>
      <c r="I753" t="s">
        <v>30</v>
      </c>
      <c r="J753" t="s">
        <v>12</v>
      </c>
      <c r="K753" t="s">
        <v>56</v>
      </c>
      <c r="L753" t="s">
        <v>57</v>
      </c>
      <c r="M753">
        <v>114.47</v>
      </c>
      <c r="N753">
        <v>6038.13</v>
      </c>
      <c r="O753" t="s">
        <v>64</v>
      </c>
      <c r="P753" t="s">
        <v>56</v>
      </c>
    </row>
    <row r="754" spans="1:16" x14ac:dyDescent="0.35">
      <c r="A754" t="s">
        <v>818</v>
      </c>
      <c r="B754">
        <v>36</v>
      </c>
      <c r="C754" t="s">
        <v>55</v>
      </c>
      <c r="D754" t="s">
        <v>55</v>
      </c>
      <c r="E754" t="s">
        <v>55</v>
      </c>
      <c r="F754">
        <v>4</v>
      </c>
      <c r="G754" t="s">
        <v>55</v>
      </c>
      <c r="H754" t="s">
        <v>60</v>
      </c>
      <c r="I754" t="s">
        <v>30</v>
      </c>
      <c r="J754" t="s">
        <v>12</v>
      </c>
      <c r="K754" t="s">
        <v>56</v>
      </c>
      <c r="L754" t="s">
        <v>57</v>
      </c>
      <c r="M754">
        <v>73.63</v>
      </c>
      <c r="N754">
        <v>300.07</v>
      </c>
      <c r="O754" t="s">
        <v>66</v>
      </c>
      <c r="P754" t="s">
        <v>56</v>
      </c>
    </row>
    <row r="755" spans="1:16" x14ac:dyDescent="0.35">
      <c r="A755" t="s">
        <v>819</v>
      </c>
      <c r="B755">
        <v>38</v>
      </c>
      <c r="C755" t="s">
        <v>55</v>
      </c>
      <c r="D755" t="s">
        <v>56</v>
      </c>
      <c r="E755" t="s">
        <v>56</v>
      </c>
      <c r="F755">
        <v>41</v>
      </c>
      <c r="G755" t="s">
        <v>55</v>
      </c>
      <c r="H755" t="s">
        <v>60</v>
      </c>
      <c r="I755" t="s">
        <v>29</v>
      </c>
      <c r="J755" t="s">
        <v>12</v>
      </c>
      <c r="K755" t="s">
        <v>55</v>
      </c>
      <c r="L755" t="s">
        <v>25</v>
      </c>
      <c r="M755">
        <v>62.47</v>
      </c>
      <c r="N755">
        <v>2526.11</v>
      </c>
      <c r="O755" t="s">
        <v>58</v>
      </c>
      <c r="P755" t="s">
        <v>55</v>
      </c>
    </row>
    <row r="756" spans="1:16" x14ac:dyDescent="0.35">
      <c r="A756" t="s">
        <v>820</v>
      </c>
      <c r="B756">
        <v>31</v>
      </c>
      <c r="C756" t="s">
        <v>55</v>
      </c>
      <c r="D756" t="s">
        <v>56</v>
      </c>
      <c r="E756" t="s">
        <v>55</v>
      </c>
      <c r="F756">
        <v>10</v>
      </c>
      <c r="G756" t="s">
        <v>55</v>
      </c>
      <c r="H756" t="s">
        <v>60</v>
      </c>
      <c r="I756" t="s">
        <v>29</v>
      </c>
      <c r="J756" t="s">
        <v>13</v>
      </c>
      <c r="K756" t="s">
        <v>55</v>
      </c>
      <c r="L756" t="s">
        <v>26</v>
      </c>
      <c r="M756">
        <v>52.8</v>
      </c>
      <c r="N756">
        <v>508.81</v>
      </c>
      <c r="O756" t="s">
        <v>64</v>
      </c>
      <c r="P756" t="s">
        <v>55</v>
      </c>
    </row>
    <row r="757" spans="1:16" x14ac:dyDescent="0.35">
      <c r="A757" t="s">
        <v>821</v>
      </c>
      <c r="B757">
        <v>20</v>
      </c>
      <c r="C757" t="s">
        <v>55</v>
      </c>
      <c r="D757" t="s">
        <v>55</v>
      </c>
      <c r="E757" t="s">
        <v>55</v>
      </c>
      <c r="F757">
        <v>16</v>
      </c>
      <c r="G757" t="s">
        <v>56</v>
      </c>
      <c r="H757" t="s">
        <v>55</v>
      </c>
      <c r="I757" t="s">
        <v>30</v>
      </c>
      <c r="J757" t="s">
        <v>13</v>
      </c>
      <c r="K757" t="s">
        <v>56</v>
      </c>
      <c r="L757" t="s">
        <v>57</v>
      </c>
      <c r="M757">
        <v>84.25</v>
      </c>
      <c r="N757">
        <v>1371.24</v>
      </c>
      <c r="O757" t="s">
        <v>80</v>
      </c>
      <c r="P757" t="s">
        <v>55</v>
      </c>
    </row>
    <row r="758" spans="1:16" x14ac:dyDescent="0.35">
      <c r="A758" t="s">
        <v>822</v>
      </c>
      <c r="B758">
        <v>47</v>
      </c>
      <c r="C758" t="s">
        <v>55</v>
      </c>
      <c r="D758" t="s">
        <v>55</v>
      </c>
      <c r="E758" t="s">
        <v>56</v>
      </c>
      <c r="F758">
        <v>52</v>
      </c>
      <c r="G758" t="s">
        <v>56</v>
      </c>
      <c r="H758" t="s">
        <v>56</v>
      </c>
      <c r="I758" t="s">
        <v>30</v>
      </c>
      <c r="J758" t="s">
        <v>12</v>
      </c>
      <c r="K758" t="s">
        <v>55</v>
      </c>
      <c r="L758" t="s">
        <v>26</v>
      </c>
      <c r="M758">
        <v>110.13</v>
      </c>
      <c r="N758">
        <v>5880.18</v>
      </c>
      <c r="O758" t="s">
        <v>66</v>
      </c>
      <c r="P758" t="s">
        <v>56</v>
      </c>
    </row>
    <row r="759" spans="1:16" x14ac:dyDescent="0.35">
      <c r="A759" t="s">
        <v>823</v>
      </c>
      <c r="B759">
        <v>40</v>
      </c>
      <c r="C759" t="s">
        <v>55</v>
      </c>
      <c r="D759" t="s">
        <v>55</v>
      </c>
      <c r="E759" t="s">
        <v>56</v>
      </c>
      <c r="F759">
        <v>72</v>
      </c>
      <c r="G759" t="s">
        <v>55</v>
      </c>
      <c r="H759" t="s">
        <v>60</v>
      </c>
      <c r="I759" t="s">
        <v>29</v>
      </c>
      <c r="J759" t="s">
        <v>13</v>
      </c>
      <c r="K759" t="s">
        <v>55</v>
      </c>
      <c r="L759" t="s">
        <v>26</v>
      </c>
      <c r="M759">
        <v>79.36</v>
      </c>
      <c r="N759">
        <v>5709.35</v>
      </c>
      <c r="O759" t="s">
        <v>80</v>
      </c>
      <c r="P759" t="s">
        <v>55</v>
      </c>
    </row>
    <row r="760" spans="1:16" x14ac:dyDescent="0.35">
      <c r="A760" t="s">
        <v>824</v>
      </c>
      <c r="B760">
        <v>71</v>
      </c>
      <c r="C760" t="s">
        <v>56</v>
      </c>
      <c r="D760" t="s">
        <v>55</v>
      </c>
      <c r="E760" t="s">
        <v>56</v>
      </c>
      <c r="F760">
        <v>4</v>
      </c>
      <c r="G760" t="s">
        <v>56</v>
      </c>
      <c r="H760" t="s">
        <v>56</v>
      </c>
      <c r="I760" t="s">
        <v>30</v>
      </c>
      <c r="J760" t="s">
        <v>14</v>
      </c>
      <c r="K760" t="s">
        <v>55</v>
      </c>
      <c r="L760" t="s">
        <v>26</v>
      </c>
      <c r="M760">
        <v>74.400000000000006</v>
      </c>
      <c r="N760">
        <v>305.60000000000002</v>
      </c>
      <c r="O760" t="s">
        <v>66</v>
      </c>
      <c r="P760" t="s">
        <v>55</v>
      </c>
    </row>
    <row r="761" spans="1:16" x14ac:dyDescent="0.35">
      <c r="A761" t="s">
        <v>825</v>
      </c>
      <c r="B761">
        <v>75</v>
      </c>
      <c r="C761" t="s">
        <v>56</v>
      </c>
      <c r="D761" t="s">
        <v>56</v>
      </c>
      <c r="E761" t="s">
        <v>56</v>
      </c>
      <c r="F761">
        <v>34</v>
      </c>
      <c r="G761" t="s">
        <v>56</v>
      </c>
      <c r="H761" t="s">
        <v>56</v>
      </c>
      <c r="I761" t="s">
        <v>55</v>
      </c>
      <c r="J761" t="s">
        <v>14</v>
      </c>
      <c r="K761" t="s">
        <v>56</v>
      </c>
      <c r="L761" t="s">
        <v>26</v>
      </c>
      <c r="M761">
        <v>26.26</v>
      </c>
      <c r="N761">
        <v>924.09</v>
      </c>
      <c r="O761" t="s">
        <v>69</v>
      </c>
      <c r="P761" t="s">
        <v>55</v>
      </c>
    </row>
    <row r="762" spans="1:16" x14ac:dyDescent="0.35">
      <c r="A762" t="s">
        <v>826</v>
      </c>
      <c r="B762">
        <v>28</v>
      </c>
      <c r="C762" t="s">
        <v>55</v>
      </c>
      <c r="D762" t="s">
        <v>56</v>
      </c>
      <c r="E762" t="s">
        <v>55</v>
      </c>
      <c r="F762">
        <v>16</v>
      </c>
      <c r="G762" t="s">
        <v>56</v>
      </c>
      <c r="H762" t="s">
        <v>55</v>
      </c>
      <c r="I762" t="s">
        <v>30</v>
      </c>
      <c r="J762" t="s">
        <v>14</v>
      </c>
      <c r="K762" t="s">
        <v>55</v>
      </c>
      <c r="L762" t="s">
        <v>61</v>
      </c>
      <c r="M762">
        <v>103.41</v>
      </c>
      <c r="N762">
        <v>1658.88</v>
      </c>
      <c r="O762" t="s">
        <v>64</v>
      </c>
      <c r="P762" t="s">
        <v>55</v>
      </c>
    </row>
    <row r="763" spans="1:16" x14ac:dyDescent="0.35">
      <c r="A763" t="s">
        <v>827</v>
      </c>
      <c r="B763">
        <v>60</v>
      </c>
      <c r="C763" t="s">
        <v>56</v>
      </c>
      <c r="D763" t="s">
        <v>55</v>
      </c>
      <c r="E763" t="s">
        <v>55</v>
      </c>
      <c r="F763">
        <v>42</v>
      </c>
      <c r="G763" t="s">
        <v>55</v>
      </c>
      <c r="H763" t="s">
        <v>60</v>
      </c>
      <c r="I763" t="s">
        <v>29</v>
      </c>
      <c r="J763" t="s">
        <v>12</v>
      </c>
      <c r="K763" t="s">
        <v>55</v>
      </c>
      <c r="L763" t="s">
        <v>61</v>
      </c>
      <c r="M763">
        <v>68.459999999999994</v>
      </c>
      <c r="N763">
        <v>2824.6</v>
      </c>
      <c r="O763" t="s">
        <v>62</v>
      </c>
      <c r="P763" t="s">
        <v>55</v>
      </c>
    </row>
    <row r="764" spans="1:16" x14ac:dyDescent="0.35">
      <c r="A764" t="s">
        <v>828</v>
      </c>
      <c r="B764">
        <v>60</v>
      </c>
      <c r="C764" t="s">
        <v>56</v>
      </c>
      <c r="D764" t="s">
        <v>56</v>
      </c>
      <c r="E764" t="s">
        <v>56</v>
      </c>
      <c r="F764">
        <v>10</v>
      </c>
      <c r="G764" t="s">
        <v>56</v>
      </c>
      <c r="H764" t="s">
        <v>56</v>
      </c>
      <c r="I764" t="s">
        <v>55</v>
      </c>
      <c r="J764" t="s">
        <v>13</v>
      </c>
      <c r="K764" t="s">
        <v>55</v>
      </c>
      <c r="L764" t="s">
        <v>61</v>
      </c>
      <c r="M764">
        <v>20.260000000000002</v>
      </c>
      <c r="N764">
        <v>192.99</v>
      </c>
      <c r="O764" t="s">
        <v>58</v>
      </c>
      <c r="P764" t="s">
        <v>56</v>
      </c>
    </row>
    <row r="765" spans="1:16" x14ac:dyDescent="0.35">
      <c r="A765" t="s">
        <v>829</v>
      </c>
      <c r="B765">
        <v>66</v>
      </c>
      <c r="C765" t="s">
        <v>56</v>
      </c>
      <c r="D765" t="s">
        <v>55</v>
      </c>
      <c r="E765" t="s">
        <v>55</v>
      </c>
      <c r="F765">
        <v>59</v>
      </c>
      <c r="G765" t="s">
        <v>56</v>
      </c>
      <c r="H765" t="s">
        <v>55</v>
      </c>
      <c r="I765" t="s">
        <v>29</v>
      </c>
      <c r="J765" t="s">
        <v>12</v>
      </c>
      <c r="K765" t="s">
        <v>55</v>
      </c>
      <c r="L765" t="s">
        <v>57</v>
      </c>
      <c r="M765">
        <v>58.1</v>
      </c>
      <c r="N765">
        <v>3477.46</v>
      </c>
      <c r="O765" t="s">
        <v>64</v>
      </c>
      <c r="P765" t="s">
        <v>56</v>
      </c>
    </row>
    <row r="766" spans="1:16" x14ac:dyDescent="0.35">
      <c r="A766" t="s">
        <v>830</v>
      </c>
      <c r="B766">
        <v>30</v>
      </c>
      <c r="C766" t="s">
        <v>55</v>
      </c>
      <c r="D766" t="s">
        <v>56</v>
      </c>
      <c r="E766" t="s">
        <v>55</v>
      </c>
      <c r="F766">
        <v>55</v>
      </c>
      <c r="G766" t="s">
        <v>55</v>
      </c>
      <c r="H766" t="s">
        <v>60</v>
      </c>
      <c r="I766" t="s">
        <v>30</v>
      </c>
      <c r="J766" t="s">
        <v>14</v>
      </c>
      <c r="K766" t="s">
        <v>56</v>
      </c>
      <c r="L766" t="s">
        <v>26</v>
      </c>
      <c r="M766">
        <v>113.81</v>
      </c>
      <c r="N766">
        <v>6443.6</v>
      </c>
      <c r="O766" t="s">
        <v>64</v>
      </c>
      <c r="P766" t="s">
        <v>56</v>
      </c>
    </row>
    <row r="767" spans="1:16" x14ac:dyDescent="0.35">
      <c r="A767" t="s">
        <v>831</v>
      </c>
      <c r="B767">
        <v>29</v>
      </c>
      <c r="C767" t="s">
        <v>55</v>
      </c>
      <c r="D767" t="s">
        <v>55</v>
      </c>
      <c r="E767" t="s">
        <v>56</v>
      </c>
      <c r="F767">
        <v>61</v>
      </c>
      <c r="G767" t="s">
        <v>55</v>
      </c>
      <c r="H767" t="s">
        <v>60</v>
      </c>
      <c r="I767" t="s">
        <v>29</v>
      </c>
      <c r="J767" t="s">
        <v>12</v>
      </c>
      <c r="K767" t="s">
        <v>56</v>
      </c>
      <c r="L767" t="s">
        <v>25</v>
      </c>
      <c r="M767">
        <v>43.36</v>
      </c>
      <c r="N767">
        <v>2623.21</v>
      </c>
      <c r="O767" t="s">
        <v>58</v>
      </c>
      <c r="P767" t="s">
        <v>56</v>
      </c>
    </row>
    <row r="768" spans="1:16" x14ac:dyDescent="0.35">
      <c r="A768" t="s">
        <v>832</v>
      </c>
      <c r="B768">
        <v>45</v>
      </c>
      <c r="C768" t="s">
        <v>55</v>
      </c>
      <c r="D768" t="s">
        <v>55</v>
      </c>
      <c r="E768" t="s">
        <v>56</v>
      </c>
      <c r="F768">
        <v>57</v>
      </c>
      <c r="G768" t="s">
        <v>56</v>
      </c>
      <c r="H768" t="s">
        <v>56</v>
      </c>
      <c r="I768" t="s">
        <v>30</v>
      </c>
      <c r="J768" t="s">
        <v>12</v>
      </c>
      <c r="K768" t="s">
        <v>55</v>
      </c>
      <c r="L768" t="s">
        <v>26</v>
      </c>
      <c r="M768">
        <v>79.47</v>
      </c>
      <c r="N768">
        <v>4354.0200000000004</v>
      </c>
      <c r="O768" t="s">
        <v>58</v>
      </c>
      <c r="P768" t="s">
        <v>56</v>
      </c>
    </row>
    <row r="769" spans="1:16" x14ac:dyDescent="0.35">
      <c r="A769" t="s">
        <v>833</v>
      </c>
      <c r="B769">
        <v>49</v>
      </c>
      <c r="C769" t="s">
        <v>55</v>
      </c>
      <c r="D769" t="s">
        <v>55</v>
      </c>
      <c r="E769" t="s">
        <v>56</v>
      </c>
      <c r="F769">
        <v>7</v>
      </c>
      <c r="G769" t="s">
        <v>56</v>
      </c>
      <c r="H769" t="s">
        <v>56</v>
      </c>
      <c r="I769" t="s">
        <v>29</v>
      </c>
      <c r="J769" t="s">
        <v>12</v>
      </c>
      <c r="K769" t="s">
        <v>56</v>
      </c>
      <c r="L769" t="s">
        <v>57</v>
      </c>
      <c r="M769">
        <v>49.55</v>
      </c>
      <c r="N769">
        <v>348.19</v>
      </c>
      <c r="O769" t="s">
        <v>58</v>
      </c>
      <c r="P769" t="s">
        <v>56</v>
      </c>
    </row>
    <row r="770" spans="1:16" x14ac:dyDescent="0.35">
      <c r="A770" t="s">
        <v>834</v>
      </c>
      <c r="B770">
        <v>62</v>
      </c>
      <c r="C770" t="s">
        <v>56</v>
      </c>
      <c r="D770" t="s">
        <v>55</v>
      </c>
      <c r="E770" t="s">
        <v>55</v>
      </c>
      <c r="F770">
        <v>51</v>
      </c>
      <c r="G770" t="s">
        <v>55</v>
      </c>
      <c r="H770" t="s">
        <v>60</v>
      </c>
      <c r="I770" t="s">
        <v>30</v>
      </c>
      <c r="J770" t="s">
        <v>12</v>
      </c>
      <c r="K770" t="s">
        <v>56</v>
      </c>
      <c r="L770" t="s">
        <v>61</v>
      </c>
      <c r="M770">
        <v>87.38</v>
      </c>
      <c r="N770">
        <v>4343.01</v>
      </c>
      <c r="O770" t="s">
        <v>69</v>
      </c>
      <c r="P770" t="s">
        <v>55</v>
      </c>
    </row>
    <row r="771" spans="1:16" x14ac:dyDescent="0.35">
      <c r="A771" t="s">
        <v>835</v>
      </c>
      <c r="B771">
        <v>18</v>
      </c>
      <c r="C771" t="s">
        <v>55</v>
      </c>
      <c r="D771" t="s">
        <v>56</v>
      </c>
      <c r="E771" t="s">
        <v>56</v>
      </c>
      <c r="F771">
        <v>65</v>
      </c>
      <c r="G771" t="s">
        <v>55</v>
      </c>
      <c r="H771" t="s">
        <v>60</v>
      </c>
      <c r="I771" t="s">
        <v>55</v>
      </c>
      <c r="J771" t="s">
        <v>13</v>
      </c>
      <c r="K771" t="s">
        <v>56</v>
      </c>
      <c r="L771" t="s">
        <v>26</v>
      </c>
      <c r="M771">
        <v>26.18</v>
      </c>
      <c r="N771">
        <v>1633.63</v>
      </c>
      <c r="O771" t="s">
        <v>64</v>
      </c>
      <c r="P771" t="s">
        <v>55</v>
      </c>
    </row>
    <row r="772" spans="1:16" x14ac:dyDescent="0.35">
      <c r="A772" t="s">
        <v>836</v>
      </c>
      <c r="B772">
        <v>27</v>
      </c>
      <c r="C772" t="s">
        <v>55</v>
      </c>
      <c r="D772" t="s">
        <v>56</v>
      </c>
      <c r="E772" t="s">
        <v>55</v>
      </c>
      <c r="F772">
        <v>55</v>
      </c>
      <c r="G772" t="s">
        <v>56</v>
      </c>
      <c r="H772" t="s">
        <v>55</v>
      </c>
      <c r="I772" t="s">
        <v>30</v>
      </c>
      <c r="J772" t="s">
        <v>14</v>
      </c>
      <c r="K772" t="s">
        <v>56</v>
      </c>
      <c r="L772" t="s">
        <v>61</v>
      </c>
      <c r="M772">
        <v>112.65</v>
      </c>
      <c r="N772">
        <v>6265.64</v>
      </c>
      <c r="O772" t="s">
        <v>58</v>
      </c>
      <c r="P772" t="s">
        <v>55</v>
      </c>
    </row>
    <row r="773" spans="1:16" x14ac:dyDescent="0.35">
      <c r="A773" t="s">
        <v>837</v>
      </c>
      <c r="B773">
        <v>18</v>
      </c>
      <c r="C773" t="s">
        <v>55</v>
      </c>
      <c r="D773" t="s">
        <v>55</v>
      </c>
      <c r="E773" t="s">
        <v>56</v>
      </c>
      <c r="F773">
        <v>61</v>
      </c>
      <c r="G773" t="s">
        <v>56</v>
      </c>
      <c r="H773" t="s">
        <v>55</v>
      </c>
      <c r="I773" t="s">
        <v>30</v>
      </c>
      <c r="J773" t="s">
        <v>14</v>
      </c>
      <c r="K773" t="s">
        <v>56</v>
      </c>
      <c r="L773" t="s">
        <v>57</v>
      </c>
      <c r="M773">
        <v>78.37</v>
      </c>
      <c r="N773">
        <v>4577.83</v>
      </c>
      <c r="O773" t="s">
        <v>76</v>
      </c>
      <c r="P773" t="s">
        <v>56</v>
      </c>
    </row>
    <row r="774" spans="1:16" x14ac:dyDescent="0.35">
      <c r="A774" t="s">
        <v>838</v>
      </c>
      <c r="B774">
        <v>69</v>
      </c>
      <c r="C774" t="s">
        <v>56</v>
      </c>
      <c r="D774" t="s">
        <v>55</v>
      </c>
      <c r="E774" t="s">
        <v>55</v>
      </c>
      <c r="F774">
        <v>63</v>
      </c>
      <c r="G774" t="s">
        <v>55</v>
      </c>
      <c r="H774" t="s">
        <v>60</v>
      </c>
      <c r="I774" t="s">
        <v>29</v>
      </c>
      <c r="J774" t="s">
        <v>13</v>
      </c>
      <c r="K774" t="s">
        <v>55</v>
      </c>
      <c r="L774" t="s">
        <v>57</v>
      </c>
      <c r="M774">
        <v>40.54</v>
      </c>
      <c r="N774">
        <v>2508.85</v>
      </c>
      <c r="O774" t="s">
        <v>58</v>
      </c>
      <c r="P774" t="s">
        <v>55</v>
      </c>
    </row>
    <row r="775" spans="1:16" x14ac:dyDescent="0.35">
      <c r="A775" t="s">
        <v>839</v>
      </c>
      <c r="B775">
        <v>67</v>
      </c>
      <c r="C775" t="s">
        <v>56</v>
      </c>
      <c r="D775" t="s">
        <v>55</v>
      </c>
      <c r="E775" t="s">
        <v>56</v>
      </c>
      <c r="F775">
        <v>35</v>
      </c>
      <c r="G775" t="s">
        <v>56</v>
      </c>
      <c r="H775" t="s">
        <v>56</v>
      </c>
      <c r="I775" t="s">
        <v>29</v>
      </c>
      <c r="J775" t="s">
        <v>12</v>
      </c>
      <c r="K775" t="s">
        <v>56</v>
      </c>
      <c r="L775" t="s">
        <v>61</v>
      </c>
      <c r="M775">
        <v>45.67</v>
      </c>
      <c r="N775">
        <v>1598.03</v>
      </c>
      <c r="O775" t="s">
        <v>69</v>
      </c>
      <c r="P775" t="s">
        <v>56</v>
      </c>
    </row>
    <row r="776" spans="1:16" x14ac:dyDescent="0.35">
      <c r="A776" t="s">
        <v>840</v>
      </c>
      <c r="B776">
        <v>62</v>
      </c>
      <c r="C776" t="s">
        <v>56</v>
      </c>
      <c r="D776" t="s">
        <v>55</v>
      </c>
      <c r="E776" t="s">
        <v>55</v>
      </c>
      <c r="F776">
        <v>27</v>
      </c>
      <c r="G776" t="s">
        <v>56</v>
      </c>
      <c r="H776" t="s">
        <v>55</v>
      </c>
      <c r="I776" t="s">
        <v>29</v>
      </c>
      <c r="J776" t="s">
        <v>12</v>
      </c>
      <c r="K776" t="s">
        <v>56</v>
      </c>
      <c r="L776" t="s">
        <v>25</v>
      </c>
      <c r="M776">
        <v>75.09</v>
      </c>
      <c r="N776">
        <v>2070.9299999999998</v>
      </c>
      <c r="O776" t="s">
        <v>64</v>
      </c>
      <c r="P776" t="s">
        <v>55</v>
      </c>
    </row>
    <row r="777" spans="1:16" x14ac:dyDescent="0.35">
      <c r="A777" t="s">
        <v>841</v>
      </c>
      <c r="B777">
        <v>74</v>
      </c>
      <c r="C777" t="s">
        <v>56</v>
      </c>
      <c r="D777" t="s">
        <v>56</v>
      </c>
      <c r="E777" t="s">
        <v>55</v>
      </c>
      <c r="F777">
        <v>45</v>
      </c>
      <c r="G777" t="s">
        <v>55</v>
      </c>
      <c r="H777" t="s">
        <v>60</v>
      </c>
      <c r="I777" t="s">
        <v>55</v>
      </c>
      <c r="J777" t="s">
        <v>13</v>
      </c>
      <c r="K777" t="s">
        <v>55</v>
      </c>
      <c r="L777" t="s">
        <v>26</v>
      </c>
      <c r="M777">
        <v>18.489999999999998</v>
      </c>
      <c r="N777">
        <v>834.05</v>
      </c>
      <c r="O777" t="s">
        <v>58</v>
      </c>
      <c r="P777" t="s">
        <v>55</v>
      </c>
    </row>
    <row r="778" spans="1:16" x14ac:dyDescent="0.35">
      <c r="A778" t="s">
        <v>842</v>
      </c>
      <c r="B778">
        <v>25</v>
      </c>
      <c r="C778" t="s">
        <v>55</v>
      </c>
      <c r="D778" t="s">
        <v>55</v>
      </c>
      <c r="E778" t="s">
        <v>55</v>
      </c>
      <c r="F778">
        <v>45</v>
      </c>
      <c r="G778" t="s">
        <v>56</v>
      </c>
      <c r="H778" t="s">
        <v>55</v>
      </c>
      <c r="I778" t="s">
        <v>30</v>
      </c>
      <c r="J778" t="s">
        <v>13</v>
      </c>
      <c r="K778" t="s">
        <v>55</v>
      </c>
      <c r="L778" t="s">
        <v>61</v>
      </c>
      <c r="M778">
        <v>96.16</v>
      </c>
      <c r="N778">
        <v>4218.04</v>
      </c>
      <c r="O778" t="s">
        <v>62</v>
      </c>
      <c r="P778" t="s">
        <v>55</v>
      </c>
    </row>
    <row r="779" spans="1:16" x14ac:dyDescent="0.35">
      <c r="A779" t="s">
        <v>843</v>
      </c>
      <c r="B779">
        <v>37</v>
      </c>
      <c r="C779" t="s">
        <v>55</v>
      </c>
      <c r="D779" t="s">
        <v>55</v>
      </c>
      <c r="E779" t="s">
        <v>55</v>
      </c>
      <c r="F779">
        <v>9</v>
      </c>
      <c r="G779" t="s">
        <v>56</v>
      </c>
      <c r="H779" t="s">
        <v>55</v>
      </c>
      <c r="I779" t="s">
        <v>29</v>
      </c>
      <c r="J779" t="s">
        <v>12</v>
      </c>
      <c r="K779" t="s">
        <v>56</v>
      </c>
      <c r="L779" t="s">
        <v>26</v>
      </c>
      <c r="M779">
        <v>52.23</v>
      </c>
      <c r="N779">
        <v>466.14</v>
      </c>
      <c r="O779" t="s">
        <v>80</v>
      </c>
      <c r="P779" t="s">
        <v>55</v>
      </c>
    </row>
    <row r="780" spans="1:16" x14ac:dyDescent="0.35">
      <c r="A780" t="s">
        <v>844</v>
      </c>
      <c r="B780">
        <v>21</v>
      </c>
      <c r="C780" t="s">
        <v>55</v>
      </c>
      <c r="D780" t="s">
        <v>55</v>
      </c>
      <c r="E780" t="s">
        <v>56</v>
      </c>
      <c r="F780">
        <v>45</v>
      </c>
      <c r="G780" t="s">
        <v>56</v>
      </c>
      <c r="H780" t="s">
        <v>55</v>
      </c>
      <c r="I780" t="s">
        <v>55</v>
      </c>
      <c r="J780" t="s">
        <v>13</v>
      </c>
      <c r="K780" t="s">
        <v>56</v>
      </c>
      <c r="L780" t="s">
        <v>25</v>
      </c>
      <c r="M780">
        <v>20.36</v>
      </c>
      <c r="N780">
        <v>925.57</v>
      </c>
      <c r="O780" t="s">
        <v>62</v>
      </c>
      <c r="P780" t="s">
        <v>56</v>
      </c>
    </row>
    <row r="781" spans="1:16" x14ac:dyDescent="0.35">
      <c r="A781" t="s">
        <v>845</v>
      </c>
      <c r="B781">
        <v>20</v>
      </c>
      <c r="C781" t="s">
        <v>55</v>
      </c>
      <c r="D781" t="s">
        <v>55</v>
      </c>
      <c r="E781" t="s">
        <v>55</v>
      </c>
      <c r="F781">
        <v>32</v>
      </c>
      <c r="G781" t="s">
        <v>55</v>
      </c>
      <c r="H781" t="s">
        <v>60</v>
      </c>
      <c r="I781" t="s">
        <v>55</v>
      </c>
      <c r="J781" t="s">
        <v>12</v>
      </c>
      <c r="K781" t="s">
        <v>56</v>
      </c>
      <c r="L781" t="s">
        <v>25</v>
      </c>
      <c r="M781">
        <v>29.04</v>
      </c>
      <c r="N781">
        <v>940.1</v>
      </c>
      <c r="O781" t="s">
        <v>64</v>
      </c>
      <c r="P781" t="s">
        <v>56</v>
      </c>
    </row>
    <row r="782" spans="1:16" x14ac:dyDescent="0.35">
      <c r="A782" t="s">
        <v>846</v>
      </c>
      <c r="B782">
        <v>61</v>
      </c>
      <c r="C782" t="s">
        <v>56</v>
      </c>
      <c r="D782" t="s">
        <v>55</v>
      </c>
      <c r="E782" t="s">
        <v>56</v>
      </c>
      <c r="F782">
        <v>26</v>
      </c>
      <c r="G782" t="s">
        <v>55</v>
      </c>
      <c r="H782" t="s">
        <v>60</v>
      </c>
      <c r="I782" t="s">
        <v>30</v>
      </c>
      <c r="J782" t="s">
        <v>13</v>
      </c>
      <c r="K782" t="s">
        <v>55</v>
      </c>
      <c r="L782" t="s">
        <v>26</v>
      </c>
      <c r="M782">
        <v>84.87</v>
      </c>
      <c r="N782">
        <v>2319.7199999999998</v>
      </c>
      <c r="O782" t="s">
        <v>62</v>
      </c>
      <c r="P782" t="s">
        <v>55</v>
      </c>
    </row>
    <row r="783" spans="1:16" x14ac:dyDescent="0.35">
      <c r="A783" t="s">
        <v>847</v>
      </c>
      <c r="B783">
        <v>42</v>
      </c>
      <c r="C783" t="s">
        <v>55</v>
      </c>
      <c r="D783" t="s">
        <v>55</v>
      </c>
      <c r="E783" t="s">
        <v>56</v>
      </c>
      <c r="F783">
        <v>18</v>
      </c>
      <c r="G783" t="s">
        <v>55</v>
      </c>
      <c r="H783" t="s">
        <v>60</v>
      </c>
      <c r="I783" t="s">
        <v>29</v>
      </c>
      <c r="J783" t="s">
        <v>12</v>
      </c>
      <c r="K783" t="s">
        <v>55</v>
      </c>
      <c r="L783" t="s">
        <v>57</v>
      </c>
      <c r="M783">
        <v>57.11</v>
      </c>
      <c r="N783">
        <v>1018.17</v>
      </c>
      <c r="O783" t="s">
        <v>80</v>
      </c>
      <c r="P783" t="s">
        <v>55</v>
      </c>
    </row>
    <row r="784" spans="1:16" x14ac:dyDescent="0.35">
      <c r="A784" t="s">
        <v>848</v>
      </c>
      <c r="B784">
        <v>53</v>
      </c>
      <c r="C784" t="s">
        <v>55</v>
      </c>
      <c r="D784" t="s">
        <v>56</v>
      </c>
      <c r="E784" t="s">
        <v>55</v>
      </c>
      <c r="F784">
        <v>12</v>
      </c>
      <c r="G784" t="s">
        <v>55</v>
      </c>
      <c r="H784" t="s">
        <v>60</v>
      </c>
      <c r="I784" t="s">
        <v>29</v>
      </c>
      <c r="J784" t="s">
        <v>13</v>
      </c>
      <c r="K784" t="s">
        <v>55</v>
      </c>
      <c r="L784" t="s">
        <v>26</v>
      </c>
      <c r="M784">
        <v>61.73</v>
      </c>
      <c r="N784">
        <v>746.59</v>
      </c>
      <c r="O784" t="s">
        <v>66</v>
      </c>
      <c r="P784" t="s">
        <v>56</v>
      </c>
    </row>
    <row r="785" spans="1:16" x14ac:dyDescent="0.35">
      <c r="A785" t="s">
        <v>849</v>
      </c>
      <c r="B785">
        <v>72</v>
      </c>
      <c r="C785" t="s">
        <v>56</v>
      </c>
      <c r="D785" t="s">
        <v>55</v>
      </c>
      <c r="E785" t="s">
        <v>56</v>
      </c>
      <c r="F785">
        <v>52</v>
      </c>
      <c r="G785" t="s">
        <v>55</v>
      </c>
      <c r="H785" t="s">
        <v>60</v>
      </c>
      <c r="I785" t="s">
        <v>29</v>
      </c>
      <c r="J785" t="s">
        <v>14</v>
      </c>
      <c r="K785" t="s">
        <v>55</v>
      </c>
      <c r="L785" t="s">
        <v>61</v>
      </c>
      <c r="M785">
        <v>43.39</v>
      </c>
      <c r="N785">
        <v>2194.0500000000002</v>
      </c>
      <c r="O785" t="s">
        <v>80</v>
      </c>
      <c r="P785" t="s">
        <v>55</v>
      </c>
    </row>
    <row r="786" spans="1:16" x14ac:dyDescent="0.35">
      <c r="A786" t="s">
        <v>850</v>
      </c>
      <c r="B786">
        <v>39</v>
      </c>
      <c r="C786" t="s">
        <v>55</v>
      </c>
      <c r="D786" t="s">
        <v>56</v>
      </c>
      <c r="E786" t="s">
        <v>55</v>
      </c>
      <c r="F786">
        <v>62</v>
      </c>
      <c r="G786" t="s">
        <v>56</v>
      </c>
      <c r="H786" t="s">
        <v>56</v>
      </c>
      <c r="I786" t="s">
        <v>29</v>
      </c>
      <c r="J786" t="s">
        <v>13</v>
      </c>
      <c r="K786" t="s">
        <v>56</v>
      </c>
      <c r="L786" t="s">
        <v>61</v>
      </c>
      <c r="M786">
        <v>60.65</v>
      </c>
      <c r="N786">
        <v>3788.3</v>
      </c>
      <c r="O786" t="s">
        <v>62</v>
      </c>
      <c r="P786" t="s">
        <v>55</v>
      </c>
    </row>
    <row r="787" spans="1:16" x14ac:dyDescent="0.35">
      <c r="A787" t="s">
        <v>851</v>
      </c>
      <c r="B787">
        <v>32</v>
      </c>
      <c r="C787" t="s">
        <v>55</v>
      </c>
      <c r="D787" t="s">
        <v>56</v>
      </c>
      <c r="E787" t="s">
        <v>55</v>
      </c>
      <c r="F787">
        <v>40</v>
      </c>
      <c r="G787" t="s">
        <v>56</v>
      </c>
      <c r="H787" t="s">
        <v>55</v>
      </c>
      <c r="I787" t="s">
        <v>29</v>
      </c>
      <c r="J787" t="s">
        <v>13</v>
      </c>
      <c r="K787" t="s">
        <v>56</v>
      </c>
      <c r="L787" t="s">
        <v>26</v>
      </c>
      <c r="M787">
        <v>40</v>
      </c>
      <c r="N787">
        <v>1619.93</v>
      </c>
      <c r="O787" t="s">
        <v>80</v>
      </c>
      <c r="P787" t="s">
        <v>56</v>
      </c>
    </row>
    <row r="788" spans="1:16" x14ac:dyDescent="0.35">
      <c r="A788" t="s">
        <v>852</v>
      </c>
      <c r="B788">
        <v>33</v>
      </c>
      <c r="C788" t="s">
        <v>55</v>
      </c>
      <c r="D788" t="s">
        <v>56</v>
      </c>
      <c r="E788" t="s">
        <v>56</v>
      </c>
      <c r="F788">
        <v>61</v>
      </c>
      <c r="G788" t="s">
        <v>55</v>
      </c>
      <c r="H788" t="s">
        <v>60</v>
      </c>
      <c r="I788" t="s">
        <v>30</v>
      </c>
      <c r="J788" t="s">
        <v>12</v>
      </c>
      <c r="K788" t="s">
        <v>56</v>
      </c>
      <c r="L788" t="s">
        <v>26</v>
      </c>
      <c r="M788">
        <v>94.19</v>
      </c>
      <c r="N788">
        <v>5527.75</v>
      </c>
      <c r="O788" t="s">
        <v>66</v>
      </c>
      <c r="P788" t="s">
        <v>56</v>
      </c>
    </row>
    <row r="789" spans="1:16" x14ac:dyDescent="0.35">
      <c r="A789" t="s">
        <v>853</v>
      </c>
      <c r="B789">
        <v>52</v>
      </c>
      <c r="C789" t="s">
        <v>55</v>
      </c>
      <c r="D789" t="s">
        <v>55</v>
      </c>
      <c r="E789" t="s">
        <v>55</v>
      </c>
      <c r="F789">
        <v>16</v>
      </c>
      <c r="G789" t="s">
        <v>56</v>
      </c>
      <c r="H789" t="s">
        <v>56</v>
      </c>
      <c r="I789" t="s">
        <v>30</v>
      </c>
      <c r="J789" t="s">
        <v>14</v>
      </c>
      <c r="K789" t="s">
        <v>56</v>
      </c>
      <c r="L789" t="s">
        <v>26</v>
      </c>
      <c r="M789">
        <v>107.08</v>
      </c>
      <c r="N789">
        <v>1722.88</v>
      </c>
      <c r="O789" t="s">
        <v>76</v>
      </c>
      <c r="P789" t="s">
        <v>55</v>
      </c>
    </row>
    <row r="790" spans="1:16" x14ac:dyDescent="0.35">
      <c r="A790" t="s">
        <v>854</v>
      </c>
      <c r="B790">
        <v>36</v>
      </c>
      <c r="C790" t="s">
        <v>55</v>
      </c>
      <c r="D790" t="s">
        <v>56</v>
      </c>
      <c r="E790" t="s">
        <v>55</v>
      </c>
      <c r="F790">
        <v>48</v>
      </c>
      <c r="G790" t="s">
        <v>55</v>
      </c>
      <c r="H790" t="s">
        <v>60</v>
      </c>
      <c r="I790" t="s">
        <v>29</v>
      </c>
      <c r="J790" t="s">
        <v>12</v>
      </c>
      <c r="K790" t="s">
        <v>56</v>
      </c>
      <c r="L790" t="s">
        <v>57</v>
      </c>
      <c r="M790">
        <v>72.540000000000006</v>
      </c>
      <c r="N790">
        <v>3334.91</v>
      </c>
      <c r="O790" t="s">
        <v>80</v>
      </c>
      <c r="P790" t="s">
        <v>56</v>
      </c>
    </row>
    <row r="791" spans="1:16" x14ac:dyDescent="0.35">
      <c r="A791" t="s">
        <v>855</v>
      </c>
      <c r="B791">
        <v>54</v>
      </c>
      <c r="C791" t="s">
        <v>55</v>
      </c>
      <c r="D791" t="s">
        <v>55</v>
      </c>
      <c r="E791" t="s">
        <v>56</v>
      </c>
      <c r="F791">
        <v>39</v>
      </c>
      <c r="G791" t="s">
        <v>55</v>
      </c>
      <c r="H791" t="s">
        <v>60</v>
      </c>
      <c r="I791" t="s">
        <v>30</v>
      </c>
      <c r="J791" t="s">
        <v>12</v>
      </c>
      <c r="K791" t="s">
        <v>55</v>
      </c>
      <c r="L791" t="s">
        <v>25</v>
      </c>
      <c r="M791">
        <v>93.4</v>
      </c>
      <c r="N791">
        <v>3740.1</v>
      </c>
      <c r="O791" t="s">
        <v>62</v>
      </c>
      <c r="P791" t="s">
        <v>56</v>
      </c>
    </row>
    <row r="792" spans="1:16" x14ac:dyDescent="0.35">
      <c r="A792" t="s">
        <v>856</v>
      </c>
      <c r="B792">
        <v>40</v>
      </c>
      <c r="C792" t="s">
        <v>55</v>
      </c>
      <c r="D792" t="s">
        <v>56</v>
      </c>
      <c r="E792" t="s">
        <v>55</v>
      </c>
      <c r="F792">
        <v>68</v>
      </c>
      <c r="G792" t="s">
        <v>56</v>
      </c>
      <c r="H792" t="s">
        <v>56</v>
      </c>
      <c r="I792" t="s">
        <v>30</v>
      </c>
      <c r="J792" t="s">
        <v>12</v>
      </c>
      <c r="K792" t="s">
        <v>55</v>
      </c>
      <c r="L792" t="s">
        <v>57</v>
      </c>
      <c r="M792">
        <v>112.93</v>
      </c>
      <c r="N792">
        <v>7347.53</v>
      </c>
      <c r="O792" t="s">
        <v>69</v>
      </c>
      <c r="P792" t="s">
        <v>55</v>
      </c>
    </row>
    <row r="793" spans="1:16" x14ac:dyDescent="0.35">
      <c r="A793" t="s">
        <v>857</v>
      </c>
      <c r="B793">
        <v>37</v>
      </c>
      <c r="C793" t="s">
        <v>55</v>
      </c>
      <c r="D793" t="s">
        <v>55</v>
      </c>
      <c r="E793" t="s">
        <v>56</v>
      </c>
      <c r="F793">
        <v>62</v>
      </c>
      <c r="G793" t="s">
        <v>55</v>
      </c>
      <c r="H793" t="s">
        <v>60</v>
      </c>
      <c r="I793" t="s">
        <v>30</v>
      </c>
      <c r="J793" t="s">
        <v>13</v>
      </c>
      <c r="K793" t="s">
        <v>56</v>
      </c>
      <c r="L793" t="s">
        <v>57</v>
      </c>
      <c r="M793">
        <v>116.37</v>
      </c>
      <c r="N793">
        <v>7453.38</v>
      </c>
      <c r="O793" t="s">
        <v>62</v>
      </c>
      <c r="P793" t="s">
        <v>55</v>
      </c>
    </row>
    <row r="794" spans="1:16" x14ac:dyDescent="0.35">
      <c r="A794" t="s">
        <v>858</v>
      </c>
      <c r="B794">
        <v>62</v>
      </c>
      <c r="C794" t="s">
        <v>56</v>
      </c>
      <c r="D794" t="s">
        <v>55</v>
      </c>
      <c r="E794" t="s">
        <v>55</v>
      </c>
      <c r="F794">
        <v>52</v>
      </c>
      <c r="G794" t="s">
        <v>56</v>
      </c>
      <c r="H794" t="s">
        <v>55</v>
      </c>
      <c r="I794" t="s">
        <v>30</v>
      </c>
      <c r="J794" t="s">
        <v>12</v>
      </c>
      <c r="K794" t="s">
        <v>56</v>
      </c>
      <c r="L794" t="s">
        <v>61</v>
      </c>
      <c r="M794">
        <v>94.97</v>
      </c>
      <c r="N794">
        <v>5044.71</v>
      </c>
      <c r="O794" t="s">
        <v>62</v>
      </c>
      <c r="P794" t="s">
        <v>56</v>
      </c>
    </row>
    <row r="795" spans="1:16" x14ac:dyDescent="0.35">
      <c r="A795" t="s">
        <v>859</v>
      </c>
      <c r="B795">
        <v>67</v>
      </c>
      <c r="C795" t="s">
        <v>56</v>
      </c>
      <c r="D795" t="s">
        <v>56</v>
      </c>
      <c r="E795" t="s">
        <v>56</v>
      </c>
      <c r="F795">
        <v>23</v>
      </c>
      <c r="G795" t="s">
        <v>55</v>
      </c>
      <c r="H795" t="s">
        <v>60</v>
      </c>
      <c r="I795" t="s">
        <v>29</v>
      </c>
      <c r="J795" t="s">
        <v>13</v>
      </c>
      <c r="K795" t="s">
        <v>55</v>
      </c>
      <c r="L795" t="s">
        <v>25</v>
      </c>
      <c r="M795">
        <v>42.48</v>
      </c>
      <c r="N795">
        <v>947.79</v>
      </c>
      <c r="O795" t="s">
        <v>69</v>
      </c>
      <c r="P795" t="s">
        <v>56</v>
      </c>
    </row>
    <row r="796" spans="1:16" x14ac:dyDescent="0.35">
      <c r="A796" t="s">
        <v>860</v>
      </c>
      <c r="B796">
        <v>22</v>
      </c>
      <c r="C796" t="s">
        <v>55</v>
      </c>
      <c r="D796" t="s">
        <v>55</v>
      </c>
      <c r="E796" t="s">
        <v>55</v>
      </c>
      <c r="F796">
        <v>4</v>
      </c>
      <c r="G796" t="s">
        <v>55</v>
      </c>
      <c r="H796" t="s">
        <v>60</v>
      </c>
      <c r="I796" t="s">
        <v>55</v>
      </c>
      <c r="J796" t="s">
        <v>12</v>
      </c>
      <c r="K796" t="s">
        <v>55</v>
      </c>
      <c r="L796" t="s">
        <v>57</v>
      </c>
      <c r="M796">
        <v>29.87</v>
      </c>
      <c r="N796">
        <v>120.54</v>
      </c>
      <c r="O796" t="s">
        <v>76</v>
      </c>
      <c r="P796" t="s">
        <v>56</v>
      </c>
    </row>
    <row r="797" spans="1:16" x14ac:dyDescent="0.35">
      <c r="A797" t="s">
        <v>861</v>
      </c>
      <c r="B797">
        <v>49</v>
      </c>
      <c r="C797" t="s">
        <v>55</v>
      </c>
      <c r="D797" t="s">
        <v>55</v>
      </c>
      <c r="E797" t="s">
        <v>55</v>
      </c>
      <c r="F797">
        <v>29</v>
      </c>
      <c r="G797" t="s">
        <v>56</v>
      </c>
      <c r="H797" t="s">
        <v>55</v>
      </c>
      <c r="I797" t="s">
        <v>30</v>
      </c>
      <c r="J797" t="s">
        <v>12</v>
      </c>
      <c r="K797" t="s">
        <v>56</v>
      </c>
      <c r="L797" t="s">
        <v>26</v>
      </c>
      <c r="M797">
        <v>71.209999999999994</v>
      </c>
      <c r="N797">
        <v>2179.04</v>
      </c>
      <c r="O797" t="s">
        <v>80</v>
      </c>
      <c r="P797" t="s">
        <v>56</v>
      </c>
    </row>
    <row r="798" spans="1:16" x14ac:dyDescent="0.35">
      <c r="A798" t="s">
        <v>862</v>
      </c>
      <c r="B798">
        <v>69</v>
      </c>
      <c r="C798" t="s">
        <v>56</v>
      </c>
      <c r="D798" t="s">
        <v>56</v>
      </c>
      <c r="E798" t="s">
        <v>56</v>
      </c>
      <c r="F798">
        <v>47</v>
      </c>
      <c r="G798" t="s">
        <v>56</v>
      </c>
      <c r="H798" t="s">
        <v>56</v>
      </c>
      <c r="I798" t="s">
        <v>29</v>
      </c>
      <c r="J798" t="s">
        <v>13</v>
      </c>
      <c r="K798" t="s">
        <v>55</v>
      </c>
      <c r="L798" t="s">
        <v>26</v>
      </c>
      <c r="M798">
        <v>48.3</v>
      </c>
      <c r="N798">
        <v>2359.34</v>
      </c>
      <c r="O798" t="s">
        <v>76</v>
      </c>
      <c r="P798" t="s">
        <v>55</v>
      </c>
    </row>
    <row r="799" spans="1:16" x14ac:dyDescent="0.35">
      <c r="A799" t="s">
        <v>863</v>
      </c>
      <c r="B799">
        <v>57</v>
      </c>
      <c r="C799" t="s">
        <v>55</v>
      </c>
      <c r="D799" t="s">
        <v>56</v>
      </c>
      <c r="E799" t="s">
        <v>56</v>
      </c>
      <c r="F799">
        <v>57</v>
      </c>
      <c r="G799" t="s">
        <v>55</v>
      </c>
      <c r="H799" t="s">
        <v>60</v>
      </c>
      <c r="I799" t="s">
        <v>30</v>
      </c>
      <c r="J799" t="s">
        <v>14</v>
      </c>
      <c r="K799" t="s">
        <v>56</v>
      </c>
      <c r="L799" t="s">
        <v>26</v>
      </c>
      <c r="M799">
        <v>95.86</v>
      </c>
      <c r="N799">
        <v>5202.3500000000004</v>
      </c>
      <c r="O799" t="s">
        <v>80</v>
      </c>
      <c r="P799" t="s">
        <v>55</v>
      </c>
    </row>
    <row r="800" spans="1:16" x14ac:dyDescent="0.35">
      <c r="A800" t="s">
        <v>864</v>
      </c>
      <c r="B800">
        <v>56</v>
      </c>
      <c r="C800" t="s">
        <v>55</v>
      </c>
      <c r="D800" t="s">
        <v>55</v>
      </c>
      <c r="E800" t="s">
        <v>56</v>
      </c>
      <c r="F800">
        <v>29</v>
      </c>
      <c r="G800" t="s">
        <v>55</v>
      </c>
      <c r="H800" t="s">
        <v>60</v>
      </c>
      <c r="I800" t="s">
        <v>55</v>
      </c>
      <c r="J800" t="s">
        <v>14</v>
      </c>
      <c r="K800" t="s">
        <v>55</v>
      </c>
      <c r="L800" t="s">
        <v>57</v>
      </c>
      <c r="M800">
        <v>22.29</v>
      </c>
      <c r="N800">
        <v>675.3</v>
      </c>
      <c r="O800" t="s">
        <v>76</v>
      </c>
      <c r="P800" t="s">
        <v>55</v>
      </c>
    </row>
    <row r="801" spans="1:16" x14ac:dyDescent="0.35">
      <c r="A801" t="s">
        <v>865</v>
      </c>
      <c r="B801">
        <v>22</v>
      </c>
      <c r="C801" t="s">
        <v>55</v>
      </c>
      <c r="D801" t="s">
        <v>56</v>
      </c>
      <c r="E801" t="s">
        <v>55</v>
      </c>
      <c r="F801">
        <v>52</v>
      </c>
      <c r="G801" t="s">
        <v>56</v>
      </c>
      <c r="H801" t="s">
        <v>55</v>
      </c>
      <c r="I801" t="s">
        <v>29</v>
      </c>
      <c r="J801" t="s">
        <v>14</v>
      </c>
      <c r="K801" t="s">
        <v>55</v>
      </c>
      <c r="L801" t="s">
        <v>61</v>
      </c>
      <c r="M801">
        <v>41.29</v>
      </c>
      <c r="N801">
        <v>2126.83</v>
      </c>
      <c r="O801" t="s">
        <v>66</v>
      </c>
      <c r="P801" t="s">
        <v>55</v>
      </c>
    </row>
    <row r="802" spans="1:16" x14ac:dyDescent="0.35">
      <c r="A802" t="s">
        <v>866</v>
      </c>
      <c r="B802">
        <v>21</v>
      </c>
      <c r="C802" t="s">
        <v>55</v>
      </c>
      <c r="D802" t="s">
        <v>56</v>
      </c>
      <c r="E802" t="s">
        <v>56</v>
      </c>
      <c r="F802">
        <v>71</v>
      </c>
      <c r="G802" t="s">
        <v>55</v>
      </c>
      <c r="H802" t="s">
        <v>60</v>
      </c>
      <c r="I802" t="s">
        <v>55</v>
      </c>
      <c r="J802" t="s">
        <v>14</v>
      </c>
      <c r="K802" t="s">
        <v>56</v>
      </c>
      <c r="L802" t="s">
        <v>26</v>
      </c>
      <c r="M802">
        <v>18.87</v>
      </c>
      <c r="N802">
        <v>1411.8</v>
      </c>
      <c r="O802" t="s">
        <v>69</v>
      </c>
      <c r="P802" t="s">
        <v>55</v>
      </c>
    </row>
    <row r="803" spans="1:16" x14ac:dyDescent="0.35">
      <c r="A803" t="s">
        <v>867</v>
      </c>
      <c r="B803">
        <v>71</v>
      </c>
      <c r="C803" t="s">
        <v>56</v>
      </c>
      <c r="D803" t="s">
        <v>56</v>
      </c>
      <c r="E803" t="s">
        <v>55</v>
      </c>
      <c r="F803">
        <v>10</v>
      </c>
      <c r="G803" t="s">
        <v>56</v>
      </c>
      <c r="H803" t="s">
        <v>55</v>
      </c>
      <c r="I803" t="s">
        <v>55</v>
      </c>
      <c r="J803" t="s">
        <v>12</v>
      </c>
      <c r="K803" t="s">
        <v>56</v>
      </c>
      <c r="L803" t="s">
        <v>26</v>
      </c>
      <c r="M803">
        <v>18.5</v>
      </c>
      <c r="N803">
        <v>174.69</v>
      </c>
      <c r="O803" t="s">
        <v>69</v>
      </c>
      <c r="P803" t="s">
        <v>56</v>
      </c>
    </row>
    <row r="804" spans="1:16" x14ac:dyDescent="0.35">
      <c r="A804" t="s">
        <v>868</v>
      </c>
      <c r="B804">
        <v>40</v>
      </c>
      <c r="C804" t="s">
        <v>55</v>
      </c>
      <c r="D804" t="s">
        <v>55</v>
      </c>
      <c r="E804" t="s">
        <v>55</v>
      </c>
      <c r="F804">
        <v>39</v>
      </c>
      <c r="G804" t="s">
        <v>56</v>
      </c>
      <c r="H804" t="s">
        <v>56</v>
      </c>
      <c r="I804" t="s">
        <v>29</v>
      </c>
      <c r="J804" t="s">
        <v>12</v>
      </c>
      <c r="K804" t="s">
        <v>56</v>
      </c>
      <c r="L804" t="s">
        <v>57</v>
      </c>
      <c r="M804">
        <v>74.41</v>
      </c>
      <c r="N804">
        <v>2965.35</v>
      </c>
      <c r="O804" t="s">
        <v>58</v>
      </c>
      <c r="P804" t="s">
        <v>55</v>
      </c>
    </row>
    <row r="805" spans="1:16" x14ac:dyDescent="0.35">
      <c r="A805" t="s">
        <v>869</v>
      </c>
      <c r="B805">
        <v>48</v>
      </c>
      <c r="C805" t="s">
        <v>55</v>
      </c>
      <c r="D805" t="s">
        <v>56</v>
      </c>
      <c r="E805" t="s">
        <v>55</v>
      </c>
      <c r="F805">
        <v>49</v>
      </c>
      <c r="G805" t="s">
        <v>55</v>
      </c>
      <c r="H805" t="s">
        <v>60</v>
      </c>
      <c r="I805" t="s">
        <v>29</v>
      </c>
      <c r="J805" t="s">
        <v>13</v>
      </c>
      <c r="K805" t="s">
        <v>56</v>
      </c>
      <c r="L805" t="s">
        <v>26</v>
      </c>
      <c r="M805">
        <v>44.72</v>
      </c>
      <c r="N805">
        <v>2221.69</v>
      </c>
      <c r="O805" t="s">
        <v>76</v>
      </c>
      <c r="P805" t="s">
        <v>55</v>
      </c>
    </row>
    <row r="806" spans="1:16" x14ac:dyDescent="0.35">
      <c r="A806" t="s">
        <v>870</v>
      </c>
      <c r="B806">
        <v>30</v>
      </c>
      <c r="C806" t="s">
        <v>55</v>
      </c>
      <c r="D806" t="s">
        <v>55</v>
      </c>
      <c r="E806" t="s">
        <v>55</v>
      </c>
      <c r="F806">
        <v>8</v>
      </c>
      <c r="G806" t="s">
        <v>56</v>
      </c>
      <c r="H806" t="s">
        <v>55</v>
      </c>
      <c r="I806" t="s">
        <v>30</v>
      </c>
      <c r="J806" t="s">
        <v>12</v>
      </c>
      <c r="K806" t="s">
        <v>56</v>
      </c>
      <c r="L806" t="s">
        <v>25</v>
      </c>
      <c r="M806">
        <v>70.739999999999995</v>
      </c>
      <c r="N806">
        <v>580.85</v>
      </c>
      <c r="O806" t="s">
        <v>80</v>
      </c>
      <c r="P806" t="s">
        <v>55</v>
      </c>
    </row>
    <row r="807" spans="1:16" x14ac:dyDescent="0.35">
      <c r="A807" t="s">
        <v>871</v>
      </c>
      <c r="B807">
        <v>21</v>
      </c>
      <c r="C807" t="s">
        <v>55</v>
      </c>
      <c r="D807" t="s">
        <v>56</v>
      </c>
      <c r="E807" t="s">
        <v>55</v>
      </c>
      <c r="F807">
        <v>24</v>
      </c>
      <c r="G807" t="s">
        <v>55</v>
      </c>
      <c r="H807" t="s">
        <v>60</v>
      </c>
      <c r="I807" t="s">
        <v>30</v>
      </c>
      <c r="J807" t="s">
        <v>12</v>
      </c>
      <c r="K807" t="s">
        <v>56</v>
      </c>
      <c r="L807" t="s">
        <v>25</v>
      </c>
      <c r="M807">
        <v>76.489999999999995</v>
      </c>
      <c r="N807">
        <v>1813.25</v>
      </c>
      <c r="O807" t="s">
        <v>69</v>
      </c>
      <c r="P807" t="s">
        <v>55</v>
      </c>
    </row>
    <row r="808" spans="1:16" x14ac:dyDescent="0.35">
      <c r="A808" t="s">
        <v>872</v>
      </c>
      <c r="B808">
        <v>22</v>
      </c>
      <c r="C808" t="s">
        <v>55</v>
      </c>
      <c r="D808" t="s">
        <v>56</v>
      </c>
      <c r="E808" t="s">
        <v>55</v>
      </c>
      <c r="F808">
        <v>70</v>
      </c>
      <c r="G808" t="s">
        <v>55</v>
      </c>
      <c r="H808" t="s">
        <v>60</v>
      </c>
      <c r="I808" t="s">
        <v>30</v>
      </c>
      <c r="J808" t="s">
        <v>14</v>
      </c>
      <c r="K808" t="s">
        <v>56</v>
      </c>
      <c r="L808" t="s">
        <v>57</v>
      </c>
      <c r="M808">
        <v>85.14</v>
      </c>
      <c r="N808">
        <v>5864.63</v>
      </c>
      <c r="O808" t="s">
        <v>66</v>
      </c>
      <c r="P808" t="s">
        <v>55</v>
      </c>
    </row>
    <row r="809" spans="1:16" x14ac:dyDescent="0.35">
      <c r="A809" t="s">
        <v>873</v>
      </c>
      <c r="B809">
        <v>59</v>
      </c>
      <c r="C809" t="s">
        <v>55</v>
      </c>
      <c r="D809" t="s">
        <v>56</v>
      </c>
      <c r="E809" t="s">
        <v>55</v>
      </c>
      <c r="F809">
        <v>41</v>
      </c>
      <c r="G809" t="s">
        <v>56</v>
      </c>
      <c r="H809" t="s">
        <v>56</v>
      </c>
      <c r="I809" t="s">
        <v>29</v>
      </c>
      <c r="J809" t="s">
        <v>14</v>
      </c>
      <c r="K809" t="s">
        <v>55</v>
      </c>
      <c r="L809" t="s">
        <v>26</v>
      </c>
      <c r="M809">
        <v>48.14</v>
      </c>
      <c r="N809">
        <v>1887.8</v>
      </c>
      <c r="O809" t="s">
        <v>62</v>
      </c>
      <c r="P809" t="s">
        <v>55</v>
      </c>
    </row>
    <row r="810" spans="1:16" x14ac:dyDescent="0.35">
      <c r="A810" t="s">
        <v>874</v>
      </c>
      <c r="B810">
        <v>37</v>
      </c>
      <c r="C810" t="s">
        <v>55</v>
      </c>
      <c r="D810" t="s">
        <v>56</v>
      </c>
      <c r="E810" t="s">
        <v>56</v>
      </c>
      <c r="F810">
        <v>48</v>
      </c>
      <c r="G810" t="s">
        <v>56</v>
      </c>
      <c r="H810" t="s">
        <v>56</v>
      </c>
      <c r="I810" t="s">
        <v>29</v>
      </c>
      <c r="J810" t="s">
        <v>12</v>
      </c>
      <c r="K810" t="s">
        <v>55</v>
      </c>
      <c r="L810" t="s">
        <v>61</v>
      </c>
      <c r="M810">
        <v>58.15</v>
      </c>
      <c r="N810">
        <v>2661.99</v>
      </c>
      <c r="O810" t="s">
        <v>80</v>
      </c>
      <c r="P810" t="s">
        <v>55</v>
      </c>
    </row>
    <row r="811" spans="1:16" x14ac:dyDescent="0.35">
      <c r="A811" t="s">
        <v>875</v>
      </c>
      <c r="B811">
        <v>35</v>
      </c>
      <c r="C811" t="s">
        <v>55</v>
      </c>
      <c r="D811" t="s">
        <v>55</v>
      </c>
      <c r="E811" t="s">
        <v>55</v>
      </c>
      <c r="F811">
        <v>39</v>
      </c>
      <c r="G811" t="s">
        <v>56</v>
      </c>
      <c r="H811" t="s">
        <v>56</v>
      </c>
      <c r="I811" t="s">
        <v>55</v>
      </c>
      <c r="J811" t="s">
        <v>14</v>
      </c>
      <c r="K811" t="s">
        <v>55</v>
      </c>
      <c r="L811" t="s">
        <v>57</v>
      </c>
      <c r="M811">
        <v>28.35</v>
      </c>
      <c r="N811">
        <v>1090.3499999999999</v>
      </c>
      <c r="O811" t="s">
        <v>62</v>
      </c>
      <c r="P811" t="s">
        <v>56</v>
      </c>
    </row>
    <row r="812" spans="1:16" x14ac:dyDescent="0.35">
      <c r="A812" t="s">
        <v>876</v>
      </c>
      <c r="B812">
        <v>42</v>
      </c>
      <c r="C812" t="s">
        <v>55</v>
      </c>
      <c r="D812" t="s">
        <v>56</v>
      </c>
      <c r="E812" t="s">
        <v>55</v>
      </c>
      <c r="F812">
        <v>69</v>
      </c>
      <c r="G812" t="s">
        <v>55</v>
      </c>
      <c r="H812" t="s">
        <v>60</v>
      </c>
      <c r="I812" t="s">
        <v>30</v>
      </c>
      <c r="J812" t="s">
        <v>12</v>
      </c>
      <c r="K812" t="s">
        <v>55</v>
      </c>
      <c r="L812" t="s">
        <v>25</v>
      </c>
      <c r="M812">
        <v>115.5</v>
      </c>
      <c r="N812">
        <v>8212.8700000000008</v>
      </c>
      <c r="O812" t="s">
        <v>66</v>
      </c>
      <c r="P812" t="s">
        <v>56</v>
      </c>
    </row>
    <row r="813" spans="1:16" x14ac:dyDescent="0.35">
      <c r="A813" t="s">
        <v>877</v>
      </c>
      <c r="B813">
        <v>34</v>
      </c>
      <c r="C813" t="s">
        <v>55</v>
      </c>
      <c r="D813" t="s">
        <v>56</v>
      </c>
      <c r="E813" t="s">
        <v>56</v>
      </c>
      <c r="F813">
        <v>44</v>
      </c>
      <c r="G813" t="s">
        <v>55</v>
      </c>
      <c r="H813" t="s">
        <v>60</v>
      </c>
      <c r="I813" t="s">
        <v>29</v>
      </c>
      <c r="J813" t="s">
        <v>14</v>
      </c>
      <c r="K813" t="s">
        <v>56</v>
      </c>
      <c r="L813" t="s">
        <v>61</v>
      </c>
      <c r="M813">
        <v>62.13</v>
      </c>
      <c r="N813">
        <v>2882.15</v>
      </c>
      <c r="O813" t="s">
        <v>76</v>
      </c>
      <c r="P813" t="s">
        <v>55</v>
      </c>
    </row>
    <row r="814" spans="1:16" x14ac:dyDescent="0.35">
      <c r="A814" t="s">
        <v>878</v>
      </c>
      <c r="B814">
        <v>72</v>
      </c>
      <c r="C814" t="s">
        <v>56</v>
      </c>
      <c r="D814" t="s">
        <v>55</v>
      </c>
      <c r="E814" t="s">
        <v>55</v>
      </c>
      <c r="F814">
        <v>67</v>
      </c>
      <c r="G814" t="s">
        <v>55</v>
      </c>
      <c r="H814" t="s">
        <v>60</v>
      </c>
      <c r="I814" t="s">
        <v>30</v>
      </c>
      <c r="J814" t="s">
        <v>12</v>
      </c>
      <c r="K814" t="s">
        <v>56</v>
      </c>
      <c r="L814" t="s">
        <v>26</v>
      </c>
      <c r="M814">
        <v>70.760000000000005</v>
      </c>
      <c r="N814">
        <v>4911.3599999999997</v>
      </c>
      <c r="O814" t="s">
        <v>80</v>
      </c>
      <c r="P814" t="s">
        <v>55</v>
      </c>
    </row>
    <row r="815" spans="1:16" x14ac:dyDescent="0.35">
      <c r="A815" t="s">
        <v>879</v>
      </c>
      <c r="B815">
        <v>33</v>
      </c>
      <c r="C815" t="s">
        <v>55</v>
      </c>
      <c r="D815" t="s">
        <v>55</v>
      </c>
      <c r="E815" t="s">
        <v>55</v>
      </c>
      <c r="F815">
        <v>51</v>
      </c>
      <c r="G815" t="s">
        <v>55</v>
      </c>
      <c r="H815" t="s">
        <v>60</v>
      </c>
      <c r="I815" t="s">
        <v>30</v>
      </c>
      <c r="J815" t="s">
        <v>12</v>
      </c>
      <c r="K815" t="s">
        <v>55</v>
      </c>
      <c r="L815" t="s">
        <v>61</v>
      </c>
      <c r="M815">
        <v>110.51</v>
      </c>
      <c r="N815">
        <v>5709.05</v>
      </c>
      <c r="O815" t="s">
        <v>58</v>
      </c>
      <c r="P815" t="s">
        <v>56</v>
      </c>
    </row>
    <row r="816" spans="1:16" x14ac:dyDescent="0.35">
      <c r="A816" t="s">
        <v>880</v>
      </c>
      <c r="B816">
        <v>60</v>
      </c>
      <c r="C816" t="s">
        <v>56</v>
      </c>
      <c r="D816" t="s">
        <v>55</v>
      </c>
      <c r="E816" t="s">
        <v>55</v>
      </c>
      <c r="F816">
        <v>23</v>
      </c>
      <c r="G816" t="s">
        <v>56</v>
      </c>
      <c r="H816" t="s">
        <v>55</v>
      </c>
      <c r="I816" t="s">
        <v>30</v>
      </c>
      <c r="J816" t="s">
        <v>12</v>
      </c>
      <c r="K816" t="s">
        <v>55</v>
      </c>
      <c r="L816" t="s">
        <v>57</v>
      </c>
      <c r="M816">
        <v>112.22</v>
      </c>
      <c r="N816">
        <v>2493.67</v>
      </c>
      <c r="O816" t="s">
        <v>80</v>
      </c>
      <c r="P816" t="s">
        <v>56</v>
      </c>
    </row>
    <row r="817" spans="1:16" x14ac:dyDescent="0.35">
      <c r="A817" t="s">
        <v>881</v>
      </c>
      <c r="B817">
        <v>35</v>
      </c>
      <c r="C817" t="s">
        <v>55</v>
      </c>
      <c r="D817" t="s">
        <v>55</v>
      </c>
      <c r="E817" t="s">
        <v>56</v>
      </c>
      <c r="F817">
        <v>57</v>
      </c>
      <c r="G817" t="s">
        <v>55</v>
      </c>
      <c r="H817" t="s">
        <v>60</v>
      </c>
      <c r="I817" t="s">
        <v>30</v>
      </c>
      <c r="J817" t="s">
        <v>12</v>
      </c>
      <c r="K817" t="s">
        <v>55</v>
      </c>
      <c r="L817" t="s">
        <v>26</v>
      </c>
      <c r="M817">
        <v>101.52</v>
      </c>
      <c r="N817">
        <v>5541.45</v>
      </c>
      <c r="O817" t="s">
        <v>80</v>
      </c>
      <c r="P817" t="s">
        <v>55</v>
      </c>
    </row>
    <row r="818" spans="1:16" x14ac:dyDescent="0.35">
      <c r="A818" t="s">
        <v>882</v>
      </c>
      <c r="B818">
        <v>32</v>
      </c>
      <c r="C818" t="s">
        <v>55</v>
      </c>
      <c r="D818" t="s">
        <v>56</v>
      </c>
      <c r="E818" t="s">
        <v>56</v>
      </c>
      <c r="F818">
        <v>24</v>
      </c>
      <c r="G818" t="s">
        <v>55</v>
      </c>
      <c r="H818" t="s">
        <v>60</v>
      </c>
      <c r="I818" t="s">
        <v>29</v>
      </c>
      <c r="J818" t="s">
        <v>13</v>
      </c>
      <c r="K818" t="s">
        <v>56</v>
      </c>
      <c r="L818" t="s">
        <v>57</v>
      </c>
      <c r="M818">
        <v>49.12</v>
      </c>
      <c r="N818">
        <v>1242.78</v>
      </c>
      <c r="O818" t="s">
        <v>76</v>
      </c>
      <c r="P818" t="s">
        <v>55</v>
      </c>
    </row>
    <row r="819" spans="1:16" x14ac:dyDescent="0.35">
      <c r="A819" t="s">
        <v>883</v>
      </c>
      <c r="B819">
        <v>19</v>
      </c>
      <c r="C819" t="s">
        <v>55</v>
      </c>
      <c r="D819" t="s">
        <v>55</v>
      </c>
      <c r="E819" t="s">
        <v>56</v>
      </c>
      <c r="F819">
        <v>31</v>
      </c>
      <c r="G819" t="s">
        <v>56</v>
      </c>
      <c r="H819" t="s">
        <v>55</v>
      </c>
      <c r="I819" t="s">
        <v>30</v>
      </c>
      <c r="J819" t="s">
        <v>12</v>
      </c>
      <c r="K819" t="s">
        <v>56</v>
      </c>
      <c r="L819" t="s">
        <v>26</v>
      </c>
      <c r="M819">
        <v>86.29</v>
      </c>
      <c r="N819">
        <v>2633.7</v>
      </c>
      <c r="O819" t="s">
        <v>64</v>
      </c>
      <c r="P819" t="s">
        <v>55</v>
      </c>
    </row>
    <row r="820" spans="1:16" x14ac:dyDescent="0.35">
      <c r="A820" t="s">
        <v>884</v>
      </c>
      <c r="B820">
        <v>22</v>
      </c>
      <c r="C820" t="s">
        <v>55</v>
      </c>
      <c r="D820" t="s">
        <v>55</v>
      </c>
      <c r="E820" t="s">
        <v>55</v>
      </c>
      <c r="F820">
        <v>19</v>
      </c>
      <c r="G820" t="s">
        <v>55</v>
      </c>
      <c r="H820" t="s">
        <v>60</v>
      </c>
      <c r="I820" t="s">
        <v>30</v>
      </c>
      <c r="J820" t="s">
        <v>12</v>
      </c>
      <c r="K820" t="s">
        <v>55</v>
      </c>
      <c r="L820" t="s">
        <v>25</v>
      </c>
      <c r="M820">
        <v>88.74</v>
      </c>
      <c r="N820">
        <v>1775.59</v>
      </c>
      <c r="O820" t="s">
        <v>80</v>
      </c>
      <c r="P820" t="s">
        <v>56</v>
      </c>
    </row>
    <row r="821" spans="1:16" x14ac:dyDescent="0.35">
      <c r="A821" t="s">
        <v>885</v>
      </c>
      <c r="B821">
        <v>28</v>
      </c>
      <c r="C821" t="s">
        <v>55</v>
      </c>
      <c r="D821" t="s">
        <v>55</v>
      </c>
      <c r="E821" t="s">
        <v>56</v>
      </c>
      <c r="F821">
        <v>38</v>
      </c>
      <c r="G821" t="s">
        <v>56</v>
      </c>
      <c r="H821" t="s">
        <v>56</v>
      </c>
      <c r="I821" t="s">
        <v>55</v>
      </c>
      <c r="J821" t="s">
        <v>12</v>
      </c>
      <c r="K821" t="s">
        <v>55</v>
      </c>
      <c r="L821" t="s">
        <v>57</v>
      </c>
      <c r="M821">
        <v>27.37</v>
      </c>
      <c r="N821">
        <v>1041.08</v>
      </c>
      <c r="O821" t="s">
        <v>76</v>
      </c>
      <c r="P821" t="s">
        <v>55</v>
      </c>
    </row>
    <row r="822" spans="1:16" x14ac:dyDescent="0.35">
      <c r="A822" t="s">
        <v>886</v>
      </c>
      <c r="B822">
        <v>31</v>
      </c>
      <c r="C822" t="s">
        <v>55</v>
      </c>
      <c r="D822" t="s">
        <v>55</v>
      </c>
      <c r="E822" t="s">
        <v>56</v>
      </c>
      <c r="F822">
        <v>20</v>
      </c>
      <c r="G822" t="s">
        <v>56</v>
      </c>
      <c r="H822" t="s">
        <v>55</v>
      </c>
      <c r="I822" t="s">
        <v>30</v>
      </c>
      <c r="J822" t="s">
        <v>14</v>
      </c>
      <c r="K822" t="s">
        <v>56</v>
      </c>
      <c r="L822" t="s">
        <v>57</v>
      </c>
      <c r="M822">
        <v>119.89</v>
      </c>
      <c r="N822">
        <v>2435.3000000000002</v>
      </c>
      <c r="O822" t="s">
        <v>58</v>
      </c>
      <c r="P822" t="s">
        <v>55</v>
      </c>
    </row>
    <row r="823" spans="1:16" x14ac:dyDescent="0.35">
      <c r="A823" t="s">
        <v>887</v>
      </c>
      <c r="B823">
        <v>64</v>
      </c>
      <c r="C823" t="s">
        <v>56</v>
      </c>
      <c r="D823" t="s">
        <v>56</v>
      </c>
      <c r="E823" t="s">
        <v>56</v>
      </c>
      <c r="F823">
        <v>61</v>
      </c>
      <c r="G823" t="s">
        <v>55</v>
      </c>
      <c r="H823" t="s">
        <v>60</v>
      </c>
      <c r="I823" t="s">
        <v>29</v>
      </c>
      <c r="J823" t="s">
        <v>12</v>
      </c>
      <c r="K823" t="s">
        <v>56</v>
      </c>
      <c r="L823" t="s">
        <v>61</v>
      </c>
      <c r="M823">
        <v>51.72</v>
      </c>
      <c r="N823">
        <v>3058.01</v>
      </c>
      <c r="O823" t="s">
        <v>66</v>
      </c>
      <c r="P823" t="s">
        <v>56</v>
      </c>
    </row>
    <row r="824" spans="1:16" x14ac:dyDescent="0.35">
      <c r="A824" t="s">
        <v>888</v>
      </c>
      <c r="B824">
        <v>41</v>
      </c>
      <c r="C824" t="s">
        <v>55</v>
      </c>
      <c r="D824" t="s">
        <v>56</v>
      </c>
      <c r="E824" t="s">
        <v>55</v>
      </c>
      <c r="F824">
        <v>41</v>
      </c>
      <c r="G824" t="s">
        <v>56</v>
      </c>
      <c r="H824" t="s">
        <v>55</v>
      </c>
      <c r="I824" t="s">
        <v>29</v>
      </c>
      <c r="J824" t="s">
        <v>12</v>
      </c>
      <c r="K824" t="s">
        <v>55</v>
      </c>
      <c r="L824" t="s">
        <v>57</v>
      </c>
      <c r="M824">
        <v>54.08</v>
      </c>
      <c r="N824">
        <v>2218.7800000000002</v>
      </c>
      <c r="O824" t="s">
        <v>69</v>
      </c>
      <c r="P824" t="s">
        <v>55</v>
      </c>
    </row>
    <row r="825" spans="1:16" x14ac:dyDescent="0.35">
      <c r="A825" t="s">
        <v>889</v>
      </c>
      <c r="B825">
        <v>48</v>
      </c>
      <c r="C825" t="s">
        <v>55</v>
      </c>
      <c r="D825" t="s">
        <v>56</v>
      </c>
      <c r="E825" t="s">
        <v>55</v>
      </c>
      <c r="F825">
        <v>54</v>
      </c>
      <c r="G825" t="s">
        <v>56</v>
      </c>
      <c r="H825" t="s">
        <v>55</v>
      </c>
      <c r="I825" t="s">
        <v>30</v>
      </c>
      <c r="J825" t="s">
        <v>12</v>
      </c>
      <c r="K825" t="s">
        <v>55</v>
      </c>
      <c r="L825" t="s">
        <v>61</v>
      </c>
      <c r="M825">
        <v>103.3</v>
      </c>
      <c r="N825">
        <v>5648.85</v>
      </c>
      <c r="O825" t="s">
        <v>76</v>
      </c>
      <c r="P825" t="s">
        <v>55</v>
      </c>
    </row>
    <row r="826" spans="1:16" x14ac:dyDescent="0.35">
      <c r="A826" t="s">
        <v>890</v>
      </c>
      <c r="B826">
        <v>38</v>
      </c>
      <c r="C826" t="s">
        <v>55</v>
      </c>
      <c r="D826" t="s">
        <v>56</v>
      </c>
      <c r="E826" t="s">
        <v>56</v>
      </c>
      <c r="F826">
        <v>53</v>
      </c>
      <c r="G826" t="s">
        <v>56</v>
      </c>
      <c r="H826" t="s">
        <v>55</v>
      </c>
      <c r="I826" t="s">
        <v>30</v>
      </c>
      <c r="J826" t="s">
        <v>13</v>
      </c>
      <c r="K826" t="s">
        <v>56</v>
      </c>
      <c r="L826" t="s">
        <v>25</v>
      </c>
      <c r="M826">
        <v>113.82</v>
      </c>
      <c r="N826">
        <v>5681.74</v>
      </c>
      <c r="O826" t="s">
        <v>76</v>
      </c>
      <c r="P826" t="s">
        <v>56</v>
      </c>
    </row>
    <row r="827" spans="1:16" x14ac:dyDescent="0.35">
      <c r="A827" t="s">
        <v>891</v>
      </c>
      <c r="B827">
        <v>66</v>
      </c>
      <c r="C827" t="s">
        <v>56</v>
      </c>
      <c r="D827" t="s">
        <v>55</v>
      </c>
      <c r="E827" t="s">
        <v>56</v>
      </c>
      <c r="F827">
        <v>17</v>
      </c>
      <c r="G827" t="s">
        <v>55</v>
      </c>
      <c r="H827" t="s">
        <v>60</v>
      </c>
      <c r="I827" t="s">
        <v>55</v>
      </c>
      <c r="J827" t="s">
        <v>12</v>
      </c>
      <c r="K827" t="s">
        <v>56</v>
      </c>
      <c r="L827" t="s">
        <v>25</v>
      </c>
      <c r="M827">
        <v>19.59</v>
      </c>
      <c r="N827">
        <v>347.69</v>
      </c>
      <c r="O827" t="s">
        <v>64</v>
      </c>
      <c r="P827" t="s">
        <v>55</v>
      </c>
    </row>
    <row r="828" spans="1:16" x14ac:dyDescent="0.35">
      <c r="A828" t="s">
        <v>892</v>
      </c>
      <c r="B828">
        <v>40</v>
      </c>
      <c r="C828" t="s">
        <v>55</v>
      </c>
      <c r="D828" t="s">
        <v>56</v>
      </c>
      <c r="E828" t="s">
        <v>55</v>
      </c>
      <c r="F828">
        <v>72</v>
      </c>
      <c r="G828" t="s">
        <v>55</v>
      </c>
      <c r="H828" t="s">
        <v>60</v>
      </c>
      <c r="I828" t="s">
        <v>30</v>
      </c>
      <c r="J828" t="s">
        <v>12</v>
      </c>
      <c r="K828" t="s">
        <v>55</v>
      </c>
      <c r="L828" t="s">
        <v>57</v>
      </c>
      <c r="M828">
        <v>100.83</v>
      </c>
      <c r="N828">
        <v>7690.24</v>
      </c>
      <c r="O828" t="s">
        <v>69</v>
      </c>
      <c r="P828" t="s">
        <v>56</v>
      </c>
    </row>
    <row r="829" spans="1:16" x14ac:dyDescent="0.35">
      <c r="A829" t="s">
        <v>893</v>
      </c>
      <c r="B829">
        <v>40</v>
      </c>
      <c r="C829" t="s">
        <v>55</v>
      </c>
      <c r="D829" t="s">
        <v>55</v>
      </c>
      <c r="E829" t="s">
        <v>55</v>
      </c>
      <c r="F829">
        <v>58</v>
      </c>
      <c r="G829" t="s">
        <v>55</v>
      </c>
      <c r="H829" t="s">
        <v>60</v>
      </c>
      <c r="I829" t="s">
        <v>29</v>
      </c>
      <c r="J829" t="s">
        <v>12</v>
      </c>
      <c r="K829" t="s">
        <v>55</v>
      </c>
      <c r="L829" t="s">
        <v>61</v>
      </c>
      <c r="M829">
        <v>69.34</v>
      </c>
      <c r="N829">
        <v>4129.68</v>
      </c>
      <c r="O829" t="s">
        <v>66</v>
      </c>
      <c r="P829" t="s">
        <v>55</v>
      </c>
    </row>
    <row r="830" spans="1:16" x14ac:dyDescent="0.35">
      <c r="A830" t="s">
        <v>894</v>
      </c>
      <c r="B830">
        <v>50</v>
      </c>
      <c r="C830" t="s">
        <v>55</v>
      </c>
      <c r="D830" t="s">
        <v>56</v>
      </c>
      <c r="E830" t="s">
        <v>56</v>
      </c>
      <c r="F830">
        <v>1</v>
      </c>
      <c r="G830" t="s">
        <v>55</v>
      </c>
      <c r="H830" t="s">
        <v>60</v>
      </c>
      <c r="I830" t="s">
        <v>29</v>
      </c>
      <c r="J830" t="s">
        <v>13</v>
      </c>
      <c r="K830" t="s">
        <v>55</v>
      </c>
      <c r="L830" t="s">
        <v>57</v>
      </c>
      <c r="M830">
        <v>57.54</v>
      </c>
      <c r="N830">
        <v>57.6</v>
      </c>
      <c r="O830" t="s">
        <v>66</v>
      </c>
      <c r="P830" t="s">
        <v>55</v>
      </c>
    </row>
    <row r="831" spans="1:16" x14ac:dyDescent="0.35">
      <c r="A831" t="s">
        <v>895</v>
      </c>
      <c r="B831">
        <v>24</v>
      </c>
      <c r="C831" t="s">
        <v>55</v>
      </c>
      <c r="D831" t="s">
        <v>56</v>
      </c>
      <c r="E831" t="s">
        <v>55</v>
      </c>
      <c r="F831">
        <v>64</v>
      </c>
      <c r="G831" t="s">
        <v>55</v>
      </c>
      <c r="H831" t="s">
        <v>60</v>
      </c>
      <c r="I831" t="s">
        <v>30</v>
      </c>
      <c r="J831" t="s">
        <v>12</v>
      </c>
      <c r="K831" t="s">
        <v>55</v>
      </c>
      <c r="L831" t="s">
        <v>26</v>
      </c>
      <c r="M831">
        <v>78.92</v>
      </c>
      <c r="N831">
        <v>4834.62</v>
      </c>
      <c r="O831" t="s">
        <v>69</v>
      </c>
      <c r="P831" t="s">
        <v>55</v>
      </c>
    </row>
    <row r="832" spans="1:16" x14ac:dyDescent="0.35">
      <c r="A832" t="s">
        <v>896</v>
      </c>
      <c r="B832">
        <v>74</v>
      </c>
      <c r="C832" t="s">
        <v>56</v>
      </c>
      <c r="D832" t="s">
        <v>56</v>
      </c>
      <c r="E832" t="s">
        <v>55</v>
      </c>
      <c r="F832">
        <v>67</v>
      </c>
      <c r="G832" t="s">
        <v>55</v>
      </c>
      <c r="H832" t="s">
        <v>60</v>
      </c>
      <c r="I832" t="s">
        <v>30</v>
      </c>
      <c r="J832" t="s">
        <v>12</v>
      </c>
      <c r="K832" t="s">
        <v>55</v>
      </c>
      <c r="L832" t="s">
        <v>26</v>
      </c>
      <c r="M832">
        <v>84.39</v>
      </c>
      <c r="N832">
        <v>5645.06</v>
      </c>
      <c r="O832" t="s">
        <v>62</v>
      </c>
      <c r="P832" t="s">
        <v>56</v>
      </c>
    </row>
    <row r="833" spans="1:16" x14ac:dyDescent="0.35">
      <c r="A833" t="s">
        <v>897</v>
      </c>
      <c r="B833">
        <v>36</v>
      </c>
      <c r="C833" t="s">
        <v>55</v>
      </c>
      <c r="D833" t="s">
        <v>55</v>
      </c>
      <c r="E833" t="s">
        <v>56</v>
      </c>
      <c r="F833">
        <v>30</v>
      </c>
      <c r="G833" t="s">
        <v>56</v>
      </c>
      <c r="H833" t="s">
        <v>56</v>
      </c>
      <c r="I833" t="s">
        <v>29</v>
      </c>
      <c r="J833" t="s">
        <v>13</v>
      </c>
      <c r="K833" t="s">
        <v>56</v>
      </c>
      <c r="L833" t="s">
        <v>26</v>
      </c>
      <c r="M833">
        <v>76.099999999999994</v>
      </c>
      <c r="N833">
        <v>2408.98</v>
      </c>
      <c r="O833" t="s">
        <v>66</v>
      </c>
      <c r="P833" t="s">
        <v>55</v>
      </c>
    </row>
    <row r="834" spans="1:16" x14ac:dyDescent="0.35">
      <c r="A834" t="s">
        <v>898</v>
      </c>
      <c r="B834">
        <v>30</v>
      </c>
      <c r="C834" t="s">
        <v>55</v>
      </c>
      <c r="D834" t="s">
        <v>56</v>
      </c>
      <c r="E834" t="s">
        <v>55</v>
      </c>
      <c r="F834">
        <v>4</v>
      </c>
      <c r="G834" t="s">
        <v>55</v>
      </c>
      <c r="H834" t="s">
        <v>60</v>
      </c>
      <c r="I834" t="s">
        <v>30</v>
      </c>
      <c r="J834" t="s">
        <v>14</v>
      </c>
      <c r="K834" t="s">
        <v>55</v>
      </c>
      <c r="L834" t="s">
        <v>61</v>
      </c>
      <c r="M834">
        <v>96.04</v>
      </c>
      <c r="N834">
        <v>399.42</v>
      </c>
      <c r="O834" t="s">
        <v>80</v>
      </c>
      <c r="P834" t="s">
        <v>56</v>
      </c>
    </row>
    <row r="835" spans="1:16" x14ac:dyDescent="0.35">
      <c r="A835" t="s">
        <v>899</v>
      </c>
      <c r="B835">
        <v>63</v>
      </c>
      <c r="C835" t="s">
        <v>56</v>
      </c>
      <c r="D835" t="s">
        <v>56</v>
      </c>
      <c r="E835" t="s">
        <v>55</v>
      </c>
      <c r="F835">
        <v>56</v>
      </c>
      <c r="G835" t="s">
        <v>56</v>
      </c>
      <c r="H835" t="s">
        <v>55</v>
      </c>
      <c r="I835" t="s">
        <v>29</v>
      </c>
      <c r="J835" t="s">
        <v>14</v>
      </c>
      <c r="K835" t="s">
        <v>56</v>
      </c>
      <c r="L835" t="s">
        <v>25</v>
      </c>
      <c r="M835">
        <v>72.150000000000006</v>
      </c>
      <c r="N835">
        <v>4158.84</v>
      </c>
      <c r="O835" t="s">
        <v>80</v>
      </c>
      <c r="P835" t="s">
        <v>55</v>
      </c>
    </row>
    <row r="836" spans="1:16" x14ac:dyDescent="0.35">
      <c r="A836" t="s">
        <v>900</v>
      </c>
      <c r="B836">
        <v>38</v>
      </c>
      <c r="C836" t="s">
        <v>55</v>
      </c>
      <c r="D836" t="s">
        <v>56</v>
      </c>
      <c r="E836" t="s">
        <v>55</v>
      </c>
      <c r="F836">
        <v>36</v>
      </c>
      <c r="G836" t="s">
        <v>56</v>
      </c>
      <c r="H836" t="s">
        <v>55</v>
      </c>
      <c r="I836" t="s">
        <v>29</v>
      </c>
      <c r="J836" t="s">
        <v>12</v>
      </c>
      <c r="K836" t="s">
        <v>56</v>
      </c>
      <c r="L836" t="s">
        <v>57</v>
      </c>
      <c r="M836">
        <v>77.290000000000006</v>
      </c>
      <c r="N836">
        <v>2880.67</v>
      </c>
      <c r="O836" t="s">
        <v>66</v>
      </c>
      <c r="P836" t="s">
        <v>55</v>
      </c>
    </row>
    <row r="837" spans="1:16" x14ac:dyDescent="0.35">
      <c r="A837" t="s">
        <v>901</v>
      </c>
      <c r="B837">
        <v>53</v>
      </c>
      <c r="C837" t="s">
        <v>55</v>
      </c>
      <c r="D837" t="s">
        <v>56</v>
      </c>
      <c r="E837" t="s">
        <v>56</v>
      </c>
      <c r="F837">
        <v>32</v>
      </c>
      <c r="G837" t="s">
        <v>55</v>
      </c>
      <c r="H837" t="s">
        <v>60</v>
      </c>
      <c r="I837" t="s">
        <v>30</v>
      </c>
      <c r="J837" t="s">
        <v>14</v>
      </c>
      <c r="K837" t="s">
        <v>56</v>
      </c>
      <c r="L837" t="s">
        <v>61</v>
      </c>
      <c r="M837">
        <v>83.26</v>
      </c>
      <c r="N837">
        <v>2552.88</v>
      </c>
      <c r="O837" t="s">
        <v>69</v>
      </c>
      <c r="P837" t="s">
        <v>55</v>
      </c>
    </row>
    <row r="838" spans="1:16" x14ac:dyDescent="0.35">
      <c r="A838" t="s">
        <v>902</v>
      </c>
      <c r="B838">
        <v>49</v>
      </c>
      <c r="C838" t="s">
        <v>55</v>
      </c>
      <c r="D838" t="s">
        <v>55</v>
      </c>
      <c r="E838" t="s">
        <v>56</v>
      </c>
      <c r="F838">
        <v>26</v>
      </c>
      <c r="G838" t="s">
        <v>56</v>
      </c>
      <c r="H838" t="s">
        <v>55</v>
      </c>
      <c r="I838" t="s">
        <v>29</v>
      </c>
      <c r="J838" t="s">
        <v>14</v>
      </c>
      <c r="K838" t="s">
        <v>56</v>
      </c>
      <c r="L838" t="s">
        <v>26</v>
      </c>
      <c r="M838">
        <v>42.69</v>
      </c>
      <c r="N838">
        <v>1117.6300000000001</v>
      </c>
      <c r="O838" t="s">
        <v>62</v>
      </c>
      <c r="P838" t="s">
        <v>55</v>
      </c>
    </row>
    <row r="839" spans="1:16" x14ac:dyDescent="0.35">
      <c r="A839" t="s">
        <v>903</v>
      </c>
      <c r="B839">
        <v>20</v>
      </c>
      <c r="C839" t="s">
        <v>55</v>
      </c>
      <c r="D839" t="s">
        <v>55</v>
      </c>
      <c r="E839" t="s">
        <v>55</v>
      </c>
      <c r="F839">
        <v>49</v>
      </c>
      <c r="G839" t="s">
        <v>56</v>
      </c>
      <c r="H839" t="s">
        <v>55</v>
      </c>
      <c r="I839" t="s">
        <v>29</v>
      </c>
      <c r="J839" t="s">
        <v>12</v>
      </c>
      <c r="K839" t="s">
        <v>56</v>
      </c>
      <c r="L839" t="s">
        <v>25</v>
      </c>
      <c r="M839">
        <v>73.63</v>
      </c>
      <c r="N839">
        <v>3770.24</v>
      </c>
      <c r="O839" t="s">
        <v>64</v>
      </c>
      <c r="P839" t="s">
        <v>55</v>
      </c>
    </row>
    <row r="840" spans="1:16" x14ac:dyDescent="0.35">
      <c r="A840" t="s">
        <v>904</v>
      </c>
      <c r="B840">
        <v>68</v>
      </c>
      <c r="C840" t="s">
        <v>56</v>
      </c>
      <c r="D840" t="s">
        <v>55</v>
      </c>
      <c r="E840" t="s">
        <v>55</v>
      </c>
      <c r="F840">
        <v>70</v>
      </c>
      <c r="G840" t="s">
        <v>56</v>
      </c>
      <c r="H840" t="s">
        <v>56</v>
      </c>
      <c r="I840" t="s">
        <v>29</v>
      </c>
      <c r="J840" t="s">
        <v>14</v>
      </c>
      <c r="K840" t="s">
        <v>55</v>
      </c>
      <c r="L840" t="s">
        <v>57</v>
      </c>
      <c r="M840">
        <v>57.89</v>
      </c>
      <c r="N840">
        <v>3929.46</v>
      </c>
      <c r="O840" t="s">
        <v>62</v>
      </c>
      <c r="P840" t="s">
        <v>55</v>
      </c>
    </row>
    <row r="841" spans="1:16" x14ac:dyDescent="0.35">
      <c r="A841" t="s">
        <v>905</v>
      </c>
      <c r="B841">
        <v>47</v>
      </c>
      <c r="C841" t="s">
        <v>55</v>
      </c>
      <c r="D841" t="s">
        <v>55</v>
      </c>
      <c r="E841" t="s">
        <v>56</v>
      </c>
      <c r="F841">
        <v>45</v>
      </c>
      <c r="G841" t="s">
        <v>56</v>
      </c>
      <c r="H841" t="s">
        <v>55</v>
      </c>
      <c r="I841" t="s">
        <v>29</v>
      </c>
      <c r="J841" t="s">
        <v>12</v>
      </c>
      <c r="K841" t="s">
        <v>55</v>
      </c>
      <c r="L841" t="s">
        <v>61</v>
      </c>
      <c r="M841">
        <v>67.489999999999995</v>
      </c>
      <c r="N841">
        <v>2865.38</v>
      </c>
      <c r="O841" t="s">
        <v>62</v>
      </c>
      <c r="P841" t="s">
        <v>56</v>
      </c>
    </row>
    <row r="842" spans="1:16" x14ac:dyDescent="0.35">
      <c r="A842" t="s">
        <v>906</v>
      </c>
      <c r="B842">
        <v>74</v>
      </c>
      <c r="C842" t="s">
        <v>56</v>
      </c>
      <c r="D842" t="s">
        <v>55</v>
      </c>
      <c r="E842" t="s">
        <v>56</v>
      </c>
      <c r="F842">
        <v>72</v>
      </c>
      <c r="G842" t="s">
        <v>55</v>
      </c>
      <c r="H842" t="s">
        <v>60</v>
      </c>
      <c r="I842" t="s">
        <v>29</v>
      </c>
      <c r="J842" t="s">
        <v>13</v>
      </c>
      <c r="K842" t="s">
        <v>55</v>
      </c>
      <c r="L842" t="s">
        <v>57</v>
      </c>
      <c r="M842">
        <v>57.68</v>
      </c>
      <c r="N842">
        <v>4102.47</v>
      </c>
      <c r="O842" t="s">
        <v>76</v>
      </c>
      <c r="P842" t="s">
        <v>55</v>
      </c>
    </row>
    <row r="843" spans="1:16" x14ac:dyDescent="0.35">
      <c r="A843" t="s">
        <v>907</v>
      </c>
      <c r="B843">
        <v>49</v>
      </c>
      <c r="C843" t="s">
        <v>55</v>
      </c>
      <c r="D843" t="s">
        <v>56</v>
      </c>
      <c r="E843" t="s">
        <v>55</v>
      </c>
      <c r="F843">
        <v>6</v>
      </c>
      <c r="G843" t="s">
        <v>55</v>
      </c>
      <c r="H843" t="s">
        <v>60</v>
      </c>
      <c r="I843" t="s">
        <v>30</v>
      </c>
      <c r="J843" t="s">
        <v>12</v>
      </c>
      <c r="K843" t="s">
        <v>56</v>
      </c>
      <c r="L843" t="s">
        <v>57</v>
      </c>
      <c r="M843">
        <v>108.98</v>
      </c>
      <c r="N843">
        <v>623.29999999999995</v>
      </c>
      <c r="O843" t="s">
        <v>58</v>
      </c>
      <c r="P843" t="s">
        <v>55</v>
      </c>
    </row>
    <row r="844" spans="1:16" x14ac:dyDescent="0.35">
      <c r="A844" t="s">
        <v>908</v>
      </c>
      <c r="B844">
        <v>39</v>
      </c>
      <c r="C844" t="s">
        <v>55</v>
      </c>
      <c r="D844" t="s">
        <v>56</v>
      </c>
      <c r="E844" t="s">
        <v>56</v>
      </c>
      <c r="F844">
        <v>3</v>
      </c>
      <c r="G844" t="s">
        <v>56</v>
      </c>
      <c r="H844" t="s">
        <v>55</v>
      </c>
      <c r="I844" t="s">
        <v>55</v>
      </c>
      <c r="J844" t="s">
        <v>12</v>
      </c>
      <c r="K844" t="s">
        <v>55</v>
      </c>
      <c r="L844" t="s">
        <v>61</v>
      </c>
      <c r="M844">
        <v>24.63</v>
      </c>
      <c r="N844">
        <v>75.260000000000005</v>
      </c>
      <c r="O844" t="s">
        <v>76</v>
      </c>
      <c r="P844" t="s">
        <v>55</v>
      </c>
    </row>
    <row r="845" spans="1:16" x14ac:dyDescent="0.35">
      <c r="A845" t="s">
        <v>909</v>
      </c>
      <c r="B845">
        <v>52</v>
      </c>
      <c r="C845" t="s">
        <v>55</v>
      </c>
      <c r="D845" t="s">
        <v>56</v>
      </c>
      <c r="E845" t="s">
        <v>56</v>
      </c>
      <c r="F845">
        <v>69</v>
      </c>
      <c r="G845" t="s">
        <v>56</v>
      </c>
      <c r="H845" t="s">
        <v>56</v>
      </c>
      <c r="I845" t="s">
        <v>30</v>
      </c>
      <c r="J845" t="s">
        <v>12</v>
      </c>
      <c r="K845" t="s">
        <v>55</v>
      </c>
      <c r="L845" t="s">
        <v>26</v>
      </c>
      <c r="M845">
        <v>80.78</v>
      </c>
      <c r="N845">
        <v>5729.89</v>
      </c>
      <c r="O845" t="s">
        <v>80</v>
      </c>
      <c r="P845" t="s">
        <v>55</v>
      </c>
    </row>
    <row r="846" spans="1:16" x14ac:dyDescent="0.35">
      <c r="A846" t="s">
        <v>910</v>
      </c>
      <c r="B846">
        <v>72</v>
      </c>
      <c r="C846" t="s">
        <v>56</v>
      </c>
      <c r="D846" t="s">
        <v>56</v>
      </c>
      <c r="E846" t="s">
        <v>56</v>
      </c>
      <c r="F846">
        <v>65</v>
      </c>
      <c r="G846" t="s">
        <v>55</v>
      </c>
      <c r="H846" t="s">
        <v>60</v>
      </c>
      <c r="I846" t="s">
        <v>30</v>
      </c>
      <c r="J846" t="s">
        <v>12</v>
      </c>
      <c r="K846" t="s">
        <v>55</v>
      </c>
      <c r="L846" t="s">
        <v>26</v>
      </c>
      <c r="M846">
        <v>81.5</v>
      </c>
      <c r="N846">
        <v>5470.67</v>
      </c>
      <c r="O846" t="s">
        <v>76</v>
      </c>
      <c r="P846" t="s">
        <v>56</v>
      </c>
    </row>
    <row r="847" spans="1:16" x14ac:dyDescent="0.35">
      <c r="A847" t="s">
        <v>911</v>
      </c>
      <c r="B847">
        <v>65</v>
      </c>
      <c r="C847" t="s">
        <v>56</v>
      </c>
      <c r="D847" t="s">
        <v>56</v>
      </c>
      <c r="E847" t="s">
        <v>55</v>
      </c>
      <c r="F847">
        <v>52</v>
      </c>
      <c r="G847" t="s">
        <v>55</v>
      </c>
      <c r="H847" t="s">
        <v>60</v>
      </c>
      <c r="I847" t="s">
        <v>30</v>
      </c>
      <c r="J847" t="s">
        <v>14</v>
      </c>
      <c r="K847" t="s">
        <v>56</v>
      </c>
      <c r="L847" t="s">
        <v>26</v>
      </c>
      <c r="M847">
        <v>106.11</v>
      </c>
      <c r="N847">
        <v>5691.45</v>
      </c>
      <c r="O847" t="s">
        <v>80</v>
      </c>
      <c r="P847" t="s">
        <v>55</v>
      </c>
    </row>
    <row r="848" spans="1:16" x14ac:dyDescent="0.35">
      <c r="A848" t="s">
        <v>912</v>
      </c>
      <c r="B848">
        <v>65</v>
      </c>
      <c r="C848" t="s">
        <v>56</v>
      </c>
      <c r="D848" t="s">
        <v>56</v>
      </c>
      <c r="E848" t="s">
        <v>56</v>
      </c>
      <c r="F848">
        <v>51</v>
      </c>
      <c r="G848" t="s">
        <v>55</v>
      </c>
      <c r="H848" t="s">
        <v>60</v>
      </c>
      <c r="I848" t="s">
        <v>30</v>
      </c>
      <c r="J848" t="s">
        <v>13</v>
      </c>
      <c r="K848" t="s">
        <v>55</v>
      </c>
      <c r="L848" t="s">
        <v>57</v>
      </c>
      <c r="M848">
        <v>71.17</v>
      </c>
      <c r="N848">
        <v>3531.26</v>
      </c>
      <c r="O848" t="s">
        <v>76</v>
      </c>
      <c r="P848" t="s">
        <v>56</v>
      </c>
    </row>
    <row r="849" spans="1:16" x14ac:dyDescent="0.35">
      <c r="A849" t="s">
        <v>913</v>
      </c>
      <c r="B849">
        <v>59</v>
      </c>
      <c r="C849" t="s">
        <v>55</v>
      </c>
      <c r="D849" t="s">
        <v>55</v>
      </c>
      <c r="E849" t="s">
        <v>55</v>
      </c>
      <c r="F849">
        <v>38</v>
      </c>
      <c r="G849" t="s">
        <v>56</v>
      </c>
      <c r="H849" t="s">
        <v>55</v>
      </c>
      <c r="I849" t="s">
        <v>30</v>
      </c>
      <c r="J849" t="s">
        <v>13</v>
      </c>
      <c r="K849" t="s">
        <v>55</v>
      </c>
      <c r="L849" t="s">
        <v>26</v>
      </c>
      <c r="M849">
        <v>105.14</v>
      </c>
      <c r="N849">
        <v>3998.48</v>
      </c>
      <c r="O849" t="s">
        <v>64</v>
      </c>
      <c r="P849" t="s">
        <v>55</v>
      </c>
    </row>
    <row r="850" spans="1:16" x14ac:dyDescent="0.35">
      <c r="A850" t="s">
        <v>914</v>
      </c>
      <c r="B850">
        <v>64</v>
      </c>
      <c r="C850" t="s">
        <v>56</v>
      </c>
      <c r="D850" t="s">
        <v>55</v>
      </c>
      <c r="E850" t="s">
        <v>55</v>
      </c>
      <c r="F850">
        <v>70</v>
      </c>
      <c r="G850" t="s">
        <v>55</v>
      </c>
      <c r="H850" t="s">
        <v>60</v>
      </c>
      <c r="I850" t="s">
        <v>29</v>
      </c>
      <c r="J850" t="s">
        <v>12</v>
      </c>
      <c r="K850" t="s">
        <v>56</v>
      </c>
      <c r="L850" t="s">
        <v>57</v>
      </c>
      <c r="M850">
        <v>49.28</v>
      </c>
      <c r="N850">
        <v>3395.71</v>
      </c>
      <c r="O850" t="s">
        <v>69</v>
      </c>
      <c r="P850" t="s">
        <v>55</v>
      </c>
    </row>
    <row r="851" spans="1:16" x14ac:dyDescent="0.35">
      <c r="A851" t="s">
        <v>915</v>
      </c>
      <c r="B851">
        <v>37</v>
      </c>
      <c r="C851" t="s">
        <v>55</v>
      </c>
      <c r="D851" t="s">
        <v>55</v>
      </c>
      <c r="E851" t="s">
        <v>56</v>
      </c>
      <c r="F851">
        <v>11</v>
      </c>
      <c r="G851" t="s">
        <v>56</v>
      </c>
      <c r="H851" t="s">
        <v>56</v>
      </c>
      <c r="I851" t="s">
        <v>30</v>
      </c>
      <c r="J851" t="s">
        <v>14</v>
      </c>
      <c r="K851" t="s">
        <v>56</v>
      </c>
      <c r="L851" t="s">
        <v>26</v>
      </c>
      <c r="M851">
        <v>90.16</v>
      </c>
      <c r="N851">
        <v>1031.99</v>
      </c>
      <c r="O851" t="s">
        <v>66</v>
      </c>
      <c r="P851" t="s">
        <v>55</v>
      </c>
    </row>
    <row r="852" spans="1:16" x14ac:dyDescent="0.35">
      <c r="A852" t="s">
        <v>916</v>
      </c>
      <c r="B852">
        <v>54</v>
      </c>
      <c r="C852" t="s">
        <v>55</v>
      </c>
      <c r="D852" t="s">
        <v>56</v>
      </c>
      <c r="E852" t="s">
        <v>56</v>
      </c>
      <c r="F852">
        <v>64</v>
      </c>
      <c r="G852" t="s">
        <v>55</v>
      </c>
      <c r="H852" t="s">
        <v>60</v>
      </c>
      <c r="I852" t="s">
        <v>30</v>
      </c>
      <c r="J852" t="s">
        <v>13</v>
      </c>
      <c r="K852" t="s">
        <v>56</v>
      </c>
      <c r="L852" t="s">
        <v>26</v>
      </c>
      <c r="M852">
        <v>104.45</v>
      </c>
      <c r="N852">
        <v>6764</v>
      </c>
      <c r="O852" t="s">
        <v>76</v>
      </c>
      <c r="P852" t="s">
        <v>55</v>
      </c>
    </row>
    <row r="853" spans="1:16" x14ac:dyDescent="0.35">
      <c r="A853" t="s">
        <v>917</v>
      </c>
      <c r="B853">
        <v>62</v>
      </c>
      <c r="C853" t="s">
        <v>56</v>
      </c>
      <c r="D853" t="s">
        <v>56</v>
      </c>
      <c r="E853" t="s">
        <v>55</v>
      </c>
      <c r="F853">
        <v>70</v>
      </c>
      <c r="G853" t="s">
        <v>56</v>
      </c>
      <c r="H853" t="s">
        <v>56</v>
      </c>
      <c r="I853" t="s">
        <v>29</v>
      </c>
      <c r="J853" t="s">
        <v>13</v>
      </c>
      <c r="K853" t="s">
        <v>56</v>
      </c>
      <c r="L853" t="s">
        <v>25</v>
      </c>
      <c r="M853">
        <v>57.03</v>
      </c>
      <c r="N853">
        <v>3789.7</v>
      </c>
      <c r="O853" t="s">
        <v>80</v>
      </c>
      <c r="P853" t="s">
        <v>56</v>
      </c>
    </row>
    <row r="854" spans="1:16" x14ac:dyDescent="0.35">
      <c r="A854" t="s">
        <v>918</v>
      </c>
      <c r="B854">
        <v>28</v>
      </c>
      <c r="C854" t="s">
        <v>55</v>
      </c>
      <c r="D854" t="s">
        <v>56</v>
      </c>
      <c r="E854" t="s">
        <v>56</v>
      </c>
      <c r="F854">
        <v>26</v>
      </c>
      <c r="G854" t="s">
        <v>56</v>
      </c>
      <c r="H854" t="s">
        <v>56</v>
      </c>
      <c r="I854" t="s">
        <v>30</v>
      </c>
      <c r="J854" t="s">
        <v>12</v>
      </c>
      <c r="K854" t="s">
        <v>56</v>
      </c>
      <c r="L854" t="s">
        <v>61</v>
      </c>
      <c r="M854">
        <v>96.23</v>
      </c>
      <c r="N854">
        <v>2393.85</v>
      </c>
      <c r="O854" t="s">
        <v>64</v>
      </c>
      <c r="P854" t="s">
        <v>55</v>
      </c>
    </row>
    <row r="855" spans="1:16" x14ac:dyDescent="0.35">
      <c r="A855" t="s">
        <v>919</v>
      </c>
      <c r="B855">
        <v>43</v>
      </c>
      <c r="C855" t="s">
        <v>55</v>
      </c>
      <c r="D855" t="s">
        <v>56</v>
      </c>
      <c r="E855" t="s">
        <v>55</v>
      </c>
      <c r="F855">
        <v>16</v>
      </c>
      <c r="G855" t="s">
        <v>55</v>
      </c>
      <c r="H855" t="s">
        <v>60</v>
      </c>
      <c r="I855" t="s">
        <v>30</v>
      </c>
      <c r="J855" t="s">
        <v>13</v>
      </c>
      <c r="K855" t="s">
        <v>55</v>
      </c>
      <c r="L855" t="s">
        <v>57</v>
      </c>
      <c r="M855">
        <v>100.76</v>
      </c>
      <c r="N855">
        <v>1587.33</v>
      </c>
      <c r="O855" t="s">
        <v>62</v>
      </c>
      <c r="P855" t="s">
        <v>55</v>
      </c>
    </row>
    <row r="856" spans="1:16" x14ac:dyDescent="0.35">
      <c r="A856" t="s">
        <v>920</v>
      </c>
      <c r="B856">
        <v>36</v>
      </c>
      <c r="C856" t="s">
        <v>55</v>
      </c>
      <c r="D856" t="s">
        <v>56</v>
      </c>
      <c r="E856" t="s">
        <v>55</v>
      </c>
      <c r="F856">
        <v>67</v>
      </c>
      <c r="G856" t="s">
        <v>55</v>
      </c>
      <c r="H856" t="s">
        <v>60</v>
      </c>
      <c r="I856" t="s">
        <v>29</v>
      </c>
      <c r="J856" t="s">
        <v>12</v>
      </c>
      <c r="K856" t="s">
        <v>55</v>
      </c>
      <c r="L856" t="s">
        <v>25</v>
      </c>
      <c r="M856">
        <v>68.81</v>
      </c>
      <c r="N856">
        <v>4805.2299999999996</v>
      </c>
      <c r="O856" t="s">
        <v>58</v>
      </c>
      <c r="P856" t="s">
        <v>56</v>
      </c>
    </row>
    <row r="857" spans="1:16" x14ac:dyDescent="0.35">
      <c r="A857" t="s">
        <v>921</v>
      </c>
      <c r="B857">
        <v>63</v>
      </c>
      <c r="C857" t="s">
        <v>56</v>
      </c>
      <c r="D857" t="s">
        <v>55</v>
      </c>
      <c r="E857" t="s">
        <v>56</v>
      </c>
      <c r="F857">
        <v>41</v>
      </c>
      <c r="G857" t="s">
        <v>56</v>
      </c>
      <c r="H857" t="s">
        <v>55</v>
      </c>
      <c r="I857" t="s">
        <v>30</v>
      </c>
      <c r="J857" t="s">
        <v>14</v>
      </c>
      <c r="K857" t="s">
        <v>56</v>
      </c>
      <c r="L857" t="s">
        <v>26</v>
      </c>
      <c r="M857">
        <v>79.38</v>
      </c>
      <c r="N857">
        <v>3330.36</v>
      </c>
      <c r="O857" t="s">
        <v>76</v>
      </c>
      <c r="P857" t="s">
        <v>55</v>
      </c>
    </row>
    <row r="858" spans="1:16" x14ac:dyDescent="0.35">
      <c r="A858" t="s">
        <v>922</v>
      </c>
      <c r="B858">
        <v>24</v>
      </c>
      <c r="C858" t="s">
        <v>55</v>
      </c>
      <c r="D858" t="s">
        <v>56</v>
      </c>
      <c r="E858" t="s">
        <v>55</v>
      </c>
      <c r="F858">
        <v>21</v>
      </c>
      <c r="G858" t="s">
        <v>56</v>
      </c>
      <c r="H858" t="s">
        <v>56</v>
      </c>
      <c r="I858" t="s">
        <v>30</v>
      </c>
      <c r="J858" t="s">
        <v>12</v>
      </c>
      <c r="K858" t="s">
        <v>56</v>
      </c>
      <c r="L858" t="s">
        <v>26</v>
      </c>
      <c r="M858">
        <v>111.04</v>
      </c>
      <c r="N858">
        <v>2434.84</v>
      </c>
      <c r="O858" t="s">
        <v>76</v>
      </c>
      <c r="P858" t="s">
        <v>55</v>
      </c>
    </row>
    <row r="859" spans="1:16" x14ac:dyDescent="0.35">
      <c r="A859" t="s">
        <v>923</v>
      </c>
      <c r="B859">
        <v>41</v>
      </c>
      <c r="C859" t="s">
        <v>55</v>
      </c>
      <c r="D859" t="s">
        <v>55</v>
      </c>
      <c r="E859" t="s">
        <v>55</v>
      </c>
      <c r="F859">
        <v>72</v>
      </c>
      <c r="G859" t="s">
        <v>56</v>
      </c>
      <c r="H859" t="s">
        <v>56</v>
      </c>
      <c r="I859" t="s">
        <v>29</v>
      </c>
      <c r="J859" t="s">
        <v>12</v>
      </c>
      <c r="K859" t="s">
        <v>56</v>
      </c>
      <c r="L859" t="s">
        <v>26</v>
      </c>
      <c r="M859">
        <v>50.52</v>
      </c>
      <c r="N859">
        <v>3463.86</v>
      </c>
      <c r="O859" t="s">
        <v>58</v>
      </c>
      <c r="P859" t="s">
        <v>55</v>
      </c>
    </row>
    <row r="860" spans="1:16" x14ac:dyDescent="0.35">
      <c r="A860" t="s">
        <v>924</v>
      </c>
      <c r="B860">
        <v>59</v>
      </c>
      <c r="C860" t="s">
        <v>55</v>
      </c>
      <c r="D860" t="s">
        <v>55</v>
      </c>
      <c r="E860" t="s">
        <v>55</v>
      </c>
      <c r="F860">
        <v>36</v>
      </c>
      <c r="G860" t="s">
        <v>55</v>
      </c>
      <c r="H860" t="s">
        <v>60</v>
      </c>
      <c r="I860" t="s">
        <v>55</v>
      </c>
      <c r="J860" t="s">
        <v>12</v>
      </c>
      <c r="K860" t="s">
        <v>56</v>
      </c>
      <c r="L860" t="s">
        <v>61</v>
      </c>
      <c r="M860">
        <v>29.87</v>
      </c>
      <c r="N860">
        <v>1022.59</v>
      </c>
      <c r="O860" t="s">
        <v>62</v>
      </c>
      <c r="P860" t="s">
        <v>55</v>
      </c>
    </row>
    <row r="861" spans="1:16" x14ac:dyDescent="0.35">
      <c r="A861" t="s">
        <v>925</v>
      </c>
      <c r="B861">
        <v>27</v>
      </c>
      <c r="C861" t="s">
        <v>55</v>
      </c>
      <c r="D861" t="s">
        <v>56</v>
      </c>
      <c r="E861" t="s">
        <v>55</v>
      </c>
      <c r="F861">
        <v>1</v>
      </c>
      <c r="G861" t="s">
        <v>56</v>
      </c>
      <c r="H861" t="s">
        <v>56</v>
      </c>
      <c r="I861" t="s">
        <v>30</v>
      </c>
      <c r="J861" t="s">
        <v>14</v>
      </c>
      <c r="K861" t="s">
        <v>55</v>
      </c>
      <c r="L861" t="s">
        <v>61</v>
      </c>
      <c r="M861">
        <v>86.35</v>
      </c>
      <c r="N861">
        <v>86.35</v>
      </c>
      <c r="O861" t="s">
        <v>58</v>
      </c>
      <c r="P861" t="s">
        <v>56</v>
      </c>
    </row>
    <row r="862" spans="1:16" x14ac:dyDescent="0.35">
      <c r="A862" t="s">
        <v>926</v>
      </c>
      <c r="B862">
        <v>43</v>
      </c>
      <c r="C862" t="s">
        <v>55</v>
      </c>
      <c r="D862" t="s">
        <v>55</v>
      </c>
      <c r="E862" t="s">
        <v>55</v>
      </c>
      <c r="F862">
        <v>61</v>
      </c>
      <c r="G862" t="s">
        <v>55</v>
      </c>
      <c r="H862" t="s">
        <v>60</v>
      </c>
      <c r="I862" t="s">
        <v>30</v>
      </c>
      <c r="J862" t="s">
        <v>12</v>
      </c>
      <c r="K862" t="s">
        <v>56</v>
      </c>
      <c r="L862" t="s">
        <v>25</v>
      </c>
      <c r="M862">
        <v>117.27</v>
      </c>
      <c r="N862">
        <v>7439.84</v>
      </c>
      <c r="O862" t="s">
        <v>66</v>
      </c>
      <c r="P862" t="s">
        <v>55</v>
      </c>
    </row>
    <row r="863" spans="1:16" x14ac:dyDescent="0.35">
      <c r="A863" t="s">
        <v>927</v>
      </c>
      <c r="B863">
        <v>45</v>
      </c>
      <c r="C863" t="s">
        <v>55</v>
      </c>
      <c r="D863" t="s">
        <v>55</v>
      </c>
      <c r="E863" t="s">
        <v>55</v>
      </c>
      <c r="F863">
        <v>33</v>
      </c>
      <c r="G863" t="s">
        <v>55</v>
      </c>
      <c r="H863" t="s">
        <v>60</v>
      </c>
      <c r="I863" t="s">
        <v>29</v>
      </c>
      <c r="J863" t="s">
        <v>13</v>
      </c>
      <c r="K863" t="s">
        <v>56</v>
      </c>
      <c r="L863" t="s">
        <v>26</v>
      </c>
      <c r="M863">
        <v>54.63</v>
      </c>
      <c r="N863">
        <v>1795.45</v>
      </c>
      <c r="O863" t="s">
        <v>69</v>
      </c>
      <c r="P863" t="s">
        <v>55</v>
      </c>
    </row>
    <row r="864" spans="1:16" x14ac:dyDescent="0.35">
      <c r="A864" t="s">
        <v>928</v>
      </c>
      <c r="B864">
        <v>45</v>
      </c>
      <c r="C864" t="s">
        <v>55</v>
      </c>
      <c r="D864" t="s">
        <v>56</v>
      </c>
      <c r="E864" t="s">
        <v>56</v>
      </c>
      <c r="F864">
        <v>49</v>
      </c>
      <c r="G864" t="s">
        <v>56</v>
      </c>
      <c r="H864" t="s">
        <v>56</v>
      </c>
      <c r="I864" t="s">
        <v>30</v>
      </c>
      <c r="J864" t="s">
        <v>12</v>
      </c>
      <c r="K864" t="s">
        <v>56</v>
      </c>
      <c r="L864" t="s">
        <v>26</v>
      </c>
      <c r="M864">
        <v>85.52</v>
      </c>
      <c r="N864">
        <v>3986.37</v>
      </c>
      <c r="O864" t="s">
        <v>76</v>
      </c>
      <c r="P864" t="s">
        <v>56</v>
      </c>
    </row>
    <row r="865" spans="1:16" x14ac:dyDescent="0.35">
      <c r="A865" t="s">
        <v>929</v>
      </c>
      <c r="B865">
        <v>50</v>
      </c>
      <c r="C865" t="s">
        <v>55</v>
      </c>
      <c r="D865" t="s">
        <v>56</v>
      </c>
      <c r="E865" t="s">
        <v>55</v>
      </c>
      <c r="F865">
        <v>5</v>
      </c>
      <c r="G865" t="s">
        <v>55</v>
      </c>
      <c r="H865" t="s">
        <v>60</v>
      </c>
      <c r="I865" t="s">
        <v>29</v>
      </c>
      <c r="J865" t="s">
        <v>12</v>
      </c>
      <c r="K865" t="s">
        <v>55</v>
      </c>
      <c r="L865" t="s">
        <v>26</v>
      </c>
      <c r="M865">
        <v>42.29</v>
      </c>
      <c r="N865">
        <v>213.28</v>
      </c>
      <c r="O865" t="s">
        <v>69</v>
      </c>
      <c r="P865" t="s">
        <v>56</v>
      </c>
    </row>
    <row r="866" spans="1:16" x14ac:dyDescent="0.35">
      <c r="A866" t="s">
        <v>930</v>
      </c>
      <c r="B866">
        <v>48</v>
      </c>
      <c r="C866" t="s">
        <v>55</v>
      </c>
      <c r="D866" t="s">
        <v>55</v>
      </c>
      <c r="E866" t="s">
        <v>55</v>
      </c>
      <c r="F866">
        <v>23</v>
      </c>
      <c r="G866" t="s">
        <v>56</v>
      </c>
      <c r="H866" t="s">
        <v>56</v>
      </c>
      <c r="I866" t="s">
        <v>29</v>
      </c>
      <c r="J866" t="s">
        <v>12</v>
      </c>
      <c r="K866" t="s">
        <v>56</v>
      </c>
      <c r="L866" t="s">
        <v>61</v>
      </c>
      <c r="M866">
        <v>47.08</v>
      </c>
      <c r="N866">
        <v>1128.44</v>
      </c>
      <c r="O866" t="s">
        <v>66</v>
      </c>
      <c r="P866" t="s">
        <v>56</v>
      </c>
    </row>
    <row r="867" spans="1:16" x14ac:dyDescent="0.35">
      <c r="A867" t="s">
        <v>931</v>
      </c>
      <c r="B867">
        <v>72</v>
      </c>
      <c r="C867" t="s">
        <v>56</v>
      </c>
      <c r="D867" t="s">
        <v>56</v>
      </c>
      <c r="E867" t="s">
        <v>56</v>
      </c>
      <c r="F867">
        <v>57</v>
      </c>
      <c r="G867" t="s">
        <v>56</v>
      </c>
      <c r="H867" t="s">
        <v>56</v>
      </c>
      <c r="I867" t="s">
        <v>29</v>
      </c>
      <c r="J867" t="s">
        <v>14</v>
      </c>
      <c r="K867" t="s">
        <v>55</v>
      </c>
      <c r="L867" t="s">
        <v>25</v>
      </c>
      <c r="M867">
        <v>47.77</v>
      </c>
      <c r="N867">
        <v>2760.14</v>
      </c>
      <c r="O867" t="s">
        <v>66</v>
      </c>
      <c r="P867" t="s">
        <v>56</v>
      </c>
    </row>
    <row r="868" spans="1:16" x14ac:dyDescent="0.35">
      <c r="A868" t="s">
        <v>932</v>
      </c>
      <c r="B868">
        <v>61</v>
      </c>
      <c r="C868" t="s">
        <v>56</v>
      </c>
      <c r="D868" t="s">
        <v>55</v>
      </c>
      <c r="E868" t="s">
        <v>56</v>
      </c>
      <c r="F868">
        <v>47</v>
      </c>
      <c r="G868" t="s">
        <v>55</v>
      </c>
      <c r="H868" t="s">
        <v>60</v>
      </c>
      <c r="I868" t="s">
        <v>29</v>
      </c>
      <c r="J868" t="s">
        <v>12</v>
      </c>
      <c r="K868" t="s">
        <v>56</v>
      </c>
      <c r="L868" t="s">
        <v>26</v>
      </c>
      <c r="M868">
        <v>73</v>
      </c>
      <c r="N868">
        <v>3431.63</v>
      </c>
      <c r="O868" t="s">
        <v>80</v>
      </c>
      <c r="P868" t="s">
        <v>55</v>
      </c>
    </row>
    <row r="869" spans="1:16" x14ac:dyDescent="0.35">
      <c r="A869" t="s">
        <v>933</v>
      </c>
      <c r="B869">
        <v>29</v>
      </c>
      <c r="C869" t="s">
        <v>55</v>
      </c>
      <c r="D869" t="s">
        <v>55</v>
      </c>
      <c r="E869" t="s">
        <v>56</v>
      </c>
      <c r="F869">
        <v>36</v>
      </c>
      <c r="G869" t="s">
        <v>55</v>
      </c>
      <c r="H869" t="s">
        <v>60</v>
      </c>
      <c r="I869" t="s">
        <v>29</v>
      </c>
      <c r="J869" t="s">
        <v>12</v>
      </c>
      <c r="K869" t="s">
        <v>56</v>
      </c>
      <c r="L869" t="s">
        <v>26</v>
      </c>
      <c r="M869">
        <v>62.42</v>
      </c>
      <c r="N869">
        <v>2144.04</v>
      </c>
      <c r="O869" t="s">
        <v>66</v>
      </c>
      <c r="P869" t="s">
        <v>55</v>
      </c>
    </row>
    <row r="870" spans="1:16" x14ac:dyDescent="0.35">
      <c r="A870" t="s">
        <v>934</v>
      </c>
      <c r="B870">
        <v>62</v>
      </c>
      <c r="C870" t="s">
        <v>56</v>
      </c>
      <c r="D870" t="s">
        <v>56</v>
      </c>
      <c r="E870" t="s">
        <v>55</v>
      </c>
      <c r="F870">
        <v>12</v>
      </c>
      <c r="G870" t="s">
        <v>56</v>
      </c>
      <c r="H870" t="s">
        <v>56</v>
      </c>
      <c r="I870" t="s">
        <v>30</v>
      </c>
      <c r="J870" t="s">
        <v>12</v>
      </c>
      <c r="K870" t="s">
        <v>55</v>
      </c>
      <c r="L870" t="s">
        <v>57</v>
      </c>
      <c r="M870">
        <v>118.29</v>
      </c>
      <c r="N870">
        <v>1464.91</v>
      </c>
      <c r="O870" t="s">
        <v>62</v>
      </c>
      <c r="P870" t="s">
        <v>55</v>
      </c>
    </row>
    <row r="871" spans="1:16" x14ac:dyDescent="0.35">
      <c r="A871" t="s">
        <v>935</v>
      </c>
      <c r="B871">
        <v>58</v>
      </c>
      <c r="C871" t="s">
        <v>55</v>
      </c>
      <c r="D871" t="s">
        <v>55</v>
      </c>
      <c r="E871" t="s">
        <v>55</v>
      </c>
      <c r="F871">
        <v>11</v>
      </c>
      <c r="G871" t="s">
        <v>56</v>
      </c>
      <c r="H871" t="s">
        <v>56</v>
      </c>
      <c r="I871" t="s">
        <v>55</v>
      </c>
      <c r="J871" t="s">
        <v>13</v>
      </c>
      <c r="K871" t="s">
        <v>56</v>
      </c>
      <c r="L871" t="s">
        <v>61</v>
      </c>
      <c r="M871">
        <v>26.86</v>
      </c>
      <c r="N871">
        <v>288.74</v>
      </c>
      <c r="O871" t="s">
        <v>76</v>
      </c>
      <c r="P871" t="s">
        <v>55</v>
      </c>
    </row>
    <row r="872" spans="1:16" x14ac:dyDescent="0.35">
      <c r="A872" t="s">
        <v>936</v>
      </c>
      <c r="B872">
        <v>29</v>
      </c>
      <c r="C872" t="s">
        <v>55</v>
      </c>
      <c r="D872" t="s">
        <v>55</v>
      </c>
      <c r="E872" t="s">
        <v>56</v>
      </c>
      <c r="F872">
        <v>41</v>
      </c>
      <c r="G872" t="s">
        <v>56</v>
      </c>
      <c r="H872" t="s">
        <v>56</v>
      </c>
      <c r="I872" t="s">
        <v>30</v>
      </c>
      <c r="J872" t="s">
        <v>12</v>
      </c>
      <c r="K872" t="s">
        <v>55</v>
      </c>
      <c r="L872" t="s">
        <v>26</v>
      </c>
      <c r="M872">
        <v>91.98</v>
      </c>
      <c r="N872">
        <v>3586.73</v>
      </c>
      <c r="O872" t="s">
        <v>76</v>
      </c>
      <c r="P872" t="s">
        <v>56</v>
      </c>
    </row>
    <row r="873" spans="1:16" x14ac:dyDescent="0.35">
      <c r="A873" t="s">
        <v>937</v>
      </c>
      <c r="B873">
        <v>40</v>
      </c>
      <c r="C873" t="s">
        <v>55</v>
      </c>
      <c r="D873" t="s">
        <v>55</v>
      </c>
      <c r="E873" t="s">
        <v>56</v>
      </c>
      <c r="F873">
        <v>5</v>
      </c>
      <c r="G873" t="s">
        <v>55</v>
      </c>
      <c r="H873" t="s">
        <v>60</v>
      </c>
      <c r="I873" t="s">
        <v>55</v>
      </c>
      <c r="J873" t="s">
        <v>12</v>
      </c>
      <c r="K873" t="s">
        <v>56</v>
      </c>
      <c r="L873" t="s">
        <v>25</v>
      </c>
      <c r="M873">
        <v>23.21</v>
      </c>
      <c r="N873">
        <v>118.08</v>
      </c>
      <c r="O873" t="s">
        <v>76</v>
      </c>
      <c r="P873" t="s">
        <v>55</v>
      </c>
    </row>
    <row r="874" spans="1:16" x14ac:dyDescent="0.35">
      <c r="A874" t="s">
        <v>938</v>
      </c>
      <c r="B874">
        <v>31</v>
      </c>
      <c r="C874" t="s">
        <v>55</v>
      </c>
      <c r="D874" t="s">
        <v>55</v>
      </c>
      <c r="E874" t="s">
        <v>55</v>
      </c>
      <c r="F874">
        <v>12</v>
      </c>
      <c r="G874" t="s">
        <v>56</v>
      </c>
      <c r="H874" t="s">
        <v>56</v>
      </c>
      <c r="I874" t="s">
        <v>29</v>
      </c>
      <c r="J874" t="s">
        <v>12</v>
      </c>
      <c r="K874" t="s">
        <v>56</v>
      </c>
      <c r="L874" t="s">
        <v>25</v>
      </c>
      <c r="M874">
        <v>60.68</v>
      </c>
      <c r="N874">
        <v>739.62</v>
      </c>
      <c r="O874" t="s">
        <v>64</v>
      </c>
      <c r="P874" t="s">
        <v>55</v>
      </c>
    </row>
    <row r="875" spans="1:16" x14ac:dyDescent="0.35">
      <c r="A875" t="s">
        <v>939</v>
      </c>
      <c r="B875">
        <v>55</v>
      </c>
      <c r="C875" t="s">
        <v>55</v>
      </c>
      <c r="D875" t="s">
        <v>55</v>
      </c>
      <c r="E875" t="s">
        <v>55</v>
      </c>
      <c r="F875">
        <v>49</v>
      </c>
      <c r="G875" t="s">
        <v>56</v>
      </c>
      <c r="H875" t="s">
        <v>56</v>
      </c>
      <c r="I875" t="s">
        <v>29</v>
      </c>
      <c r="J875" t="s">
        <v>12</v>
      </c>
      <c r="K875" t="s">
        <v>55</v>
      </c>
      <c r="L875" t="s">
        <v>25</v>
      </c>
      <c r="M875">
        <v>40.32</v>
      </c>
      <c r="N875">
        <v>1957.05</v>
      </c>
      <c r="O875" t="s">
        <v>69</v>
      </c>
      <c r="P875" t="s">
        <v>55</v>
      </c>
    </row>
    <row r="876" spans="1:16" x14ac:dyDescent="0.35">
      <c r="A876" t="s">
        <v>940</v>
      </c>
      <c r="B876">
        <v>75</v>
      </c>
      <c r="C876" t="s">
        <v>56</v>
      </c>
      <c r="D876" t="s">
        <v>56</v>
      </c>
      <c r="E876" t="s">
        <v>56</v>
      </c>
      <c r="F876">
        <v>46</v>
      </c>
      <c r="G876" t="s">
        <v>55</v>
      </c>
      <c r="H876" t="s">
        <v>60</v>
      </c>
      <c r="I876" t="s">
        <v>30</v>
      </c>
      <c r="J876" t="s">
        <v>12</v>
      </c>
      <c r="K876" t="s">
        <v>56</v>
      </c>
      <c r="L876" t="s">
        <v>57</v>
      </c>
      <c r="M876">
        <v>100.83</v>
      </c>
      <c r="N876">
        <v>4690.26</v>
      </c>
      <c r="O876" t="s">
        <v>69</v>
      </c>
      <c r="P876" t="s">
        <v>55</v>
      </c>
    </row>
    <row r="877" spans="1:16" x14ac:dyDescent="0.35">
      <c r="A877" t="s">
        <v>941</v>
      </c>
      <c r="B877">
        <v>43</v>
      </c>
      <c r="C877" t="s">
        <v>55</v>
      </c>
      <c r="D877" t="s">
        <v>55</v>
      </c>
      <c r="E877" t="s">
        <v>56</v>
      </c>
      <c r="F877">
        <v>33</v>
      </c>
      <c r="G877" t="s">
        <v>55</v>
      </c>
      <c r="H877" t="s">
        <v>60</v>
      </c>
      <c r="I877" t="s">
        <v>29</v>
      </c>
      <c r="J877" t="s">
        <v>12</v>
      </c>
      <c r="K877" t="s">
        <v>55</v>
      </c>
      <c r="L877" t="s">
        <v>26</v>
      </c>
      <c r="M877">
        <v>78.83</v>
      </c>
      <c r="N877">
        <v>2719.21</v>
      </c>
      <c r="O877" t="s">
        <v>58</v>
      </c>
      <c r="P877" t="s">
        <v>55</v>
      </c>
    </row>
    <row r="878" spans="1:16" x14ac:dyDescent="0.35">
      <c r="A878" t="s">
        <v>942</v>
      </c>
      <c r="B878">
        <v>24</v>
      </c>
      <c r="C878" t="s">
        <v>55</v>
      </c>
      <c r="D878" t="s">
        <v>55</v>
      </c>
      <c r="E878" t="s">
        <v>55</v>
      </c>
      <c r="F878">
        <v>35</v>
      </c>
      <c r="G878" t="s">
        <v>55</v>
      </c>
      <c r="H878" t="s">
        <v>60</v>
      </c>
      <c r="I878" t="s">
        <v>55</v>
      </c>
      <c r="J878" t="s">
        <v>13</v>
      </c>
      <c r="K878" t="s">
        <v>56</v>
      </c>
      <c r="L878" t="s">
        <v>57</v>
      </c>
      <c r="M878">
        <v>29.07</v>
      </c>
      <c r="N878">
        <v>1064.6500000000001</v>
      </c>
      <c r="O878" t="s">
        <v>58</v>
      </c>
      <c r="P878" t="s">
        <v>55</v>
      </c>
    </row>
    <row r="879" spans="1:16" x14ac:dyDescent="0.35">
      <c r="A879" t="s">
        <v>943</v>
      </c>
      <c r="B879">
        <v>30</v>
      </c>
      <c r="C879" t="s">
        <v>55</v>
      </c>
      <c r="D879" t="s">
        <v>56</v>
      </c>
      <c r="E879" t="s">
        <v>56</v>
      </c>
      <c r="F879">
        <v>43</v>
      </c>
      <c r="G879" t="s">
        <v>56</v>
      </c>
      <c r="H879" t="s">
        <v>55</v>
      </c>
      <c r="I879" t="s">
        <v>29</v>
      </c>
      <c r="J879" t="s">
        <v>12</v>
      </c>
      <c r="K879" t="s">
        <v>56</v>
      </c>
      <c r="L879" t="s">
        <v>61</v>
      </c>
      <c r="M879">
        <v>58.35</v>
      </c>
      <c r="N879">
        <v>2408.29</v>
      </c>
      <c r="O879" t="s">
        <v>62</v>
      </c>
      <c r="P879" t="s">
        <v>56</v>
      </c>
    </row>
    <row r="880" spans="1:16" x14ac:dyDescent="0.35">
      <c r="A880" t="s">
        <v>944</v>
      </c>
      <c r="B880">
        <v>30</v>
      </c>
      <c r="C880" t="s">
        <v>55</v>
      </c>
      <c r="D880" t="s">
        <v>56</v>
      </c>
      <c r="E880" t="s">
        <v>55</v>
      </c>
      <c r="F880">
        <v>40</v>
      </c>
      <c r="G880" t="s">
        <v>56</v>
      </c>
      <c r="H880" t="s">
        <v>55</v>
      </c>
      <c r="I880" t="s">
        <v>30</v>
      </c>
      <c r="J880" t="s">
        <v>12</v>
      </c>
      <c r="K880" t="s">
        <v>56</v>
      </c>
      <c r="L880" t="s">
        <v>26</v>
      </c>
      <c r="M880">
        <v>97.77</v>
      </c>
      <c r="N880">
        <v>4040.14</v>
      </c>
      <c r="O880" t="s">
        <v>62</v>
      </c>
      <c r="P880" t="s">
        <v>56</v>
      </c>
    </row>
    <row r="881" spans="1:16" x14ac:dyDescent="0.35">
      <c r="A881" t="s">
        <v>945</v>
      </c>
      <c r="B881">
        <v>40</v>
      </c>
      <c r="C881" t="s">
        <v>55</v>
      </c>
      <c r="D881" t="s">
        <v>56</v>
      </c>
      <c r="E881" t="s">
        <v>55</v>
      </c>
      <c r="F881">
        <v>71</v>
      </c>
      <c r="G881" t="s">
        <v>56</v>
      </c>
      <c r="H881" t="s">
        <v>55</v>
      </c>
      <c r="I881" t="s">
        <v>29</v>
      </c>
      <c r="J881" t="s">
        <v>13</v>
      </c>
      <c r="K881" t="s">
        <v>55</v>
      </c>
      <c r="L881" t="s">
        <v>61</v>
      </c>
      <c r="M881">
        <v>70.52</v>
      </c>
      <c r="N881">
        <v>4764.08</v>
      </c>
      <c r="O881" t="s">
        <v>66</v>
      </c>
      <c r="P881" t="s">
        <v>56</v>
      </c>
    </row>
    <row r="882" spans="1:16" x14ac:dyDescent="0.35">
      <c r="A882" t="s">
        <v>946</v>
      </c>
      <c r="B882">
        <v>26</v>
      </c>
      <c r="C882" t="s">
        <v>55</v>
      </c>
      <c r="D882" t="s">
        <v>55</v>
      </c>
      <c r="E882" t="s">
        <v>55</v>
      </c>
      <c r="F882">
        <v>37</v>
      </c>
      <c r="G882" t="s">
        <v>55</v>
      </c>
      <c r="H882" t="s">
        <v>60</v>
      </c>
      <c r="I882" t="s">
        <v>55</v>
      </c>
      <c r="J882" t="s">
        <v>13</v>
      </c>
      <c r="K882" t="s">
        <v>56</v>
      </c>
      <c r="L882" t="s">
        <v>26</v>
      </c>
      <c r="M882">
        <v>26.04</v>
      </c>
      <c r="N882">
        <v>1017.85</v>
      </c>
      <c r="O882" t="s">
        <v>58</v>
      </c>
      <c r="P882" t="s">
        <v>56</v>
      </c>
    </row>
    <row r="883" spans="1:16" x14ac:dyDescent="0.35">
      <c r="A883" t="s">
        <v>947</v>
      </c>
      <c r="B883">
        <v>29</v>
      </c>
      <c r="C883" t="s">
        <v>55</v>
      </c>
      <c r="D883" t="s">
        <v>56</v>
      </c>
      <c r="E883" t="s">
        <v>55</v>
      </c>
      <c r="F883">
        <v>47</v>
      </c>
      <c r="G883" t="s">
        <v>56</v>
      </c>
      <c r="H883" t="s">
        <v>55</v>
      </c>
      <c r="I883" t="s">
        <v>30</v>
      </c>
      <c r="J883" t="s">
        <v>13</v>
      </c>
      <c r="K883" t="s">
        <v>56</v>
      </c>
      <c r="L883" t="s">
        <v>61</v>
      </c>
      <c r="M883">
        <v>76.900000000000006</v>
      </c>
      <c r="N883">
        <v>3478.97</v>
      </c>
      <c r="O883" t="s">
        <v>64</v>
      </c>
      <c r="P883" t="s">
        <v>56</v>
      </c>
    </row>
    <row r="884" spans="1:16" x14ac:dyDescent="0.35">
      <c r="A884" t="s">
        <v>948</v>
      </c>
      <c r="B884">
        <v>23</v>
      </c>
      <c r="C884" t="s">
        <v>55</v>
      </c>
      <c r="D884" t="s">
        <v>55</v>
      </c>
      <c r="E884" t="s">
        <v>55</v>
      </c>
      <c r="F884">
        <v>24</v>
      </c>
      <c r="G884" t="s">
        <v>55</v>
      </c>
      <c r="H884" t="s">
        <v>60</v>
      </c>
      <c r="I884" t="s">
        <v>30</v>
      </c>
      <c r="J884" t="s">
        <v>12</v>
      </c>
      <c r="K884" t="s">
        <v>55</v>
      </c>
      <c r="L884" t="s">
        <v>26</v>
      </c>
      <c r="M884">
        <v>117.93</v>
      </c>
      <c r="N884">
        <v>2803.74</v>
      </c>
      <c r="O884" t="s">
        <v>69</v>
      </c>
      <c r="P884" t="s">
        <v>56</v>
      </c>
    </row>
    <row r="885" spans="1:16" x14ac:dyDescent="0.35">
      <c r="A885" t="s">
        <v>949</v>
      </c>
      <c r="B885">
        <v>51</v>
      </c>
      <c r="C885" t="s">
        <v>55</v>
      </c>
      <c r="D885" t="s">
        <v>56</v>
      </c>
      <c r="E885" t="s">
        <v>55</v>
      </c>
      <c r="F885">
        <v>11</v>
      </c>
      <c r="G885" t="s">
        <v>56</v>
      </c>
      <c r="H885" t="s">
        <v>55</v>
      </c>
      <c r="I885" t="s">
        <v>30</v>
      </c>
      <c r="J885" t="s">
        <v>12</v>
      </c>
      <c r="K885" t="s">
        <v>56</v>
      </c>
      <c r="L885" t="s">
        <v>26</v>
      </c>
      <c r="M885">
        <v>76.44</v>
      </c>
      <c r="N885">
        <v>841.54</v>
      </c>
      <c r="O885" t="s">
        <v>80</v>
      </c>
      <c r="P885" t="s">
        <v>55</v>
      </c>
    </row>
    <row r="886" spans="1:16" x14ac:dyDescent="0.35">
      <c r="A886" t="s">
        <v>950</v>
      </c>
      <c r="B886">
        <v>49</v>
      </c>
      <c r="C886" t="s">
        <v>55</v>
      </c>
      <c r="D886" t="s">
        <v>55</v>
      </c>
      <c r="E886" t="s">
        <v>55</v>
      </c>
      <c r="F886">
        <v>7</v>
      </c>
      <c r="G886" t="s">
        <v>55</v>
      </c>
      <c r="H886" t="s">
        <v>60</v>
      </c>
      <c r="I886" t="s">
        <v>30</v>
      </c>
      <c r="J886" t="s">
        <v>13</v>
      </c>
      <c r="K886" t="s">
        <v>56</v>
      </c>
      <c r="L886" t="s">
        <v>61</v>
      </c>
      <c r="M886">
        <v>110.12</v>
      </c>
      <c r="N886">
        <v>766.24</v>
      </c>
      <c r="O886" t="s">
        <v>64</v>
      </c>
      <c r="P886" t="s">
        <v>55</v>
      </c>
    </row>
    <row r="887" spans="1:16" x14ac:dyDescent="0.35">
      <c r="A887" t="s">
        <v>951</v>
      </c>
      <c r="B887">
        <v>63</v>
      </c>
      <c r="C887" t="s">
        <v>56</v>
      </c>
      <c r="D887" t="s">
        <v>55</v>
      </c>
      <c r="E887" t="s">
        <v>55</v>
      </c>
      <c r="F887">
        <v>15</v>
      </c>
      <c r="G887" t="s">
        <v>55</v>
      </c>
      <c r="H887" t="s">
        <v>60</v>
      </c>
      <c r="I887" t="s">
        <v>29</v>
      </c>
      <c r="J887" t="s">
        <v>12</v>
      </c>
      <c r="K887" t="s">
        <v>55</v>
      </c>
      <c r="L887" t="s">
        <v>25</v>
      </c>
      <c r="M887">
        <v>43.2</v>
      </c>
      <c r="N887">
        <v>609.66</v>
      </c>
      <c r="O887" t="s">
        <v>69</v>
      </c>
      <c r="P887" t="s">
        <v>55</v>
      </c>
    </row>
    <row r="888" spans="1:16" x14ac:dyDescent="0.35">
      <c r="A888" t="s">
        <v>952</v>
      </c>
      <c r="B888">
        <v>55</v>
      </c>
      <c r="C888" t="s">
        <v>55</v>
      </c>
      <c r="D888" t="s">
        <v>55</v>
      </c>
      <c r="E888" t="s">
        <v>56</v>
      </c>
      <c r="F888">
        <v>66</v>
      </c>
      <c r="G888" t="s">
        <v>55</v>
      </c>
      <c r="H888" t="s">
        <v>60</v>
      </c>
      <c r="I888" t="s">
        <v>55</v>
      </c>
      <c r="J888" t="s">
        <v>12</v>
      </c>
      <c r="K888" t="s">
        <v>55</v>
      </c>
      <c r="L888" t="s">
        <v>26</v>
      </c>
      <c r="M888">
        <v>19.46</v>
      </c>
      <c r="N888">
        <v>1282.76</v>
      </c>
      <c r="O888" t="s">
        <v>58</v>
      </c>
      <c r="P888" t="s">
        <v>55</v>
      </c>
    </row>
    <row r="889" spans="1:16" x14ac:dyDescent="0.35">
      <c r="A889" t="s">
        <v>953</v>
      </c>
      <c r="B889">
        <v>61</v>
      </c>
      <c r="C889" t="s">
        <v>56</v>
      </c>
      <c r="D889" t="s">
        <v>55</v>
      </c>
      <c r="E889" t="s">
        <v>55</v>
      </c>
      <c r="F889">
        <v>55</v>
      </c>
      <c r="G889" t="s">
        <v>55</v>
      </c>
      <c r="H889" t="s">
        <v>60</v>
      </c>
      <c r="I889" t="s">
        <v>30</v>
      </c>
      <c r="J889" t="s">
        <v>13</v>
      </c>
      <c r="K889" t="s">
        <v>56</v>
      </c>
      <c r="L889" t="s">
        <v>57</v>
      </c>
      <c r="M889">
        <v>78.94</v>
      </c>
      <c r="N889">
        <v>4267.1400000000003</v>
      </c>
      <c r="O889" t="s">
        <v>76</v>
      </c>
      <c r="P889" t="s">
        <v>56</v>
      </c>
    </row>
    <row r="890" spans="1:16" x14ac:dyDescent="0.35">
      <c r="A890" t="s">
        <v>954</v>
      </c>
      <c r="B890">
        <v>37</v>
      </c>
      <c r="C890" t="s">
        <v>55</v>
      </c>
      <c r="D890" t="s">
        <v>56</v>
      </c>
      <c r="E890" t="s">
        <v>56</v>
      </c>
      <c r="F890">
        <v>46</v>
      </c>
      <c r="G890" t="s">
        <v>55</v>
      </c>
      <c r="H890" t="s">
        <v>60</v>
      </c>
      <c r="I890" t="s">
        <v>29</v>
      </c>
      <c r="J890" t="s">
        <v>12</v>
      </c>
      <c r="K890" t="s">
        <v>56</v>
      </c>
      <c r="L890" t="s">
        <v>57</v>
      </c>
      <c r="M890">
        <v>45.04</v>
      </c>
      <c r="N890">
        <v>1983.49</v>
      </c>
      <c r="O890" t="s">
        <v>76</v>
      </c>
      <c r="P890" t="s">
        <v>55</v>
      </c>
    </row>
    <row r="891" spans="1:16" x14ac:dyDescent="0.35">
      <c r="A891" t="s">
        <v>955</v>
      </c>
      <c r="B891">
        <v>40</v>
      </c>
      <c r="C891" t="s">
        <v>55</v>
      </c>
      <c r="D891" t="s">
        <v>55</v>
      </c>
      <c r="E891" t="s">
        <v>56</v>
      </c>
      <c r="F891">
        <v>68</v>
      </c>
      <c r="G891" t="s">
        <v>56</v>
      </c>
      <c r="H891" t="s">
        <v>56</v>
      </c>
      <c r="I891" t="s">
        <v>29</v>
      </c>
      <c r="J891" t="s">
        <v>12</v>
      </c>
      <c r="K891" t="s">
        <v>56</v>
      </c>
      <c r="L891" t="s">
        <v>61</v>
      </c>
      <c r="M891">
        <v>68.95</v>
      </c>
      <c r="N891">
        <v>4864.41</v>
      </c>
      <c r="O891" t="s">
        <v>58</v>
      </c>
      <c r="P891" t="s">
        <v>56</v>
      </c>
    </row>
    <row r="892" spans="1:16" x14ac:dyDescent="0.35">
      <c r="A892" t="s">
        <v>956</v>
      </c>
      <c r="B892">
        <v>64</v>
      </c>
      <c r="C892" t="s">
        <v>56</v>
      </c>
      <c r="D892" t="s">
        <v>56</v>
      </c>
      <c r="E892" t="s">
        <v>55</v>
      </c>
      <c r="F892">
        <v>39</v>
      </c>
      <c r="G892" t="s">
        <v>56</v>
      </c>
      <c r="H892" t="s">
        <v>56</v>
      </c>
      <c r="I892" t="s">
        <v>30</v>
      </c>
      <c r="J892" t="s">
        <v>13</v>
      </c>
      <c r="K892" t="s">
        <v>56</v>
      </c>
      <c r="L892" t="s">
        <v>61</v>
      </c>
      <c r="M892">
        <v>91.67</v>
      </c>
      <c r="N892">
        <v>3410.57</v>
      </c>
      <c r="O892" t="s">
        <v>76</v>
      </c>
      <c r="P892" t="s">
        <v>56</v>
      </c>
    </row>
    <row r="893" spans="1:16" x14ac:dyDescent="0.35">
      <c r="A893" t="s">
        <v>957</v>
      </c>
      <c r="B893">
        <v>37</v>
      </c>
      <c r="C893" t="s">
        <v>55</v>
      </c>
      <c r="D893" t="s">
        <v>56</v>
      </c>
      <c r="E893" t="s">
        <v>56</v>
      </c>
      <c r="F893">
        <v>48</v>
      </c>
      <c r="G893" t="s">
        <v>56</v>
      </c>
      <c r="H893" t="s">
        <v>55</v>
      </c>
      <c r="I893" t="s">
        <v>29</v>
      </c>
      <c r="J893" t="s">
        <v>12</v>
      </c>
      <c r="K893" t="s">
        <v>56</v>
      </c>
      <c r="L893" t="s">
        <v>26</v>
      </c>
      <c r="M893">
        <v>66.86</v>
      </c>
      <c r="N893">
        <v>3249.57</v>
      </c>
      <c r="O893" t="s">
        <v>69</v>
      </c>
      <c r="P893" t="s">
        <v>55</v>
      </c>
    </row>
    <row r="894" spans="1:16" x14ac:dyDescent="0.35">
      <c r="A894" t="s">
        <v>958</v>
      </c>
      <c r="B894">
        <v>36</v>
      </c>
      <c r="C894" t="s">
        <v>55</v>
      </c>
      <c r="D894" t="s">
        <v>55</v>
      </c>
      <c r="E894" t="s">
        <v>56</v>
      </c>
      <c r="F894">
        <v>53</v>
      </c>
      <c r="G894" t="s">
        <v>55</v>
      </c>
      <c r="H894" t="s">
        <v>60</v>
      </c>
      <c r="I894" t="s">
        <v>30</v>
      </c>
      <c r="J894" t="s">
        <v>13</v>
      </c>
      <c r="K894" t="s">
        <v>55</v>
      </c>
      <c r="L894" t="s">
        <v>26</v>
      </c>
      <c r="M894">
        <v>99.95</v>
      </c>
      <c r="N894">
        <v>5599.87</v>
      </c>
      <c r="O894" t="s">
        <v>62</v>
      </c>
      <c r="P894" t="s">
        <v>56</v>
      </c>
    </row>
    <row r="895" spans="1:16" x14ac:dyDescent="0.35">
      <c r="A895" t="s">
        <v>959</v>
      </c>
      <c r="B895">
        <v>32</v>
      </c>
      <c r="C895" t="s">
        <v>55</v>
      </c>
      <c r="D895" t="s">
        <v>56</v>
      </c>
      <c r="E895" t="s">
        <v>55</v>
      </c>
      <c r="F895">
        <v>29</v>
      </c>
      <c r="G895" t="s">
        <v>55</v>
      </c>
      <c r="H895" t="s">
        <v>60</v>
      </c>
      <c r="I895" t="s">
        <v>30</v>
      </c>
      <c r="J895" t="s">
        <v>13</v>
      </c>
      <c r="K895" t="s">
        <v>55</v>
      </c>
      <c r="L895" t="s">
        <v>57</v>
      </c>
      <c r="M895">
        <v>101.74</v>
      </c>
      <c r="N895">
        <v>2889.83</v>
      </c>
      <c r="O895" t="s">
        <v>58</v>
      </c>
      <c r="P895" t="s">
        <v>55</v>
      </c>
    </row>
    <row r="896" spans="1:16" x14ac:dyDescent="0.35">
      <c r="A896" t="s">
        <v>960</v>
      </c>
      <c r="B896">
        <v>18</v>
      </c>
      <c r="C896" t="s">
        <v>55</v>
      </c>
      <c r="D896" t="s">
        <v>55</v>
      </c>
      <c r="E896" t="s">
        <v>55</v>
      </c>
      <c r="F896">
        <v>41</v>
      </c>
      <c r="G896" t="s">
        <v>55</v>
      </c>
      <c r="H896" t="s">
        <v>60</v>
      </c>
      <c r="I896" t="s">
        <v>30</v>
      </c>
      <c r="J896" t="s">
        <v>12</v>
      </c>
      <c r="K896" t="s">
        <v>55</v>
      </c>
      <c r="L896" t="s">
        <v>26</v>
      </c>
      <c r="M896">
        <v>104.89</v>
      </c>
      <c r="N896">
        <v>4389.76</v>
      </c>
      <c r="O896" t="s">
        <v>80</v>
      </c>
      <c r="P896" t="s">
        <v>56</v>
      </c>
    </row>
    <row r="897" spans="1:16" x14ac:dyDescent="0.35">
      <c r="A897" t="s">
        <v>961</v>
      </c>
      <c r="B897">
        <v>60</v>
      </c>
      <c r="C897" t="s">
        <v>56</v>
      </c>
      <c r="D897" t="s">
        <v>56</v>
      </c>
      <c r="E897" t="s">
        <v>55</v>
      </c>
      <c r="F897">
        <v>72</v>
      </c>
      <c r="G897" t="s">
        <v>56</v>
      </c>
      <c r="H897" t="s">
        <v>56</v>
      </c>
      <c r="I897" t="s">
        <v>55</v>
      </c>
      <c r="J897" t="s">
        <v>14</v>
      </c>
      <c r="K897" t="s">
        <v>55</v>
      </c>
      <c r="L897" t="s">
        <v>26</v>
      </c>
      <c r="M897">
        <v>27.01</v>
      </c>
      <c r="N897">
        <v>1933.4</v>
      </c>
      <c r="O897" t="s">
        <v>62</v>
      </c>
      <c r="P897" t="s">
        <v>55</v>
      </c>
    </row>
    <row r="898" spans="1:16" x14ac:dyDescent="0.35">
      <c r="A898" t="s">
        <v>962</v>
      </c>
      <c r="B898">
        <v>57</v>
      </c>
      <c r="C898" t="s">
        <v>55</v>
      </c>
      <c r="D898" t="s">
        <v>56</v>
      </c>
      <c r="E898" t="s">
        <v>55</v>
      </c>
      <c r="F898">
        <v>56</v>
      </c>
      <c r="G898" t="s">
        <v>56</v>
      </c>
      <c r="H898" t="s">
        <v>55</v>
      </c>
      <c r="I898" t="s">
        <v>30</v>
      </c>
      <c r="J898" t="s">
        <v>12</v>
      </c>
      <c r="K898" t="s">
        <v>55</v>
      </c>
      <c r="L898" t="s">
        <v>25</v>
      </c>
      <c r="M898">
        <v>88.76</v>
      </c>
      <c r="N898">
        <v>4992.9799999999996</v>
      </c>
      <c r="O898" t="s">
        <v>66</v>
      </c>
      <c r="P898" t="s">
        <v>56</v>
      </c>
    </row>
    <row r="899" spans="1:16" x14ac:dyDescent="0.35">
      <c r="A899" t="s">
        <v>963</v>
      </c>
      <c r="B899">
        <v>25</v>
      </c>
      <c r="C899" t="s">
        <v>55</v>
      </c>
      <c r="D899" t="s">
        <v>56</v>
      </c>
      <c r="E899" t="s">
        <v>55</v>
      </c>
      <c r="F899">
        <v>28</v>
      </c>
      <c r="G899" t="s">
        <v>56</v>
      </c>
      <c r="H899" t="s">
        <v>55</v>
      </c>
      <c r="I899" t="s">
        <v>30</v>
      </c>
      <c r="J899" t="s">
        <v>12</v>
      </c>
      <c r="K899" t="s">
        <v>56</v>
      </c>
      <c r="L899" t="s">
        <v>61</v>
      </c>
      <c r="M899">
        <v>119.22</v>
      </c>
      <c r="N899">
        <v>3530</v>
      </c>
      <c r="O899" t="s">
        <v>76</v>
      </c>
      <c r="P899" t="s">
        <v>55</v>
      </c>
    </row>
    <row r="900" spans="1:16" x14ac:dyDescent="0.35">
      <c r="A900" t="s">
        <v>964</v>
      </c>
      <c r="B900">
        <v>66</v>
      </c>
      <c r="C900" t="s">
        <v>56</v>
      </c>
      <c r="D900" t="s">
        <v>56</v>
      </c>
      <c r="E900" t="s">
        <v>55</v>
      </c>
      <c r="F900">
        <v>36</v>
      </c>
      <c r="G900" t="s">
        <v>55</v>
      </c>
      <c r="H900" t="s">
        <v>60</v>
      </c>
      <c r="I900" t="s">
        <v>30</v>
      </c>
      <c r="J900" t="s">
        <v>13</v>
      </c>
      <c r="K900" t="s">
        <v>55</v>
      </c>
      <c r="L900" t="s">
        <v>57</v>
      </c>
      <c r="M900">
        <v>96.63</v>
      </c>
      <c r="N900">
        <v>3363.92</v>
      </c>
      <c r="O900" t="s">
        <v>66</v>
      </c>
      <c r="P900" t="s">
        <v>55</v>
      </c>
    </row>
    <row r="901" spans="1:16" x14ac:dyDescent="0.35">
      <c r="A901" t="s">
        <v>965</v>
      </c>
      <c r="B901">
        <v>47</v>
      </c>
      <c r="C901" t="s">
        <v>55</v>
      </c>
      <c r="D901" t="s">
        <v>55</v>
      </c>
      <c r="E901" t="s">
        <v>55</v>
      </c>
      <c r="F901">
        <v>21</v>
      </c>
      <c r="G901" t="s">
        <v>56</v>
      </c>
      <c r="H901" t="s">
        <v>55</v>
      </c>
      <c r="I901" t="s">
        <v>55</v>
      </c>
      <c r="J901" t="s">
        <v>12</v>
      </c>
      <c r="K901" t="s">
        <v>55</v>
      </c>
      <c r="L901" t="s">
        <v>61</v>
      </c>
      <c r="M901">
        <v>25.87</v>
      </c>
      <c r="N901">
        <v>555.22</v>
      </c>
      <c r="O901" t="s">
        <v>58</v>
      </c>
      <c r="P901" t="s">
        <v>56</v>
      </c>
    </row>
    <row r="902" spans="1:16" x14ac:dyDescent="0.35">
      <c r="A902" t="s">
        <v>966</v>
      </c>
      <c r="B902">
        <v>59</v>
      </c>
      <c r="C902" t="s">
        <v>55</v>
      </c>
      <c r="D902" t="s">
        <v>55</v>
      </c>
      <c r="E902" t="s">
        <v>55</v>
      </c>
      <c r="F902">
        <v>53</v>
      </c>
      <c r="G902" t="s">
        <v>56</v>
      </c>
      <c r="H902" t="s">
        <v>55</v>
      </c>
      <c r="I902" t="s">
        <v>30</v>
      </c>
      <c r="J902" t="s">
        <v>12</v>
      </c>
      <c r="K902" t="s">
        <v>56</v>
      </c>
      <c r="L902" t="s">
        <v>57</v>
      </c>
      <c r="M902">
        <v>106.61</v>
      </c>
      <c r="N902">
        <v>5952.39</v>
      </c>
      <c r="O902" t="s">
        <v>62</v>
      </c>
      <c r="P902" t="s">
        <v>56</v>
      </c>
    </row>
    <row r="903" spans="1:16" x14ac:dyDescent="0.35">
      <c r="A903" t="s">
        <v>967</v>
      </c>
      <c r="B903">
        <v>28</v>
      </c>
      <c r="C903" t="s">
        <v>55</v>
      </c>
      <c r="D903" t="s">
        <v>55</v>
      </c>
      <c r="E903" t="s">
        <v>56</v>
      </c>
      <c r="F903">
        <v>48</v>
      </c>
      <c r="G903" t="s">
        <v>55</v>
      </c>
      <c r="H903" t="s">
        <v>60</v>
      </c>
      <c r="I903" t="s">
        <v>30</v>
      </c>
      <c r="J903" t="s">
        <v>13</v>
      </c>
      <c r="K903" t="s">
        <v>56</v>
      </c>
      <c r="L903" t="s">
        <v>25</v>
      </c>
      <c r="M903">
        <v>78.069999999999993</v>
      </c>
      <c r="N903">
        <v>3688.48</v>
      </c>
      <c r="O903" t="s">
        <v>62</v>
      </c>
      <c r="P903" t="s">
        <v>55</v>
      </c>
    </row>
    <row r="904" spans="1:16" x14ac:dyDescent="0.35">
      <c r="A904" t="s">
        <v>968</v>
      </c>
      <c r="B904">
        <v>48</v>
      </c>
      <c r="C904" t="s">
        <v>55</v>
      </c>
      <c r="D904" t="s">
        <v>56</v>
      </c>
      <c r="E904" t="s">
        <v>55</v>
      </c>
      <c r="F904">
        <v>17</v>
      </c>
      <c r="G904" t="s">
        <v>56</v>
      </c>
      <c r="H904" t="s">
        <v>56</v>
      </c>
      <c r="I904" t="s">
        <v>30</v>
      </c>
      <c r="J904" t="s">
        <v>12</v>
      </c>
      <c r="K904" t="s">
        <v>56</v>
      </c>
      <c r="L904" t="s">
        <v>61</v>
      </c>
      <c r="M904">
        <v>92.18</v>
      </c>
      <c r="N904">
        <v>1518.52</v>
      </c>
      <c r="O904" t="s">
        <v>64</v>
      </c>
      <c r="P904" t="s">
        <v>56</v>
      </c>
    </row>
    <row r="905" spans="1:16" x14ac:dyDescent="0.35">
      <c r="A905" t="s">
        <v>969</v>
      </c>
      <c r="B905">
        <v>50</v>
      </c>
      <c r="C905" t="s">
        <v>55</v>
      </c>
      <c r="D905" t="s">
        <v>56</v>
      </c>
      <c r="E905" t="s">
        <v>55</v>
      </c>
      <c r="F905">
        <v>21</v>
      </c>
      <c r="G905" t="s">
        <v>56</v>
      </c>
      <c r="H905" t="s">
        <v>56</v>
      </c>
      <c r="I905" t="s">
        <v>30</v>
      </c>
      <c r="J905" t="s">
        <v>12</v>
      </c>
      <c r="K905" t="s">
        <v>55</v>
      </c>
      <c r="L905" t="s">
        <v>25</v>
      </c>
      <c r="M905">
        <v>119.78</v>
      </c>
      <c r="N905">
        <v>2624.7</v>
      </c>
      <c r="O905" t="s">
        <v>64</v>
      </c>
      <c r="P905" t="s">
        <v>56</v>
      </c>
    </row>
    <row r="906" spans="1:16" x14ac:dyDescent="0.35">
      <c r="A906" t="s">
        <v>970</v>
      </c>
      <c r="B906">
        <v>34</v>
      </c>
      <c r="C906" t="s">
        <v>55</v>
      </c>
      <c r="D906" t="s">
        <v>56</v>
      </c>
      <c r="E906" t="s">
        <v>56</v>
      </c>
      <c r="F906">
        <v>57</v>
      </c>
      <c r="G906" t="s">
        <v>56</v>
      </c>
      <c r="H906" t="s">
        <v>56</v>
      </c>
      <c r="I906" t="s">
        <v>29</v>
      </c>
      <c r="J906" t="s">
        <v>12</v>
      </c>
      <c r="K906" t="s">
        <v>56</v>
      </c>
      <c r="L906" t="s">
        <v>57</v>
      </c>
      <c r="M906">
        <v>68.66</v>
      </c>
      <c r="N906">
        <v>3919.05</v>
      </c>
      <c r="O906" t="s">
        <v>64</v>
      </c>
      <c r="P906" t="s">
        <v>55</v>
      </c>
    </row>
    <row r="907" spans="1:16" x14ac:dyDescent="0.35">
      <c r="A907" t="s">
        <v>971</v>
      </c>
      <c r="B907">
        <v>68</v>
      </c>
      <c r="C907" t="s">
        <v>56</v>
      </c>
      <c r="D907" t="s">
        <v>56</v>
      </c>
      <c r="E907" t="s">
        <v>56</v>
      </c>
      <c r="F907">
        <v>19</v>
      </c>
      <c r="G907" t="s">
        <v>56</v>
      </c>
      <c r="H907" t="s">
        <v>55</v>
      </c>
      <c r="I907" t="s">
        <v>55</v>
      </c>
      <c r="J907" t="s">
        <v>12</v>
      </c>
      <c r="K907" t="s">
        <v>55</v>
      </c>
      <c r="L907" t="s">
        <v>26</v>
      </c>
      <c r="M907">
        <v>20.92</v>
      </c>
      <c r="N907">
        <v>396.65</v>
      </c>
      <c r="O907" t="s">
        <v>76</v>
      </c>
      <c r="P907" t="s">
        <v>56</v>
      </c>
    </row>
    <row r="908" spans="1:16" x14ac:dyDescent="0.35">
      <c r="A908" t="s">
        <v>972</v>
      </c>
      <c r="B908">
        <v>59</v>
      </c>
      <c r="C908" t="s">
        <v>55</v>
      </c>
      <c r="D908" t="s">
        <v>56</v>
      </c>
      <c r="E908" t="s">
        <v>55</v>
      </c>
      <c r="F908">
        <v>63</v>
      </c>
      <c r="G908" t="s">
        <v>55</v>
      </c>
      <c r="H908" t="s">
        <v>60</v>
      </c>
      <c r="I908" t="s">
        <v>29</v>
      </c>
      <c r="J908" t="s">
        <v>12</v>
      </c>
      <c r="K908" t="s">
        <v>55</v>
      </c>
      <c r="L908" t="s">
        <v>26</v>
      </c>
      <c r="M908">
        <v>58.02</v>
      </c>
      <c r="N908">
        <v>3549.08</v>
      </c>
      <c r="O908" t="s">
        <v>80</v>
      </c>
      <c r="P908" t="s">
        <v>56</v>
      </c>
    </row>
    <row r="909" spans="1:16" x14ac:dyDescent="0.35">
      <c r="A909" t="s">
        <v>973</v>
      </c>
      <c r="B909">
        <v>66</v>
      </c>
      <c r="C909" t="s">
        <v>56</v>
      </c>
      <c r="D909" t="s">
        <v>56</v>
      </c>
      <c r="E909" t="s">
        <v>56</v>
      </c>
      <c r="F909">
        <v>67</v>
      </c>
      <c r="G909" t="s">
        <v>56</v>
      </c>
      <c r="H909" t="s">
        <v>55</v>
      </c>
      <c r="I909" t="s">
        <v>30</v>
      </c>
      <c r="J909" t="s">
        <v>13</v>
      </c>
      <c r="K909" t="s">
        <v>55</v>
      </c>
      <c r="L909" t="s">
        <v>26</v>
      </c>
      <c r="M909">
        <v>105.79</v>
      </c>
      <c r="N909">
        <v>7145.46</v>
      </c>
      <c r="O909" t="s">
        <v>69</v>
      </c>
      <c r="P909" t="s">
        <v>56</v>
      </c>
    </row>
    <row r="910" spans="1:16" x14ac:dyDescent="0.35">
      <c r="A910" t="s">
        <v>974</v>
      </c>
      <c r="B910">
        <v>46</v>
      </c>
      <c r="C910" t="s">
        <v>55</v>
      </c>
      <c r="D910" t="s">
        <v>55</v>
      </c>
      <c r="E910" t="s">
        <v>56</v>
      </c>
      <c r="F910">
        <v>17</v>
      </c>
      <c r="G910" t="s">
        <v>55</v>
      </c>
      <c r="H910" t="s">
        <v>60</v>
      </c>
      <c r="I910" t="s">
        <v>30</v>
      </c>
      <c r="J910" t="s">
        <v>14</v>
      </c>
      <c r="K910" t="s">
        <v>55</v>
      </c>
      <c r="L910" t="s">
        <v>61</v>
      </c>
      <c r="M910">
        <v>71.400000000000006</v>
      </c>
      <c r="N910">
        <v>1171.8</v>
      </c>
      <c r="O910" t="s">
        <v>58</v>
      </c>
      <c r="P910" t="s">
        <v>55</v>
      </c>
    </row>
    <row r="911" spans="1:16" x14ac:dyDescent="0.35">
      <c r="A911" t="s">
        <v>975</v>
      </c>
      <c r="B911">
        <v>18</v>
      </c>
      <c r="C911" t="s">
        <v>55</v>
      </c>
      <c r="D911" t="s">
        <v>55</v>
      </c>
      <c r="E911" t="s">
        <v>55</v>
      </c>
      <c r="F911">
        <v>66</v>
      </c>
      <c r="G911" t="s">
        <v>55</v>
      </c>
      <c r="H911" t="s">
        <v>60</v>
      </c>
      <c r="I911" t="s">
        <v>29</v>
      </c>
      <c r="J911" t="s">
        <v>12</v>
      </c>
      <c r="K911" t="s">
        <v>56</v>
      </c>
      <c r="L911" t="s">
        <v>25</v>
      </c>
      <c r="M911">
        <v>65.75</v>
      </c>
      <c r="N911">
        <v>4384.87</v>
      </c>
      <c r="O911" t="s">
        <v>58</v>
      </c>
      <c r="P911" t="s">
        <v>55</v>
      </c>
    </row>
    <row r="912" spans="1:16" x14ac:dyDescent="0.35">
      <c r="A912" t="s">
        <v>976</v>
      </c>
      <c r="B912">
        <v>41</v>
      </c>
      <c r="C912" t="s">
        <v>55</v>
      </c>
      <c r="D912" t="s">
        <v>55</v>
      </c>
      <c r="E912" t="s">
        <v>55</v>
      </c>
      <c r="F912">
        <v>22</v>
      </c>
      <c r="G912" t="s">
        <v>55</v>
      </c>
      <c r="H912" t="s">
        <v>60</v>
      </c>
      <c r="I912" t="s">
        <v>55</v>
      </c>
      <c r="J912" t="s">
        <v>12</v>
      </c>
      <c r="K912" t="s">
        <v>55</v>
      </c>
      <c r="L912" t="s">
        <v>26</v>
      </c>
      <c r="M912">
        <v>29.36</v>
      </c>
      <c r="N912">
        <v>633.70000000000005</v>
      </c>
      <c r="O912" t="s">
        <v>62</v>
      </c>
      <c r="P912" t="s">
        <v>56</v>
      </c>
    </row>
    <row r="913" spans="1:16" x14ac:dyDescent="0.35">
      <c r="A913" t="s">
        <v>977</v>
      </c>
      <c r="B913">
        <v>27</v>
      </c>
      <c r="C913" t="s">
        <v>55</v>
      </c>
      <c r="D913" t="s">
        <v>55</v>
      </c>
      <c r="E913" t="s">
        <v>56</v>
      </c>
      <c r="F913">
        <v>26</v>
      </c>
      <c r="G913" t="s">
        <v>55</v>
      </c>
      <c r="H913" t="s">
        <v>60</v>
      </c>
      <c r="I913" t="s">
        <v>30</v>
      </c>
      <c r="J913" t="s">
        <v>13</v>
      </c>
      <c r="K913" t="s">
        <v>56</v>
      </c>
      <c r="L913" t="s">
        <v>61</v>
      </c>
      <c r="M913">
        <v>112.29</v>
      </c>
      <c r="N913">
        <v>3018.72</v>
      </c>
      <c r="O913" t="s">
        <v>62</v>
      </c>
      <c r="P913" t="s">
        <v>55</v>
      </c>
    </row>
    <row r="914" spans="1:16" x14ac:dyDescent="0.35">
      <c r="A914" t="s">
        <v>978</v>
      </c>
      <c r="B914">
        <v>65</v>
      </c>
      <c r="C914" t="s">
        <v>56</v>
      </c>
      <c r="D914" t="s">
        <v>56</v>
      </c>
      <c r="E914" t="s">
        <v>55</v>
      </c>
      <c r="F914">
        <v>5</v>
      </c>
      <c r="G914" t="s">
        <v>56</v>
      </c>
      <c r="H914" t="s">
        <v>55</v>
      </c>
      <c r="I914" t="s">
        <v>30</v>
      </c>
      <c r="J914" t="s">
        <v>12</v>
      </c>
      <c r="K914" t="s">
        <v>55</v>
      </c>
      <c r="L914" t="s">
        <v>57</v>
      </c>
      <c r="M914">
        <v>96.74</v>
      </c>
      <c r="N914">
        <v>497.7</v>
      </c>
      <c r="O914" t="s">
        <v>66</v>
      </c>
      <c r="P914" t="s">
        <v>55</v>
      </c>
    </row>
    <row r="915" spans="1:16" x14ac:dyDescent="0.35">
      <c r="A915" t="s">
        <v>979</v>
      </c>
      <c r="B915">
        <v>21</v>
      </c>
      <c r="C915" t="s">
        <v>55</v>
      </c>
      <c r="D915" t="s">
        <v>55</v>
      </c>
      <c r="E915" t="s">
        <v>56</v>
      </c>
      <c r="F915">
        <v>32</v>
      </c>
      <c r="G915" t="s">
        <v>56</v>
      </c>
      <c r="H915" t="s">
        <v>55</v>
      </c>
      <c r="I915" t="s">
        <v>30</v>
      </c>
      <c r="J915" t="s">
        <v>13</v>
      </c>
      <c r="K915" t="s">
        <v>56</v>
      </c>
      <c r="L915" t="s">
        <v>26</v>
      </c>
      <c r="M915">
        <v>105.87</v>
      </c>
      <c r="N915">
        <v>3256.7</v>
      </c>
      <c r="O915" t="s">
        <v>76</v>
      </c>
      <c r="P915" t="s">
        <v>55</v>
      </c>
    </row>
    <row r="916" spans="1:16" x14ac:dyDescent="0.35">
      <c r="A916" t="s">
        <v>980</v>
      </c>
      <c r="B916">
        <v>53</v>
      </c>
      <c r="C916" t="s">
        <v>55</v>
      </c>
      <c r="D916" t="s">
        <v>55</v>
      </c>
      <c r="E916" t="s">
        <v>56</v>
      </c>
      <c r="F916">
        <v>25</v>
      </c>
      <c r="G916" t="s">
        <v>56</v>
      </c>
      <c r="H916" t="s">
        <v>55</v>
      </c>
      <c r="I916" t="s">
        <v>29</v>
      </c>
      <c r="J916" t="s">
        <v>12</v>
      </c>
      <c r="K916" t="s">
        <v>55</v>
      </c>
      <c r="L916" t="s">
        <v>26</v>
      </c>
      <c r="M916">
        <v>49.1</v>
      </c>
      <c r="N916">
        <v>1240.1199999999999</v>
      </c>
      <c r="O916" t="s">
        <v>64</v>
      </c>
      <c r="P916" t="s">
        <v>55</v>
      </c>
    </row>
    <row r="917" spans="1:16" x14ac:dyDescent="0.35">
      <c r="A917" t="s">
        <v>981</v>
      </c>
      <c r="B917">
        <v>24</v>
      </c>
      <c r="C917" t="s">
        <v>55</v>
      </c>
      <c r="D917" t="s">
        <v>56</v>
      </c>
      <c r="E917" t="s">
        <v>55</v>
      </c>
      <c r="F917">
        <v>10</v>
      </c>
      <c r="G917" t="s">
        <v>56</v>
      </c>
      <c r="H917" t="s">
        <v>55</v>
      </c>
      <c r="I917" t="s">
        <v>30</v>
      </c>
      <c r="J917" t="s">
        <v>12</v>
      </c>
      <c r="K917" t="s">
        <v>56</v>
      </c>
      <c r="L917" t="s">
        <v>57</v>
      </c>
      <c r="M917">
        <v>80.75</v>
      </c>
      <c r="N917">
        <v>806.26</v>
      </c>
      <c r="O917" t="s">
        <v>58</v>
      </c>
      <c r="P917" t="s">
        <v>55</v>
      </c>
    </row>
    <row r="918" spans="1:16" x14ac:dyDescent="0.35">
      <c r="A918" t="s">
        <v>982</v>
      </c>
      <c r="B918">
        <v>45</v>
      </c>
      <c r="C918" t="s">
        <v>55</v>
      </c>
      <c r="D918" t="s">
        <v>56</v>
      </c>
      <c r="E918" t="s">
        <v>55</v>
      </c>
      <c r="F918">
        <v>25</v>
      </c>
      <c r="G918" t="s">
        <v>55</v>
      </c>
      <c r="H918" t="s">
        <v>60</v>
      </c>
      <c r="I918" t="s">
        <v>29</v>
      </c>
      <c r="J918" t="s">
        <v>14</v>
      </c>
      <c r="K918" t="s">
        <v>55</v>
      </c>
      <c r="L918" t="s">
        <v>61</v>
      </c>
      <c r="M918">
        <v>64.05</v>
      </c>
      <c r="N918">
        <v>1599.83</v>
      </c>
      <c r="O918" t="s">
        <v>58</v>
      </c>
      <c r="P918" t="s">
        <v>55</v>
      </c>
    </row>
    <row r="919" spans="1:16" x14ac:dyDescent="0.35">
      <c r="A919" t="s">
        <v>983</v>
      </c>
      <c r="B919">
        <v>48</v>
      </c>
      <c r="C919" t="s">
        <v>55</v>
      </c>
      <c r="D919" t="s">
        <v>55</v>
      </c>
      <c r="E919" t="s">
        <v>55</v>
      </c>
      <c r="F919">
        <v>34</v>
      </c>
      <c r="G919" t="s">
        <v>56</v>
      </c>
      <c r="H919" t="s">
        <v>56</v>
      </c>
      <c r="I919" t="s">
        <v>55</v>
      </c>
      <c r="J919" t="s">
        <v>13</v>
      </c>
      <c r="K919" t="s">
        <v>55</v>
      </c>
      <c r="L919" t="s">
        <v>61</v>
      </c>
      <c r="M919">
        <v>19.34</v>
      </c>
      <c r="N919">
        <v>677.81</v>
      </c>
      <c r="O919" t="s">
        <v>80</v>
      </c>
      <c r="P919" t="s">
        <v>55</v>
      </c>
    </row>
    <row r="920" spans="1:16" x14ac:dyDescent="0.35">
      <c r="A920" t="s">
        <v>984</v>
      </c>
      <c r="B920">
        <v>38</v>
      </c>
      <c r="C920" t="s">
        <v>55</v>
      </c>
      <c r="D920" t="s">
        <v>55</v>
      </c>
      <c r="E920" t="s">
        <v>55</v>
      </c>
      <c r="F920">
        <v>21</v>
      </c>
      <c r="G920" t="s">
        <v>55</v>
      </c>
      <c r="H920" t="s">
        <v>60</v>
      </c>
      <c r="I920" t="s">
        <v>30</v>
      </c>
      <c r="J920" t="s">
        <v>13</v>
      </c>
      <c r="K920" t="s">
        <v>56</v>
      </c>
      <c r="L920" t="s">
        <v>25</v>
      </c>
      <c r="M920">
        <v>92.16</v>
      </c>
      <c r="N920">
        <v>1967.38</v>
      </c>
      <c r="O920" t="s">
        <v>62</v>
      </c>
      <c r="P920" t="s">
        <v>55</v>
      </c>
    </row>
    <row r="921" spans="1:16" x14ac:dyDescent="0.35">
      <c r="A921" t="s">
        <v>985</v>
      </c>
      <c r="B921">
        <v>30</v>
      </c>
      <c r="C921" t="s">
        <v>55</v>
      </c>
      <c r="D921" t="s">
        <v>56</v>
      </c>
      <c r="E921" t="s">
        <v>56</v>
      </c>
      <c r="F921">
        <v>28</v>
      </c>
      <c r="G921" t="s">
        <v>55</v>
      </c>
      <c r="H921" t="s">
        <v>60</v>
      </c>
      <c r="I921" t="s">
        <v>30</v>
      </c>
      <c r="J921" t="s">
        <v>12</v>
      </c>
      <c r="K921" t="s">
        <v>55</v>
      </c>
      <c r="L921" t="s">
        <v>26</v>
      </c>
      <c r="M921">
        <v>85</v>
      </c>
      <c r="N921">
        <v>2411.2800000000002</v>
      </c>
      <c r="O921" t="s">
        <v>62</v>
      </c>
      <c r="P921" t="s">
        <v>55</v>
      </c>
    </row>
    <row r="922" spans="1:16" x14ac:dyDescent="0.35">
      <c r="A922" t="s">
        <v>986</v>
      </c>
      <c r="B922">
        <v>38</v>
      </c>
      <c r="C922" t="s">
        <v>55</v>
      </c>
      <c r="D922" t="s">
        <v>56</v>
      </c>
      <c r="E922" t="s">
        <v>56</v>
      </c>
      <c r="F922">
        <v>51</v>
      </c>
      <c r="G922" t="s">
        <v>56</v>
      </c>
      <c r="H922" t="s">
        <v>55</v>
      </c>
      <c r="I922" t="s">
        <v>29</v>
      </c>
      <c r="J922" t="s">
        <v>12</v>
      </c>
      <c r="K922" t="s">
        <v>55</v>
      </c>
      <c r="L922" t="s">
        <v>61</v>
      </c>
      <c r="M922">
        <v>71.55</v>
      </c>
      <c r="N922">
        <v>3771.55</v>
      </c>
      <c r="O922" t="s">
        <v>76</v>
      </c>
      <c r="P922" t="s">
        <v>56</v>
      </c>
    </row>
    <row r="923" spans="1:16" x14ac:dyDescent="0.35">
      <c r="A923" t="s">
        <v>987</v>
      </c>
      <c r="B923">
        <v>48</v>
      </c>
      <c r="C923" t="s">
        <v>55</v>
      </c>
      <c r="D923" t="s">
        <v>55</v>
      </c>
      <c r="E923" t="s">
        <v>55</v>
      </c>
      <c r="F923">
        <v>19</v>
      </c>
      <c r="G923" t="s">
        <v>55</v>
      </c>
      <c r="H923" t="s">
        <v>60</v>
      </c>
      <c r="I923" t="s">
        <v>30</v>
      </c>
      <c r="J923" t="s">
        <v>14</v>
      </c>
      <c r="K923" t="s">
        <v>55</v>
      </c>
      <c r="L923" t="s">
        <v>57</v>
      </c>
      <c r="M923">
        <v>91.26</v>
      </c>
      <c r="N923">
        <v>1711.79</v>
      </c>
      <c r="O923" t="s">
        <v>66</v>
      </c>
      <c r="P923" t="s">
        <v>55</v>
      </c>
    </row>
    <row r="924" spans="1:16" x14ac:dyDescent="0.35">
      <c r="A924" t="s">
        <v>988</v>
      </c>
      <c r="B924">
        <v>43</v>
      </c>
      <c r="C924" t="s">
        <v>55</v>
      </c>
      <c r="D924" t="s">
        <v>56</v>
      </c>
      <c r="E924" t="s">
        <v>55</v>
      </c>
      <c r="F924">
        <v>46</v>
      </c>
      <c r="G924" t="s">
        <v>56</v>
      </c>
      <c r="H924" t="s">
        <v>55</v>
      </c>
      <c r="I924" t="s">
        <v>29</v>
      </c>
      <c r="J924" t="s">
        <v>13</v>
      </c>
      <c r="K924" t="s">
        <v>56</v>
      </c>
      <c r="L924" t="s">
        <v>61</v>
      </c>
      <c r="M924">
        <v>48.09</v>
      </c>
      <c r="N924">
        <v>2255.16</v>
      </c>
      <c r="O924" t="s">
        <v>66</v>
      </c>
      <c r="P924" t="s">
        <v>55</v>
      </c>
    </row>
    <row r="925" spans="1:16" x14ac:dyDescent="0.35">
      <c r="A925" t="s">
        <v>989</v>
      </c>
      <c r="B925">
        <v>41</v>
      </c>
      <c r="C925" t="s">
        <v>55</v>
      </c>
      <c r="D925" t="s">
        <v>56</v>
      </c>
      <c r="E925" t="s">
        <v>55</v>
      </c>
      <c r="F925">
        <v>55</v>
      </c>
      <c r="G925" t="s">
        <v>55</v>
      </c>
      <c r="H925" t="s">
        <v>60</v>
      </c>
      <c r="I925" t="s">
        <v>29</v>
      </c>
      <c r="J925" t="s">
        <v>13</v>
      </c>
      <c r="K925" t="s">
        <v>56</v>
      </c>
      <c r="L925" t="s">
        <v>61</v>
      </c>
      <c r="M925">
        <v>64.7</v>
      </c>
      <c r="N925">
        <v>3532.92</v>
      </c>
      <c r="O925" t="s">
        <v>80</v>
      </c>
      <c r="P925" t="s">
        <v>55</v>
      </c>
    </row>
    <row r="926" spans="1:16" x14ac:dyDescent="0.35">
      <c r="A926" t="s">
        <v>990</v>
      </c>
      <c r="B926">
        <v>33</v>
      </c>
      <c r="C926" t="s">
        <v>55</v>
      </c>
      <c r="D926" t="s">
        <v>56</v>
      </c>
      <c r="E926" t="s">
        <v>55</v>
      </c>
      <c r="F926">
        <v>62</v>
      </c>
      <c r="G926" t="s">
        <v>55</v>
      </c>
      <c r="H926" t="s">
        <v>60</v>
      </c>
      <c r="I926" t="s">
        <v>55</v>
      </c>
      <c r="J926" t="s">
        <v>14</v>
      </c>
      <c r="K926" t="s">
        <v>56</v>
      </c>
      <c r="L926" t="s">
        <v>61</v>
      </c>
      <c r="M926">
        <v>22.68</v>
      </c>
      <c r="N926">
        <v>1483.73</v>
      </c>
      <c r="O926" t="s">
        <v>62</v>
      </c>
      <c r="P926" t="s">
        <v>55</v>
      </c>
    </row>
    <row r="927" spans="1:16" x14ac:dyDescent="0.35">
      <c r="A927" t="s">
        <v>991</v>
      </c>
      <c r="B927">
        <v>35</v>
      </c>
      <c r="C927" t="s">
        <v>55</v>
      </c>
      <c r="D927" t="s">
        <v>55</v>
      </c>
      <c r="E927" t="s">
        <v>56</v>
      </c>
      <c r="F927">
        <v>13</v>
      </c>
      <c r="G927" t="s">
        <v>55</v>
      </c>
      <c r="H927" t="s">
        <v>60</v>
      </c>
      <c r="I927" t="s">
        <v>30</v>
      </c>
      <c r="J927" t="s">
        <v>12</v>
      </c>
      <c r="K927" t="s">
        <v>55</v>
      </c>
      <c r="L927" t="s">
        <v>57</v>
      </c>
      <c r="M927">
        <v>84.21</v>
      </c>
      <c r="N927">
        <v>1091.03</v>
      </c>
      <c r="O927" t="s">
        <v>80</v>
      </c>
      <c r="P927" t="s">
        <v>55</v>
      </c>
    </row>
    <row r="928" spans="1:16" x14ac:dyDescent="0.35">
      <c r="A928" t="s">
        <v>992</v>
      </c>
      <c r="B928">
        <v>38</v>
      </c>
      <c r="C928" t="s">
        <v>55</v>
      </c>
      <c r="D928" t="s">
        <v>55</v>
      </c>
      <c r="E928" t="s">
        <v>56</v>
      </c>
      <c r="F928">
        <v>20</v>
      </c>
      <c r="G928" t="s">
        <v>56</v>
      </c>
      <c r="H928" t="s">
        <v>55</v>
      </c>
      <c r="I928" t="s">
        <v>29</v>
      </c>
      <c r="J928" t="s">
        <v>12</v>
      </c>
      <c r="K928" t="s">
        <v>55</v>
      </c>
      <c r="L928" t="s">
        <v>57</v>
      </c>
      <c r="M928">
        <v>70.510000000000005</v>
      </c>
      <c r="N928">
        <v>1369.71</v>
      </c>
      <c r="O928" t="s">
        <v>76</v>
      </c>
      <c r="P928" t="s">
        <v>55</v>
      </c>
    </row>
    <row r="929" spans="1:16" x14ac:dyDescent="0.35">
      <c r="A929" t="s">
        <v>993</v>
      </c>
      <c r="B929">
        <v>62</v>
      </c>
      <c r="C929" t="s">
        <v>56</v>
      </c>
      <c r="D929" t="s">
        <v>56</v>
      </c>
      <c r="E929" t="s">
        <v>56</v>
      </c>
      <c r="F929">
        <v>9</v>
      </c>
      <c r="G929" t="s">
        <v>55</v>
      </c>
      <c r="H929" t="s">
        <v>60</v>
      </c>
      <c r="I929" t="s">
        <v>55</v>
      </c>
      <c r="J929" t="s">
        <v>14</v>
      </c>
      <c r="K929" t="s">
        <v>55</v>
      </c>
      <c r="L929" t="s">
        <v>25</v>
      </c>
      <c r="M929">
        <v>23.35</v>
      </c>
      <c r="N929">
        <v>219.85</v>
      </c>
      <c r="O929" t="s">
        <v>64</v>
      </c>
      <c r="P929" t="s">
        <v>56</v>
      </c>
    </row>
    <row r="930" spans="1:16" x14ac:dyDescent="0.35">
      <c r="A930" t="s">
        <v>994</v>
      </c>
      <c r="B930">
        <v>32</v>
      </c>
      <c r="C930" t="s">
        <v>55</v>
      </c>
      <c r="D930" t="s">
        <v>55</v>
      </c>
      <c r="E930" t="s">
        <v>55</v>
      </c>
      <c r="F930">
        <v>43</v>
      </c>
      <c r="G930" t="s">
        <v>55</v>
      </c>
      <c r="H930" t="s">
        <v>60</v>
      </c>
      <c r="I930" t="s">
        <v>30</v>
      </c>
      <c r="J930" t="s">
        <v>12</v>
      </c>
      <c r="K930" t="s">
        <v>56</v>
      </c>
      <c r="L930" t="s">
        <v>26</v>
      </c>
      <c r="M930">
        <v>102.11</v>
      </c>
      <c r="N930">
        <v>4352.4399999999996</v>
      </c>
      <c r="O930" t="s">
        <v>66</v>
      </c>
      <c r="P930" t="s">
        <v>55</v>
      </c>
    </row>
    <row r="931" spans="1:16" x14ac:dyDescent="0.35">
      <c r="A931" t="s">
        <v>995</v>
      </c>
      <c r="B931">
        <v>21</v>
      </c>
      <c r="C931" t="s">
        <v>55</v>
      </c>
      <c r="D931" t="s">
        <v>56</v>
      </c>
      <c r="E931" t="s">
        <v>55</v>
      </c>
      <c r="F931">
        <v>3</v>
      </c>
      <c r="G931" t="s">
        <v>56</v>
      </c>
      <c r="H931" t="s">
        <v>55</v>
      </c>
      <c r="I931" t="s">
        <v>29</v>
      </c>
      <c r="J931" t="s">
        <v>14</v>
      </c>
      <c r="K931" t="s">
        <v>55</v>
      </c>
      <c r="L931" t="s">
        <v>61</v>
      </c>
      <c r="M931">
        <v>59.68</v>
      </c>
      <c r="N931">
        <v>180.65</v>
      </c>
      <c r="O931" t="s">
        <v>69</v>
      </c>
      <c r="P931" t="s">
        <v>55</v>
      </c>
    </row>
    <row r="932" spans="1:16" x14ac:dyDescent="0.35">
      <c r="A932" t="s">
        <v>996</v>
      </c>
      <c r="B932">
        <v>22</v>
      </c>
      <c r="C932" t="s">
        <v>55</v>
      </c>
      <c r="D932" t="s">
        <v>56</v>
      </c>
      <c r="E932" t="s">
        <v>56</v>
      </c>
      <c r="F932">
        <v>69</v>
      </c>
      <c r="G932" t="s">
        <v>56</v>
      </c>
      <c r="H932" t="s">
        <v>55</v>
      </c>
      <c r="I932" t="s">
        <v>30</v>
      </c>
      <c r="J932" t="s">
        <v>12</v>
      </c>
      <c r="K932" t="s">
        <v>56</v>
      </c>
      <c r="L932" t="s">
        <v>61</v>
      </c>
      <c r="M932">
        <v>108.36</v>
      </c>
      <c r="N932">
        <v>7414.88</v>
      </c>
      <c r="O932" t="s">
        <v>64</v>
      </c>
      <c r="P932" t="s">
        <v>56</v>
      </c>
    </row>
    <row r="933" spans="1:16" x14ac:dyDescent="0.35">
      <c r="A933" t="s">
        <v>997</v>
      </c>
      <c r="B933">
        <v>74</v>
      </c>
      <c r="C933" t="s">
        <v>56</v>
      </c>
      <c r="D933" t="s">
        <v>56</v>
      </c>
      <c r="E933" t="s">
        <v>55</v>
      </c>
      <c r="F933">
        <v>10</v>
      </c>
      <c r="G933" t="s">
        <v>55</v>
      </c>
      <c r="H933" t="s">
        <v>60</v>
      </c>
      <c r="I933" t="s">
        <v>30</v>
      </c>
      <c r="J933" t="s">
        <v>12</v>
      </c>
      <c r="K933" t="s">
        <v>55</v>
      </c>
      <c r="L933" t="s">
        <v>25</v>
      </c>
      <c r="M933">
        <v>90.07</v>
      </c>
      <c r="N933">
        <v>878.41</v>
      </c>
      <c r="O933" t="s">
        <v>64</v>
      </c>
      <c r="P933" t="s">
        <v>55</v>
      </c>
    </row>
    <row r="934" spans="1:16" x14ac:dyDescent="0.35">
      <c r="A934" t="s">
        <v>998</v>
      </c>
      <c r="B934">
        <v>19</v>
      </c>
      <c r="C934" t="s">
        <v>55</v>
      </c>
      <c r="D934" t="s">
        <v>56</v>
      </c>
      <c r="E934" t="s">
        <v>56</v>
      </c>
      <c r="F934">
        <v>42</v>
      </c>
      <c r="G934" t="s">
        <v>55</v>
      </c>
      <c r="H934" t="s">
        <v>60</v>
      </c>
      <c r="I934" t="s">
        <v>30</v>
      </c>
      <c r="J934" t="s">
        <v>14</v>
      </c>
      <c r="K934" t="s">
        <v>55</v>
      </c>
      <c r="L934" t="s">
        <v>57</v>
      </c>
      <c r="M934">
        <v>102.68</v>
      </c>
      <c r="N934">
        <v>4157.4799999999996</v>
      </c>
      <c r="O934" t="s">
        <v>76</v>
      </c>
      <c r="P934" t="s">
        <v>55</v>
      </c>
    </row>
    <row r="935" spans="1:16" x14ac:dyDescent="0.35">
      <c r="A935" t="s">
        <v>999</v>
      </c>
      <c r="B935">
        <v>75</v>
      </c>
      <c r="C935" t="s">
        <v>56</v>
      </c>
      <c r="D935" t="s">
        <v>56</v>
      </c>
      <c r="E935" t="s">
        <v>56</v>
      </c>
      <c r="F935">
        <v>19</v>
      </c>
      <c r="G935" t="s">
        <v>56</v>
      </c>
      <c r="H935" t="s">
        <v>56</v>
      </c>
      <c r="I935" t="s">
        <v>30</v>
      </c>
      <c r="J935" t="s">
        <v>12</v>
      </c>
      <c r="K935" t="s">
        <v>56</v>
      </c>
      <c r="L935" t="s">
        <v>61</v>
      </c>
      <c r="M935">
        <v>97</v>
      </c>
      <c r="N935">
        <v>1943.55</v>
      </c>
      <c r="O935" t="s">
        <v>76</v>
      </c>
      <c r="P935" t="s">
        <v>56</v>
      </c>
    </row>
    <row r="936" spans="1:16" x14ac:dyDescent="0.35">
      <c r="A936" t="s">
        <v>1000</v>
      </c>
      <c r="B936">
        <v>32</v>
      </c>
      <c r="C936" t="s">
        <v>55</v>
      </c>
      <c r="D936" t="s">
        <v>56</v>
      </c>
      <c r="E936" t="s">
        <v>56</v>
      </c>
      <c r="F936">
        <v>39</v>
      </c>
      <c r="G936" t="s">
        <v>55</v>
      </c>
      <c r="H936" t="s">
        <v>60</v>
      </c>
      <c r="I936" t="s">
        <v>30</v>
      </c>
      <c r="J936" t="s">
        <v>12</v>
      </c>
      <c r="K936" t="s">
        <v>56</v>
      </c>
      <c r="L936" t="s">
        <v>61</v>
      </c>
      <c r="M936">
        <v>71.36</v>
      </c>
      <c r="N936">
        <v>2909.16</v>
      </c>
      <c r="O936" t="s">
        <v>80</v>
      </c>
      <c r="P936" t="s">
        <v>55</v>
      </c>
    </row>
    <row r="937" spans="1:16" x14ac:dyDescent="0.35">
      <c r="A937" t="s">
        <v>1001</v>
      </c>
      <c r="B937">
        <v>71</v>
      </c>
      <c r="C937" t="s">
        <v>56</v>
      </c>
      <c r="D937" t="s">
        <v>55</v>
      </c>
      <c r="E937" t="s">
        <v>56</v>
      </c>
      <c r="F937">
        <v>57</v>
      </c>
      <c r="G937" t="s">
        <v>56</v>
      </c>
      <c r="H937" t="s">
        <v>55</v>
      </c>
      <c r="I937" t="s">
        <v>55</v>
      </c>
      <c r="J937" t="s">
        <v>12</v>
      </c>
      <c r="K937" t="s">
        <v>55</v>
      </c>
      <c r="L937" t="s">
        <v>26</v>
      </c>
      <c r="M937">
        <v>27.25</v>
      </c>
      <c r="N937">
        <v>1570.07</v>
      </c>
      <c r="O937" t="s">
        <v>62</v>
      </c>
      <c r="P937" t="s">
        <v>56</v>
      </c>
    </row>
    <row r="938" spans="1:16" x14ac:dyDescent="0.35">
      <c r="A938" t="s">
        <v>1002</v>
      </c>
      <c r="B938">
        <v>50</v>
      </c>
      <c r="C938" t="s">
        <v>55</v>
      </c>
      <c r="D938" t="s">
        <v>56</v>
      </c>
      <c r="E938" t="s">
        <v>56</v>
      </c>
      <c r="F938">
        <v>27</v>
      </c>
      <c r="G938" t="s">
        <v>55</v>
      </c>
      <c r="H938" t="s">
        <v>60</v>
      </c>
      <c r="I938" t="s">
        <v>30</v>
      </c>
      <c r="J938" t="s">
        <v>13</v>
      </c>
      <c r="K938" t="s">
        <v>55</v>
      </c>
      <c r="L938" t="s">
        <v>61</v>
      </c>
      <c r="M938">
        <v>85.84</v>
      </c>
      <c r="N938">
        <v>2231.7399999999998</v>
      </c>
      <c r="O938" t="s">
        <v>66</v>
      </c>
      <c r="P938" t="s">
        <v>55</v>
      </c>
    </row>
    <row r="939" spans="1:16" x14ac:dyDescent="0.35">
      <c r="A939" t="s">
        <v>1003</v>
      </c>
      <c r="B939">
        <v>50</v>
      </c>
      <c r="C939" t="s">
        <v>55</v>
      </c>
      <c r="D939" t="s">
        <v>55</v>
      </c>
      <c r="E939" t="s">
        <v>55</v>
      </c>
      <c r="F939">
        <v>33</v>
      </c>
      <c r="G939" t="s">
        <v>55</v>
      </c>
      <c r="H939" t="s">
        <v>60</v>
      </c>
      <c r="I939" t="s">
        <v>29</v>
      </c>
      <c r="J939" t="s">
        <v>12</v>
      </c>
      <c r="K939" t="s">
        <v>55</v>
      </c>
      <c r="L939" t="s">
        <v>61</v>
      </c>
      <c r="M939">
        <v>56.01</v>
      </c>
      <c r="N939">
        <v>1927.62</v>
      </c>
      <c r="O939" t="s">
        <v>76</v>
      </c>
      <c r="P939" t="s">
        <v>55</v>
      </c>
    </row>
    <row r="940" spans="1:16" x14ac:dyDescent="0.35">
      <c r="A940" t="s">
        <v>1004</v>
      </c>
      <c r="B940">
        <v>71</v>
      </c>
      <c r="C940" t="s">
        <v>56</v>
      </c>
      <c r="D940" t="s">
        <v>56</v>
      </c>
      <c r="E940" t="s">
        <v>55</v>
      </c>
      <c r="F940">
        <v>39</v>
      </c>
      <c r="G940" t="s">
        <v>56</v>
      </c>
      <c r="H940" t="s">
        <v>55</v>
      </c>
      <c r="I940" t="s">
        <v>30</v>
      </c>
      <c r="J940" t="s">
        <v>14</v>
      </c>
      <c r="K940" t="s">
        <v>55</v>
      </c>
      <c r="L940" t="s">
        <v>26</v>
      </c>
      <c r="M940">
        <v>118.21</v>
      </c>
      <c r="N940">
        <v>4737.2299999999996</v>
      </c>
      <c r="O940" t="s">
        <v>80</v>
      </c>
      <c r="P940" t="s">
        <v>55</v>
      </c>
    </row>
    <row r="941" spans="1:16" x14ac:dyDescent="0.35">
      <c r="A941" t="s">
        <v>1005</v>
      </c>
      <c r="B941">
        <v>27</v>
      </c>
      <c r="C941" t="s">
        <v>55</v>
      </c>
      <c r="D941" t="s">
        <v>56</v>
      </c>
      <c r="E941" t="s">
        <v>56</v>
      </c>
      <c r="F941">
        <v>2</v>
      </c>
      <c r="G941" t="s">
        <v>56</v>
      </c>
      <c r="H941" t="s">
        <v>56</v>
      </c>
      <c r="I941" t="s">
        <v>30</v>
      </c>
      <c r="J941" t="s">
        <v>12</v>
      </c>
      <c r="K941" t="s">
        <v>56</v>
      </c>
      <c r="L941" t="s">
        <v>26</v>
      </c>
      <c r="M941">
        <v>110.12</v>
      </c>
      <c r="N941">
        <v>229.92</v>
      </c>
      <c r="O941" t="s">
        <v>76</v>
      </c>
      <c r="P941" t="s">
        <v>56</v>
      </c>
    </row>
    <row r="942" spans="1:16" x14ac:dyDescent="0.35">
      <c r="A942" t="s">
        <v>1006</v>
      </c>
      <c r="B942">
        <v>57</v>
      </c>
      <c r="C942" t="s">
        <v>55</v>
      </c>
      <c r="D942" t="s">
        <v>55</v>
      </c>
      <c r="E942" t="s">
        <v>56</v>
      </c>
      <c r="F942">
        <v>54</v>
      </c>
      <c r="G942" t="s">
        <v>56</v>
      </c>
      <c r="H942" t="s">
        <v>55</v>
      </c>
      <c r="I942" t="s">
        <v>30</v>
      </c>
      <c r="J942" t="s">
        <v>14</v>
      </c>
      <c r="K942" t="s">
        <v>56</v>
      </c>
      <c r="L942" t="s">
        <v>57</v>
      </c>
      <c r="M942">
        <v>116.25</v>
      </c>
      <c r="N942">
        <v>6493.36</v>
      </c>
      <c r="O942" t="s">
        <v>62</v>
      </c>
      <c r="P942" t="s">
        <v>56</v>
      </c>
    </row>
    <row r="943" spans="1:16" x14ac:dyDescent="0.35">
      <c r="A943" t="s">
        <v>1007</v>
      </c>
      <c r="B943">
        <v>37</v>
      </c>
      <c r="C943" t="s">
        <v>55</v>
      </c>
      <c r="D943" t="s">
        <v>55</v>
      </c>
      <c r="E943" t="s">
        <v>55</v>
      </c>
      <c r="F943">
        <v>34</v>
      </c>
      <c r="G943" t="s">
        <v>56</v>
      </c>
      <c r="H943" t="s">
        <v>55</v>
      </c>
      <c r="I943" t="s">
        <v>29</v>
      </c>
      <c r="J943" t="s">
        <v>12</v>
      </c>
      <c r="K943" t="s">
        <v>55</v>
      </c>
      <c r="L943" t="s">
        <v>26</v>
      </c>
      <c r="M943">
        <v>74.88</v>
      </c>
      <c r="N943">
        <v>2672.27</v>
      </c>
      <c r="O943" t="s">
        <v>64</v>
      </c>
      <c r="P943" t="s">
        <v>56</v>
      </c>
    </row>
    <row r="944" spans="1:16" x14ac:dyDescent="0.35">
      <c r="A944" t="s">
        <v>1008</v>
      </c>
      <c r="B944">
        <v>66</v>
      </c>
      <c r="C944" t="s">
        <v>56</v>
      </c>
      <c r="D944" t="s">
        <v>56</v>
      </c>
      <c r="E944" t="s">
        <v>56</v>
      </c>
      <c r="F944">
        <v>13</v>
      </c>
      <c r="G944" t="s">
        <v>56</v>
      </c>
      <c r="H944" t="s">
        <v>56</v>
      </c>
      <c r="I944" t="s">
        <v>30</v>
      </c>
      <c r="J944" t="s">
        <v>14</v>
      </c>
      <c r="K944" t="s">
        <v>56</v>
      </c>
      <c r="L944" t="s">
        <v>25</v>
      </c>
      <c r="M944">
        <v>93.22</v>
      </c>
      <c r="N944">
        <v>1199.51</v>
      </c>
      <c r="O944" t="s">
        <v>64</v>
      </c>
      <c r="P944" t="s">
        <v>55</v>
      </c>
    </row>
    <row r="945" spans="1:16" x14ac:dyDescent="0.35">
      <c r="A945" t="s">
        <v>1009</v>
      </c>
      <c r="B945">
        <v>26</v>
      </c>
      <c r="C945" t="s">
        <v>55</v>
      </c>
      <c r="D945" t="s">
        <v>56</v>
      </c>
      <c r="E945" t="s">
        <v>55</v>
      </c>
      <c r="F945">
        <v>61</v>
      </c>
      <c r="G945" t="s">
        <v>55</v>
      </c>
      <c r="H945" t="s">
        <v>60</v>
      </c>
      <c r="I945" t="s">
        <v>29</v>
      </c>
      <c r="J945" t="s">
        <v>12</v>
      </c>
      <c r="K945" t="s">
        <v>55</v>
      </c>
      <c r="L945" t="s">
        <v>25</v>
      </c>
      <c r="M945">
        <v>66.739999999999995</v>
      </c>
      <c r="N945">
        <v>3873.97</v>
      </c>
      <c r="O945" t="s">
        <v>66</v>
      </c>
      <c r="P945" t="s">
        <v>55</v>
      </c>
    </row>
    <row r="946" spans="1:16" x14ac:dyDescent="0.35">
      <c r="A946" t="s">
        <v>1010</v>
      </c>
      <c r="B946">
        <v>72</v>
      </c>
      <c r="C946" t="s">
        <v>56</v>
      </c>
      <c r="D946" t="s">
        <v>56</v>
      </c>
      <c r="E946" t="s">
        <v>56</v>
      </c>
      <c r="F946">
        <v>29</v>
      </c>
      <c r="G946" t="s">
        <v>56</v>
      </c>
      <c r="H946" t="s">
        <v>56</v>
      </c>
      <c r="I946" t="s">
        <v>29</v>
      </c>
      <c r="J946" t="s">
        <v>12</v>
      </c>
      <c r="K946" t="s">
        <v>56</v>
      </c>
      <c r="L946" t="s">
        <v>61</v>
      </c>
      <c r="M946">
        <v>51.29</v>
      </c>
      <c r="N946">
        <v>1507.94</v>
      </c>
      <c r="O946" t="s">
        <v>76</v>
      </c>
      <c r="P946" t="s">
        <v>56</v>
      </c>
    </row>
    <row r="947" spans="1:16" x14ac:dyDescent="0.35">
      <c r="A947" t="s">
        <v>1011</v>
      </c>
      <c r="B947">
        <v>29</v>
      </c>
      <c r="C947" t="s">
        <v>55</v>
      </c>
      <c r="D947" t="s">
        <v>55</v>
      </c>
      <c r="E947" t="s">
        <v>55</v>
      </c>
      <c r="F947">
        <v>60</v>
      </c>
      <c r="G947" t="s">
        <v>55</v>
      </c>
      <c r="H947" t="s">
        <v>60</v>
      </c>
      <c r="I947" t="s">
        <v>29</v>
      </c>
      <c r="J947" t="s">
        <v>13</v>
      </c>
      <c r="K947" t="s">
        <v>56</v>
      </c>
      <c r="L947" t="s">
        <v>26</v>
      </c>
      <c r="M947">
        <v>54.99</v>
      </c>
      <c r="N947">
        <v>3158.93</v>
      </c>
      <c r="O947" t="s">
        <v>66</v>
      </c>
      <c r="P947" t="s">
        <v>55</v>
      </c>
    </row>
    <row r="948" spans="1:16" x14ac:dyDescent="0.35">
      <c r="A948" t="s">
        <v>1012</v>
      </c>
      <c r="B948">
        <v>20</v>
      </c>
      <c r="C948" t="s">
        <v>55</v>
      </c>
      <c r="D948" t="s">
        <v>55</v>
      </c>
      <c r="E948" t="s">
        <v>56</v>
      </c>
      <c r="F948">
        <v>26</v>
      </c>
      <c r="G948" t="s">
        <v>56</v>
      </c>
      <c r="H948" t="s">
        <v>56</v>
      </c>
      <c r="I948" t="s">
        <v>55</v>
      </c>
      <c r="J948" t="s">
        <v>12</v>
      </c>
      <c r="K948" t="s">
        <v>56</v>
      </c>
      <c r="L948" t="s">
        <v>26</v>
      </c>
      <c r="M948">
        <v>21.87</v>
      </c>
      <c r="N948">
        <v>573.54</v>
      </c>
      <c r="O948" t="s">
        <v>76</v>
      </c>
      <c r="P948" t="s">
        <v>55</v>
      </c>
    </row>
    <row r="949" spans="1:16" x14ac:dyDescent="0.35">
      <c r="A949" t="s">
        <v>1013</v>
      </c>
      <c r="B949">
        <v>30</v>
      </c>
      <c r="C949" t="s">
        <v>55</v>
      </c>
      <c r="D949" t="s">
        <v>55</v>
      </c>
      <c r="E949" t="s">
        <v>55</v>
      </c>
      <c r="F949">
        <v>28</v>
      </c>
      <c r="G949" t="s">
        <v>55</v>
      </c>
      <c r="H949" t="s">
        <v>60</v>
      </c>
      <c r="I949" t="s">
        <v>29</v>
      </c>
      <c r="J949" t="s">
        <v>12</v>
      </c>
      <c r="K949" t="s">
        <v>56</v>
      </c>
      <c r="L949" t="s">
        <v>61</v>
      </c>
      <c r="M949">
        <v>66.22</v>
      </c>
      <c r="N949">
        <v>1857.38</v>
      </c>
      <c r="O949" t="s">
        <v>62</v>
      </c>
      <c r="P949" t="s">
        <v>55</v>
      </c>
    </row>
    <row r="950" spans="1:16" x14ac:dyDescent="0.35">
      <c r="A950" t="s">
        <v>1014</v>
      </c>
      <c r="B950">
        <v>34</v>
      </c>
      <c r="C950" t="s">
        <v>55</v>
      </c>
      <c r="D950" t="s">
        <v>55</v>
      </c>
      <c r="E950" t="s">
        <v>55</v>
      </c>
      <c r="F950">
        <v>71</v>
      </c>
      <c r="G950" t="s">
        <v>56</v>
      </c>
      <c r="H950" t="s">
        <v>55</v>
      </c>
      <c r="I950" t="s">
        <v>29</v>
      </c>
      <c r="J950" t="s">
        <v>12</v>
      </c>
      <c r="K950" t="s">
        <v>55</v>
      </c>
      <c r="L950" t="s">
        <v>26</v>
      </c>
      <c r="M950">
        <v>54.62</v>
      </c>
      <c r="N950">
        <v>3944.24</v>
      </c>
      <c r="O950" t="s">
        <v>62</v>
      </c>
      <c r="P950" t="s">
        <v>55</v>
      </c>
    </row>
    <row r="951" spans="1:16" x14ac:dyDescent="0.35">
      <c r="A951" t="s">
        <v>1015</v>
      </c>
      <c r="B951">
        <v>24</v>
      </c>
      <c r="C951" t="s">
        <v>55</v>
      </c>
      <c r="D951" t="s">
        <v>56</v>
      </c>
      <c r="E951" t="s">
        <v>55</v>
      </c>
      <c r="F951">
        <v>15</v>
      </c>
      <c r="G951" t="s">
        <v>55</v>
      </c>
      <c r="H951" t="s">
        <v>60</v>
      </c>
      <c r="I951" t="s">
        <v>30</v>
      </c>
      <c r="J951" t="s">
        <v>12</v>
      </c>
      <c r="K951" t="s">
        <v>55</v>
      </c>
      <c r="L951" t="s">
        <v>26</v>
      </c>
      <c r="M951">
        <v>91.81</v>
      </c>
      <c r="N951">
        <v>1457.19</v>
      </c>
      <c r="O951" t="s">
        <v>66</v>
      </c>
      <c r="P951" t="s">
        <v>56</v>
      </c>
    </row>
    <row r="952" spans="1:16" x14ac:dyDescent="0.35">
      <c r="A952" t="s">
        <v>1016</v>
      </c>
      <c r="B952">
        <v>50</v>
      </c>
      <c r="C952" t="s">
        <v>55</v>
      </c>
      <c r="D952" t="s">
        <v>56</v>
      </c>
      <c r="E952" t="s">
        <v>55</v>
      </c>
      <c r="F952">
        <v>66</v>
      </c>
      <c r="G952" t="s">
        <v>56</v>
      </c>
      <c r="H952" t="s">
        <v>55</v>
      </c>
      <c r="I952" t="s">
        <v>30</v>
      </c>
      <c r="J952" t="s">
        <v>12</v>
      </c>
      <c r="K952" t="s">
        <v>55</v>
      </c>
      <c r="L952" t="s">
        <v>57</v>
      </c>
      <c r="M952">
        <v>109</v>
      </c>
      <c r="N952">
        <v>7248.29</v>
      </c>
      <c r="O952" t="s">
        <v>80</v>
      </c>
      <c r="P952" t="s">
        <v>55</v>
      </c>
    </row>
    <row r="953" spans="1:16" x14ac:dyDescent="0.35">
      <c r="A953" t="s">
        <v>1017</v>
      </c>
      <c r="B953">
        <v>69</v>
      </c>
      <c r="C953" t="s">
        <v>56</v>
      </c>
      <c r="D953" t="s">
        <v>55</v>
      </c>
      <c r="E953" t="s">
        <v>56</v>
      </c>
      <c r="F953">
        <v>68</v>
      </c>
      <c r="G953" t="s">
        <v>56</v>
      </c>
      <c r="H953" t="s">
        <v>56</v>
      </c>
      <c r="I953" t="s">
        <v>30</v>
      </c>
      <c r="J953" t="s">
        <v>12</v>
      </c>
      <c r="K953" t="s">
        <v>56</v>
      </c>
      <c r="L953" t="s">
        <v>61</v>
      </c>
      <c r="M953">
        <v>107.56</v>
      </c>
      <c r="N953">
        <v>7008.69</v>
      </c>
      <c r="O953" t="s">
        <v>58</v>
      </c>
      <c r="P953" t="s">
        <v>55</v>
      </c>
    </row>
    <row r="954" spans="1:16" x14ac:dyDescent="0.35">
      <c r="A954" t="s">
        <v>1018</v>
      </c>
      <c r="B954">
        <v>45</v>
      </c>
      <c r="C954" t="s">
        <v>55</v>
      </c>
      <c r="D954" t="s">
        <v>56</v>
      </c>
      <c r="E954" t="s">
        <v>55</v>
      </c>
      <c r="F954">
        <v>7</v>
      </c>
      <c r="G954" t="s">
        <v>55</v>
      </c>
      <c r="H954" t="s">
        <v>60</v>
      </c>
      <c r="I954" t="s">
        <v>55</v>
      </c>
      <c r="J954" t="s">
        <v>12</v>
      </c>
      <c r="K954" t="s">
        <v>55</v>
      </c>
      <c r="L954" t="s">
        <v>25</v>
      </c>
      <c r="M954">
        <v>23.62</v>
      </c>
      <c r="N954">
        <v>158.12</v>
      </c>
      <c r="O954" t="s">
        <v>80</v>
      </c>
      <c r="P954" t="s">
        <v>55</v>
      </c>
    </row>
    <row r="955" spans="1:16" x14ac:dyDescent="0.35">
      <c r="A955" t="s">
        <v>1019</v>
      </c>
      <c r="B955">
        <v>22</v>
      </c>
      <c r="C955" t="s">
        <v>55</v>
      </c>
      <c r="D955" t="s">
        <v>55</v>
      </c>
      <c r="E955" t="s">
        <v>55</v>
      </c>
      <c r="F955">
        <v>27</v>
      </c>
      <c r="G955" t="s">
        <v>56</v>
      </c>
      <c r="H955" t="s">
        <v>56</v>
      </c>
      <c r="I955" t="s">
        <v>55</v>
      </c>
      <c r="J955" t="s">
        <v>12</v>
      </c>
      <c r="K955" t="s">
        <v>56</v>
      </c>
      <c r="L955" t="s">
        <v>57</v>
      </c>
      <c r="M955">
        <v>19.920000000000002</v>
      </c>
      <c r="N955">
        <v>568.30999999999995</v>
      </c>
      <c r="O955" t="s">
        <v>62</v>
      </c>
      <c r="P955" t="s">
        <v>55</v>
      </c>
    </row>
    <row r="956" spans="1:16" x14ac:dyDescent="0.35">
      <c r="A956" t="s">
        <v>1020</v>
      </c>
      <c r="B956">
        <v>43</v>
      </c>
      <c r="C956" t="s">
        <v>55</v>
      </c>
      <c r="D956" t="s">
        <v>56</v>
      </c>
      <c r="E956" t="s">
        <v>55</v>
      </c>
      <c r="F956">
        <v>51</v>
      </c>
      <c r="G956" t="s">
        <v>56</v>
      </c>
      <c r="H956" t="s">
        <v>55</v>
      </c>
      <c r="I956" t="s">
        <v>29</v>
      </c>
      <c r="J956" t="s">
        <v>12</v>
      </c>
      <c r="K956" t="s">
        <v>55</v>
      </c>
      <c r="L956" t="s">
        <v>26</v>
      </c>
      <c r="M956">
        <v>56.06</v>
      </c>
      <c r="N956">
        <v>2936.59</v>
      </c>
      <c r="O956" t="s">
        <v>69</v>
      </c>
      <c r="P956" t="s">
        <v>55</v>
      </c>
    </row>
    <row r="957" spans="1:16" x14ac:dyDescent="0.35">
      <c r="A957" t="s">
        <v>1021</v>
      </c>
      <c r="B957">
        <v>27</v>
      </c>
      <c r="C957" t="s">
        <v>55</v>
      </c>
      <c r="D957" t="s">
        <v>56</v>
      </c>
      <c r="E957" t="s">
        <v>55</v>
      </c>
      <c r="F957">
        <v>19</v>
      </c>
      <c r="G957" t="s">
        <v>55</v>
      </c>
      <c r="H957" t="s">
        <v>60</v>
      </c>
      <c r="I957" t="s">
        <v>29</v>
      </c>
      <c r="J957" t="s">
        <v>12</v>
      </c>
      <c r="K957" t="s">
        <v>56</v>
      </c>
      <c r="L957" t="s">
        <v>57</v>
      </c>
      <c r="M957">
        <v>60.97</v>
      </c>
      <c r="N957">
        <v>1196.19</v>
      </c>
      <c r="O957" t="s">
        <v>62</v>
      </c>
      <c r="P957" t="s">
        <v>55</v>
      </c>
    </row>
    <row r="958" spans="1:16" x14ac:dyDescent="0.35">
      <c r="A958" t="s">
        <v>1022</v>
      </c>
      <c r="B958">
        <v>60</v>
      </c>
      <c r="C958" t="s">
        <v>56</v>
      </c>
      <c r="D958" t="s">
        <v>55</v>
      </c>
      <c r="E958" t="s">
        <v>55</v>
      </c>
      <c r="F958">
        <v>16</v>
      </c>
      <c r="G958" t="s">
        <v>55</v>
      </c>
      <c r="H958" t="s">
        <v>60</v>
      </c>
      <c r="I958" t="s">
        <v>29</v>
      </c>
      <c r="J958" t="s">
        <v>12</v>
      </c>
      <c r="K958" t="s">
        <v>55</v>
      </c>
      <c r="L958" t="s">
        <v>25</v>
      </c>
      <c r="M958">
        <v>77.98</v>
      </c>
      <c r="N958">
        <v>1178.95</v>
      </c>
      <c r="O958" t="s">
        <v>76</v>
      </c>
      <c r="P958" t="s">
        <v>55</v>
      </c>
    </row>
    <row r="959" spans="1:16" x14ac:dyDescent="0.35">
      <c r="A959" t="s">
        <v>1023</v>
      </c>
      <c r="B959">
        <v>25</v>
      </c>
      <c r="C959" t="s">
        <v>55</v>
      </c>
      <c r="D959" t="s">
        <v>55</v>
      </c>
      <c r="E959" t="s">
        <v>55</v>
      </c>
      <c r="F959">
        <v>22</v>
      </c>
      <c r="G959" t="s">
        <v>55</v>
      </c>
      <c r="H959" t="s">
        <v>60</v>
      </c>
      <c r="I959" t="s">
        <v>55</v>
      </c>
      <c r="J959" t="s">
        <v>13</v>
      </c>
      <c r="K959" t="s">
        <v>56</v>
      </c>
      <c r="L959" t="s">
        <v>57</v>
      </c>
      <c r="M959">
        <v>19.059999999999999</v>
      </c>
      <c r="N959">
        <v>430.98</v>
      </c>
      <c r="O959" t="s">
        <v>66</v>
      </c>
      <c r="P959" t="s">
        <v>55</v>
      </c>
    </row>
    <row r="960" spans="1:16" x14ac:dyDescent="0.35">
      <c r="A960" t="s">
        <v>1024</v>
      </c>
      <c r="B960">
        <v>41</v>
      </c>
      <c r="C960" t="s">
        <v>55</v>
      </c>
      <c r="D960" t="s">
        <v>56</v>
      </c>
      <c r="E960" t="s">
        <v>55</v>
      </c>
      <c r="F960">
        <v>56</v>
      </c>
      <c r="G960" t="s">
        <v>56</v>
      </c>
      <c r="H960" t="s">
        <v>55</v>
      </c>
      <c r="I960" t="s">
        <v>30</v>
      </c>
      <c r="J960" t="s">
        <v>12</v>
      </c>
      <c r="K960" t="s">
        <v>55</v>
      </c>
      <c r="L960" t="s">
        <v>25</v>
      </c>
      <c r="M960">
        <v>102.01</v>
      </c>
      <c r="N960">
        <v>5595.22</v>
      </c>
      <c r="O960" t="s">
        <v>76</v>
      </c>
      <c r="P960" t="s">
        <v>55</v>
      </c>
    </row>
    <row r="961" spans="1:16" x14ac:dyDescent="0.35">
      <c r="A961" t="s">
        <v>1025</v>
      </c>
      <c r="B961">
        <v>40</v>
      </c>
      <c r="C961" t="s">
        <v>55</v>
      </c>
      <c r="D961" t="s">
        <v>56</v>
      </c>
      <c r="E961" t="s">
        <v>56</v>
      </c>
      <c r="F961">
        <v>13</v>
      </c>
      <c r="G961" t="s">
        <v>55</v>
      </c>
      <c r="H961" t="s">
        <v>60</v>
      </c>
      <c r="I961" t="s">
        <v>29</v>
      </c>
      <c r="J961" t="s">
        <v>12</v>
      </c>
      <c r="K961" t="s">
        <v>55</v>
      </c>
      <c r="L961" t="s">
        <v>26</v>
      </c>
      <c r="M961">
        <v>57.35</v>
      </c>
      <c r="N961">
        <v>724.59</v>
      </c>
      <c r="O961" t="s">
        <v>66</v>
      </c>
      <c r="P961" t="s">
        <v>55</v>
      </c>
    </row>
    <row r="962" spans="1:16" x14ac:dyDescent="0.35">
      <c r="A962" t="s">
        <v>1026</v>
      </c>
      <c r="B962">
        <v>63</v>
      </c>
      <c r="C962" t="s">
        <v>56</v>
      </c>
      <c r="D962" t="s">
        <v>55</v>
      </c>
      <c r="E962" t="s">
        <v>55</v>
      </c>
      <c r="F962">
        <v>67</v>
      </c>
      <c r="G962" t="s">
        <v>55</v>
      </c>
      <c r="H962" t="s">
        <v>60</v>
      </c>
      <c r="I962" t="s">
        <v>55</v>
      </c>
      <c r="J962" t="s">
        <v>12</v>
      </c>
      <c r="K962" t="s">
        <v>56</v>
      </c>
      <c r="L962" t="s">
        <v>57</v>
      </c>
      <c r="M962">
        <v>27.52</v>
      </c>
      <c r="N962">
        <v>1944.31</v>
      </c>
      <c r="O962" t="s">
        <v>80</v>
      </c>
      <c r="P962" t="s">
        <v>55</v>
      </c>
    </row>
    <row r="963" spans="1:16" x14ac:dyDescent="0.35">
      <c r="A963" t="s">
        <v>1027</v>
      </c>
      <c r="B963">
        <v>66</v>
      </c>
      <c r="C963" t="s">
        <v>56</v>
      </c>
      <c r="D963" t="s">
        <v>56</v>
      </c>
      <c r="E963" t="s">
        <v>55</v>
      </c>
      <c r="F963">
        <v>54</v>
      </c>
      <c r="G963" t="s">
        <v>56</v>
      </c>
      <c r="H963" t="s">
        <v>56</v>
      </c>
      <c r="I963" t="s">
        <v>55</v>
      </c>
      <c r="J963" t="s">
        <v>13</v>
      </c>
      <c r="K963" t="s">
        <v>55</v>
      </c>
      <c r="L963" t="s">
        <v>57</v>
      </c>
      <c r="M963">
        <v>24.27</v>
      </c>
      <c r="N963">
        <v>1379.81</v>
      </c>
      <c r="O963" t="s">
        <v>69</v>
      </c>
      <c r="P963" t="s">
        <v>55</v>
      </c>
    </row>
    <row r="964" spans="1:16" x14ac:dyDescent="0.35">
      <c r="A964" t="s">
        <v>1028</v>
      </c>
      <c r="B964">
        <v>65</v>
      </c>
      <c r="C964" t="s">
        <v>56</v>
      </c>
      <c r="D964" t="s">
        <v>55</v>
      </c>
      <c r="E964" t="s">
        <v>56</v>
      </c>
      <c r="F964">
        <v>28</v>
      </c>
      <c r="G964" t="s">
        <v>56</v>
      </c>
      <c r="H964" t="s">
        <v>55</v>
      </c>
      <c r="I964" t="s">
        <v>29</v>
      </c>
      <c r="J964" t="s">
        <v>12</v>
      </c>
      <c r="K964" t="s">
        <v>55</v>
      </c>
      <c r="L964" t="s">
        <v>25</v>
      </c>
      <c r="M964">
        <v>72.08</v>
      </c>
      <c r="N964">
        <v>2073.7199999999998</v>
      </c>
      <c r="O964" t="s">
        <v>76</v>
      </c>
      <c r="P964" t="s">
        <v>55</v>
      </c>
    </row>
    <row r="965" spans="1:16" x14ac:dyDescent="0.35">
      <c r="A965" t="s">
        <v>1029</v>
      </c>
      <c r="B965">
        <v>40</v>
      </c>
      <c r="C965" t="s">
        <v>55</v>
      </c>
      <c r="D965" t="s">
        <v>55</v>
      </c>
      <c r="E965" t="s">
        <v>55</v>
      </c>
      <c r="F965">
        <v>32</v>
      </c>
      <c r="G965" t="s">
        <v>56</v>
      </c>
      <c r="H965" t="s">
        <v>56</v>
      </c>
      <c r="I965" t="s">
        <v>30</v>
      </c>
      <c r="J965" t="s">
        <v>13</v>
      </c>
      <c r="K965" t="s">
        <v>55</v>
      </c>
      <c r="L965" t="s">
        <v>61</v>
      </c>
      <c r="M965">
        <v>78.03</v>
      </c>
      <c r="N965">
        <v>2514.48</v>
      </c>
      <c r="O965" t="s">
        <v>69</v>
      </c>
      <c r="P965" t="s">
        <v>55</v>
      </c>
    </row>
    <row r="966" spans="1:16" x14ac:dyDescent="0.35">
      <c r="A966" t="s">
        <v>1030</v>
      </c>
      <c r="B966">
        <v>38</v>
      </c>
      <c r="C966" t="s">
        <v>55</v>
      </c>
      <c r="D966" t="s">
        <v>55</v>
      </c>
      <c r="E966" t="s">
        <v>55</v>
      </c>
      <c r="F966">
        <v>23</v>
      </c>
      <c r="G966" t="s">
        <v>56</v>
      </c>
      <c r="H966" t="s">
        <v>56</v>
      </c>
      <c r="I966" t="s">
        <v>55</v>
      </c>
      <c r="J966" t="s">
        <v>13</v>
      </c>
      <c r="K966" t="s">
        <v>56</v>
      </c>
      <c r="L966" t="s">
        <v>26</v>
      </c>
      <c r="M966">
        <v>21.67</v>
      </c>
      <c r="N966">
        <v>523.17999999999995</v>
      </c>
      <c r="O966" t="s">
        <v>64</v>
      </c>
      <c r="P966" t="s">
        <v>56</v>
      </c>
    </row>
    <row r="967" spans="1:16" x14ac:dyDescent="0.35">
      <c r="A967" t="s">
        <v>1031</v>
      </c>
      <c r="B967">
        <v>38</v>
      </c>
      <c r="C967" t="s">
        <v>55</v>
      </c>
      <c r="D967" t="s">
        <v>55</v>
      </c>
      <c r="E967" t="s">
        <v>56</v>
      </c>
      <c r="F967">
        <v>49</v>
      </c>
      <c r="G967" t="s">
        <v>55</v>
      </c>
      <c r="H967" t="s">
        <v>60</v>
      </c>
      <c r="I967" t="s">
        <v>30</v>
      </c>
      <c r="J967" t="s">
        <v>12</v>
      </c>
      <c r="K967" t="s">
        <v>55</v>
      </c>
      <c r="L967" t="s">
        <v>25</v>
      </c>
      <c r="M967">
        <v>107.74</v>
      </c>
      <c r="N967">
        <v>5570.24</v>
      </c>
      <c r="O967" t="s">
        <v>80</v>
      </c>
      <c r="P967" t="s">
        <v>56</v>
      </c>
    </row>
    <row r="968" spans="1:16" x14ac:dyDescent="0.35">
      <c r="A968" t="s">
        <v>1032</v>
      </c>
      <c r="B968">
        <v>30</v>
      </c>
      <c r="C968" t="s">
        <v>55</v>
      </c>
      <c r="D968" t="s">
        <v>55</v>
      </c>
      <c r="E968" t="s">
        <v>55</v>
      </c>
      <c r="F968">
        <v>72</v>
      </c>
      <c r="G968" t="s">
        <v>55</v>
      </c>
      <c r="H968" t="s">
        <v>60</v>
      </c>
      <c r="I968" t="s">
        <v>29</v>
      </c>
      <c r="J968" t="s">
        <v>13</v>
      </c>
      <c r="K968" t="s">
        <v>56</v>
      </c>
      <c r="L968" t="s">
        <v>26</v>
      </c>
      <c r="M968">
        <v>43.62</v>
      </c>
      <c r="N968">
        <v>3177.56</v>
      </c>
      <c r="O968" t="s">
        <v>64</v>
      </c>
      <c r="P968" t="s">
        <v>55</v>
      </c>
    </row>
    <row r="969" spans="1:16" x14ac:dyDescent="0.35">
      <c r="A969" t="s">
        <v>1033</v>
      </c>
      <c r="B969">
        <v>72</v>
      </c>
      <c r="C969" t="s">
        <v>56</v>
      </c>
      <c r="D969" t="s">
        <v>55</v>
      </c>
      <c r="E969" t="s">
        <v>56</v>
      </c>
      <c r="F969">
        <v>44</v>
      </c>
      <c r="G969" t="s">
        <v>55</v>
      </c>
      <c r="H969" t="s">
        <v>60</v>
      </c>
      <c r="I969" t="s">
        <v>29</v>
      </c>
      <c r="J969" t="s">
        <v>12</v>
      </c>
      <c r="K969" t="s">
        <v>55</v>
      </c>
      <c r="L969" t="s">
        <v>26</v>
      </c>
      <c r="M969">
        <v>78.239999999999995</v>
      </c>
      <c r="N969">
        <v>3572.51</v>
      </c>
      <c r="O969" t="s">
        <v>76</v>
      </c>
      <c r="P969" t="s">
        <v>55</v>
      </c>
    </row>
    <row r="970" spans="1:16" x14ac:dyDescent="0.35">
      <c r="A970" t="s">
        <v>1034</v>
      </c>
      <c r="B970">
        <v>57</v>
      </c>
      <c r="C970" t="s">
        <v>55</v>
      </c>
      <c r="D970" t="s">
        <v>56</v>
      </c>
      <c r="E970" t="s">
        <v>55</v>
      </c>
      <c r="F970">
        <v>29</v>
      </c>
      <c r="G970" t="s">
        <v>56</v>
      </c>
      <c r="H970" t="s">
        <v>56</v>
      </c>
      <c r="I970" t="s">
        <v>30</v>
      </c>
      <c r="J970" t="s">
        <v>12</v>
      </c>
      <c r="K970" t="s">
        <v>55</v>
      </c>
      <c r="L970" t="s">
        <v>26</v>
      </c>
      <c r="M970">
        <v>81.22</v>
      </c>
      <c r="N970">
        <v>2410.52</v>
      </c>
      <c r="O970" t="s">
        <v>62</v>
      </c>
      <c r="P970" t="s">
        <v>56</v>
      </c>
    </row>
    <row r="971" spans="1:16" x14ac:dyDescent="0.35">
      <c r="A971" t="s">
        <v>1035</v>
      </c>
      <c r="B971">
        <v>46</v>
      </c>
      <c r="C971" t="s">
        <v>55</v>
      </c>
      <c r="D971" t="s">
        <v>56</v>
      </c>
      <c r="E971" t="s">
        <v>56</v>
      </c>
      <c r="F971">
        <v>2</v>
      </c>
      <c r="G971" t="s">
        <v>56</v>
      </c>
      <c r="H971" t="s">
        <v>55</v>
      </c>
      <c r="I971" t="s">
        <v>30</v>
      </c>
      <c r="J971" t="s">
        <v>12</v>
      </c>
      <c r="K971" t="s">
        <v>55</v>
      </c>
      <c r="L971" t="s">
        <v>57</v>
      </c>
      <c r="M971">
        <v>97.56</v>
      </c>
      <c r="N971">
        <v>196.71</v>
      </c>
      <c r="O971" t="s">
        <v>66</v>
      </c>
      <c r="P971" t="s">
        <v>56</v>
      </c>
    </row>
    <row r="972" spans="1:16" x14ac:dyDescent="0.35">
      <c r="A972" t="s">
        <v>1036</v>
      </c>
      <c r="B972">
        <v>51</v>
      </c>
      <c r="C972" t="s">
        <v>55</v>
      </c>
      <c r="D972" t="s">
        <v>55</v>
      </c>
      <c r="E972" t="s">
        <v>55</v>
      </c>
      <c r="F972">
        <v>34</v>
      </c>
      <c r="G972" t="s">
        <v>55</v>
      </c>
      <c r="H972" t="s">
        <v>60</v>
      </c>
      <c r="I972" t="s">
        <v>29</v>
      </c>
      <c r="J972" t="s">
        <v>14</v>
      </c>
      <c r="K972" t="s">
        <v>55</v>
      </c>
      <c r="L972" t="s">
        <v>57</v>
      </c>
      <c r="M972">
        <v>54.58</v>
      </c>
      <c r="N972">
        <v>1950.47</v>
      </c>
      <c r="O972" t="s">
        <v>58</v>
      </c>
      <c r="P972" t="s">
        <v>55</v>
      </c>
    </row>
    <row r="973" spans="1:16" x14ac:dyDescent="0.35">
      <c r="A973" t="s">
        <v>1037</v>
      </c>
      <c r="B973">
        <v>40</v>
      </c>
      <c r="C973" t="s">
        <v>55</v>
      </c>
      <c r="D973" t="s">
        <v>56</v>
      </c>
      <c r="E973" t="s">
        <v>56</v>
      </c>
      <c r="F973">
        <v>42</v>
      </c>
      <c r="G973" t="s">
        <v>56</v>
      </c>
      <c r="H973" t="s">
        <v>55</v>
      </c>
      <c r="I973" t="s">
        <v>55</v>
      </c>
      <c r="J973" t="s">
        <v>13</v>
      </c>
      <c r="K973" t="s">
        <v>56</v>
      </c>
      <c r="L973" t="s">
        <v>25</v>
      </c>
      <c r="M973">
        <v>27.41</v>
      </c>
      <c r="N973">
        <v>1152.25</v>
      </c>
      <c r="O973" t="s">
        <v>76</v>
      </c>
      <c r="P973" t="s">
        <v>55</v>
      </c>
    </row>
    <row r="974" spans="1:16" x14ac:dyDescent="0.35">
      <c r="A974" t="s">
        <v>1038</v>
      </c>
      <c r="B974">
        <v>24</v>
      </c>
      <c r="C974" t="s">
        <v>55</v>
      </c>
      <c r="D974" t="s">
        <v>56</v>
      </c>
      <c r="E974" t="s">
        <v>55</v>
      </c>
      <c r="F974">
        <v>71</v>
      </c>
      <c r="G974" t="s">
        <v>56</v>
      </c>
      <c r="H974" t="s">
        <v>55</v>
      </c>
      <c r="I974" t="s">
        <v>55</v>
      </c>
      <c r="J974" t="s">
        <v>13</v>
      </c>
      <c r="K974" t="s">
        <v>56</v>
      </c>
      <c r="L974" t="s">
        <v>57</v>
      </c>
      <c r="M974">
        <v>23.25</v>
      </c>
      <c r="N974">
        <v>1668.79</v>
      </c>
      <c r="O974" t="s">
        <v>62</v>
      </c>
      <c r="P974" t="s">
        <v>56</v>
      </c>
    </row>
    <row r="975" spans="1:16" x14ac:dyDescent="0.35">
      <c r="A975" t="s">
        <v>1039</v>
      </c>
      <c r="B975">
        <v>19</v>
      </c>
      <c r="C975" t="s">
        <v>55</v>
      </c>
      <c r="D975" t="s">
        <v>55</v>
      </c>
      <c r="E975" t="s">
        <v>56</v>
      </c>
      <c r="F975">
        <v>45</v>
      </c>
      <c r="G975" t="s">
        <v>56</v>
      </c>
      <c r="H975" t="s">
        <v>56</v>
      </c>
      <c r="I975" t="s">
        <v>29</v>
      </c>
      <c r="J975" t="s">
        <v>12</v>
      </c>
      <c r="K975" t="s">
        <v>55</v>
      </c>
      <c r="L975" t="s">
        <v>57</v>
      </c>
      <c r="M975">
        <v>77.89</v>
      </c>
      <c r="N975">
        <v>3600.85</v>
      </c>
      <c r="O975" t="s">
        <v>64</v>
      </c>
      <c r="P975" t="s">
        <v>55</v>
      </c>
    </row>
    <row r="976" spans="1:16" x14ac:dyDescent="0.35">
      <c r="A976" t="s">
        <v>1040</v>
      </c>
      <c r="B976">
        <v>45</v>
      </c>
      <c r="C976" t="s">
        <v>55</v>
      </c>
      <c r="D976" t="s">
        <v>56</v>
      </c>
      <c r="E976" t="s">
        <v>55</v>
      </c>
      <c r="F976">
        <v>28</v>
      </c>
      <c r="G976" t="s">
        <v>55</v>
      </c>
      <c r="H976" t="s">
        <v>60</v>
      </c>
      <c r="I976" t="s">
        <v>29</v>
      </c>
      <c r="J976" t="s">
        <v>12</v>
      </c>
      <c r="K976" t="s">
        <v>55</v>
      </c>
      <c r="L976" t="s">
        <v>26</v>
      </c>
      <c r="M976">
        <v>62.79</v>
      </c>
      <c r="N976">
        <v>1837.44</v>
      </c>
      <c r="O976" t="s">
        <v>62</v>
      </c>
      <c r="P976" t="s">
        <v>55</v>
      </c>
    </row>
    <row r="977" spans="1:16" x14ac:dyDescent="0.35">
      <c r="A977" t="s">
        <v>1041</v>
      </c>
      <c r="B977">
        <v>67</v>
      </c>
      <c r="C977" t="s">
        <v>56</v>
      </c>
      <c r="D977" t="s">
        <v>55</v>
      </c>
      <c r="E977" t="s">
        <v>56</v>
      </c>
      <c r="F977">
        <v>7</v>
      </c>
      <c r="G977" t="s">
        <v>55</v>
      </c>
      <c r="H977" t="s">
        <v>60</v>
      </c>
      <c r="I977" t="s">
        <v>29</v>
      </c>
      <c r="J977" t="s">
        <v>13</v>
      </c>
      <c r="K977" t="s">
        <v>56</v>
      </c>
      <c r="L977" t="s">
        <v>61</v>
      </c>
      <c r="M977">
        <v>61.19</v>
      </c>
      <c r="N977">
        <v>440.17</v>
      </c>
      <c r="O977" t="s">
        <v>62</v>
      </c>
      <c r="P977" t="s">
        <v>55</v>
      </c>
    </row>
    <row r="978" spans="1:16" x14ac:dyDescent="0.35">
      <c r="A978" t="s">
        <v>1042</v>
      </c>
      <c r="B978">
        <v>56</v>
      </c>
      <c r="C978" t="s">
        <v>55</v>
      </c>
      <c r="D978" t="s">
        <v>56</v>
      </c>
      <c r="E978" t="s">
        <v>56</v>
      </c>
      <c r="F978">
        <v>4</v>
      </c>
      <c r="G978" t="s">
        <v>55</v>
      </c>
      <c r="H978" t="s">
        <v>60</v>
      </c>
      <c r="I978" t="s">
        <v>29</v>
      </c>
      <c r="J978" t="s">
        <v>13</v>
      </c>
      <c r="K978" t="s">
        <v>55</v>
      </c>
      <c r="L978" t="s">
        <v>26</v>
      </c>
      <c r="M978">
        <v>77.849999999999994</v>
      </c>
      <c r="N978">
        <v>314.17</v>
      </c>
      <c r="O978" t="s">
        <v>64</v>
      </c>
      <c r="P978" t="s">
        <v>55</v>
      </c>
    </row>
    <row r="979" spans="1:16" x14ac:dyDescent="0.35">
      <c r="A979" t="s">
        <v>1043</v>
      </c>
      <c r="B979">
        <v>69</v>
      </c>
      <c r="C979" t="s">
        <v>56</v>
      </c>
      <c r="D979" t="s">
        <v>55</v>
      </c>
      <c r="E979" t="s">
        <v>55</v>
      </c>
      <c r="F979">
        <v>61</v>
      </c>
      <c r="G979" t="s">
        <v>55</v>
      </c>
      <c r="H979" t="s">
        <v>60</v>
      </c>
      <c r="I979" t="s">
        <v>30</v>
      </c>
      <c r="J979" t="s">
        <v>12</v>
      </c>
      <c r="K979" t="s">
        <v>55</v>
      </c>
      <c r="L979" t="s">
        <v>57</v>
      </c>
      <c r="M979">
        <v>105.36</v>
      </c>
      <c r="N979">
        <v>6719.31</v>
      </c>
      <c r="O979" t="s">
        <v>62</v>
      </c>
      <c r="P979" t="s">
        <v>55</v>
      </c>
    </row>
    <row r="980" spans="1:16" x14ac:dyDescent="0.35">
      <c r="A980" t="s">
        <v>1044</v>
      </c>
      <c r="B980">
        <v>34</v>
      </c>
      <c r="C980" t="s">
        <v>55</v>
      </c>
      <c r="D980" t="s">
        <v>55</v>
      </c>
      <c r="E980" t="s">
        <v>56</v>
      </c>
      <c r="F980">
        <v>30</v>
      </c>
      <c r="G980" t="s">
        <v>56</v>
      </c>
      <c r="H980" t="s">
        <v>56</v>
      </c>
      <c r="I980" t="s">
        <v>30</v>
      </c>
      <c r="J980" t="s">
        <v>13</v>
      </c>
      <c r="K980" t="s">
        <v>55</v>
      </c>
      <c r="L980" t="s">
        <v>26</v>
      </c>
      <c r="M980">
        <v>100.31</v>
      </c>
      <c r="N980">
        <v>3183.36</v>
      </c>
      <c r="O980" t="s">
        <v>76</v>
      </c>
      <c r="P980" t="s">
        <v>56</v>
      </c>
    </row>
    <row r="981" spans="1:16" x14ac:dyDescent="0.35">
      <c r="A981" t="s">
        <v>1045</v>
      </c>
      <c r="B981">
        <v>24</v>
      </c>
      <c r="C981" t="s">
        <v>55</v>
      </c>
      <c r="D981" t="s">
        <v>56</v>
      </c>
      <c r="E981" t="s">
        <v>56</v>
      </c>
      <c r="F981">
        <v>68</v>
      </c>
      <c r="G981" t="s">
        <v>55</v>
      </c>
      <c r="H981" t="s">
        <v>60</v>
      </c>
      <c r="I981" t="s">
        <v>30</v>
      </c>
      <c r="J981" t="s">
        <v>12</v>
      </c>
      <c r="K981" t="s">
        <v>56</v>
      </c>
      <c r="L981" t="s">
        <v>61</v>
      </c>
      <c r="M981">
        <v>98.4</v>
      </c>
      <c r="N981">
        <v>6590.7</v>
      </c>
      <c r="O981" t="s">
        <v>62</v>
      </c>
      <c r="P981" t="s">
        <v>56</v>
      </c>
    </row>
    <row r="982" spans="1:16" x14ac:dyDescent="0.35">
      <c r="A982" t="s">
        <v>1046</v>
      </c>
      <c r="B982">
        <v>30</v>
      </c>
      <c r="C982" t="s">
        <v>55</v>
      </c>
      <c r="D982" t="s">
        <v>55</v>
      </c>
      <c r="E982" t="s">
        <v>56</v>
      </c>
      <c r="F982">
        <v>69</v>
      </c>
      <c r="G982" t="s">
        <v>55</v>
      </c>
      <c r="H982" t="s">
        <v>60</v>
      </c>
      <c r="I982" t="s">
        <v>30</v>
      </c>
      <c r="J982" t="s">
        <v>12</v>
      </c>
      <c r="K982" t="s">
        <v>56</v>
      </c>
      <c r="L982" t="s">
        <v>57</v>
      </c>
      <c r="M982">
        <v>98.7</v>
      </c>
      <c r="N982">
        <v>7130.2</v>
      </c>
      <c r="O982" t="s">
        <v>66</v>
      </c>
      <c r="P982" t="s">
        <v>55</v>
      </c>
    </row>
    <row r="983" spans="1:16" x14ac:dyDescent="0.35">
      <c r="A983" t="s">
        <v>1047</v>
      </c>
      <c r="B983">
        <v>29</v>
      </c>
      <c r="C983" t="s">
        <v>55</v>
      </c>
      <c r="D983" t="s">
        <v>56</v>
      </c>
      <c r="E983" t="s">
        <v>55</v>
      </c>
      <c r="F983">
        <v>4</v>
      </c>
      <c r="G983" t="s">
        <v>56</v>
      </c>
      <c r="H983" t="s">
        <v>55</v>
      </c>
      <c r="I983" t="s">
        <v>29</v>
      </c>
      <c r="J983" t="s">
        <v>12</v>
      </c>
      <c r="K983" t="s">
        <v>55</v>
      </c>
      <c r="L983" t="s">
        <v>26</v>
      </c>
      <c r="M983">
        <v>67.319999999999993</v>
      </c>
      <c r="N983">
        <v>272.19</v>
      </c>
      <c r="O983" t="s">
        <v>80</v>
      </c>
      <c r="P983" t="s">
        <v>56</v>
      </c>
    </row>
    <row r="984" spans="1:16" x14ac:dyDescent="0.35">
      <c r="A984" t="s">
        <v>1048</v>
      </c>
      <c r="B984">
        <v>49</v>
      </c>
      <c r="C984" t="s">
        <v>55</v>
      </c>
      <c r="D984" t="s">
        <v>56</v>
      </c>
      <c r="E984" t="s">
        <v>56</v>
      </c>
      <c r="F984">
        <v>44</v>
      </c>
      <c r="G984" t="s">
        <v>55</v>
      </c>
      <c r="H984" t="s">
        <v>60</v>
      </c>
      <c r="I984" t="s">
        <v>55</v>
      </c>
      <c r="J984" t="s">
        <v>13</v>
      </c>
      <c r="K984" t="s">
        <v>56</v>
      </c>
      <c r="L984" t="s">
        <v>61</v>
      </c>
      <c r="M984">
        <v>18.79</v>
      </c>
      <c r="N984">
        <v>801.58</v>
      </c>
      <c r="O984" t="s">
        <v>66</v>
      </c>
      <c r="P984" t="s">
        <v>55</v>
      </c>
    </row>
    <row r="985" spans="1:16" x14ac:dyDescent="0.35">
      <c r="A985" t="s">
        <v>1049</v>
      </c>
      <c r="B985">
        <v>49</v>
      </c>
      <c r="C985" t="s">
        <v>55</v>
      </c>
      <c r="D985" t="s">
        <v>56</v>
      </c>
      <c r="E985" t="s">
        <v>55</v>
      </c>
      <c r="F985">
        <v>6</v>
      </c>
      <c r="G985" t="s">
        <v>55</v>
      </c>
      <c r="H985" t="s">
        <v>60</v>
      </c>
      <c r="I985" t="s">
        <v>30</v>
      </c>
      <c r="J985" t="s">
        <v>14</v>
      </c>
      <c r="K985" t="s">
        <v>56</v>
      </c>
      <c r="L985" t="s">
        <v>61</v>
      </c>
      <c r="M985">
        <v>74.55</v>
      </c>
      <c r="N985">
        <v>455.61</v>
      </c>
      <c r="O985" t="s">
        <v>58</v>
      </c>
      <c r="P985" t="s">
        <v>55</v>
      </c>
    </row>
    <row r="986" spans="1:16" x14ac:dyDescent="0.35">
      <c r="A986" t="s">
        <v>1050</v>
      </c>
      <c r="B986">
        <v>54</v>
      </c>
      <c r="C986" t="s">
        <v>55</v>
      </c>
      <c r="D986" t="s">
        <v>55</v>
      </c>
      <c r="E986" t="s">
        <v>56</v>
      </c>
      <c r="F986">
        <v>37</v>
      </c>
      <c r="G986" t="s">
        <v>55</v>
      </c>
      <c r="H986" t="s">
        <v>60</v>
      </c>
      <c r="I986" t="s">
        <v>30</v>
      </c>
      <c r="J986" t="s">
        <v>13</v>
      </c>
      <c r="K986" t="s">
        <v>55</v>
      </c>
      <c r="L986" t="s">
        <v>25</v>
      </c>
      <c r="M986">
        <v>91.32</v>
      </c>
      <c r="N986">
        <v>3352.54</v>
      </c>
      <c r="O986" t="s">
        <v>80</v>
      </c>
      <c r="P986" t="s">
        <v>56</v>
      </c>
    </row>
    <row r="987" spans="1:16" x14ac:dyDescent="0.35">
      <c r="A987" t="s">
        <v>1051</v>
      </c>
      <c r="B987">
        <v>49</v>
      </c>
      <c r="C987" t="s">
        <v>55</v>
      </c>
      <c r="D987" t="s">
        <v>56</v>
      </c>
      <c r="E987" t="s">
        <v>55</v>
      </c>
      <c r="F987">
        <v>72</v>
      </c>
      <c r="G987" t="s">
        <v>55</v>
      </c>
      <c r="H987" t="s">
        <v>60</v>
      </c>
      <c r="I987" t="s">
        <v>29</v>
      </c>
      <c r="J987" t="s">
        <v>12</v>
      </c>
      <c r="K987" t="s">
        <v>55</v>
      </c>
      <c r="L987" t="s">
        <v>61</v>
      </c>
      <c r="M987">
        <v>67.959999999999994</v>
      </c>
      <c r="N987">
        <v>4909.3</v>
      </c>
      <c r="O987" t="s">
        <v>80</v>
      </c>
      <c r="P987" t="s">
        <v>56</v>
      </c>
    </row>
    <row r="988" spans="1:16" x14ac:dyDescent="0.35">
      <c r="A988" t="s">
        <v>1052</v>
      </c>
      <c r="B988">
        <v>37</v>
      </c>
      <c r="C988" t="s">
        <v>55</v>
      </c>
      <c r="D988" t="s">
        <v>56</v>
      </c>
      <c r="E988" t="s">
        <v>55</v>
      </c>
      <c r="F988">
        <v>7</v>
      </c>
      <c r="G988" t="s">
        <v>56</v>
      </c>
      <c r="H988" t="s">
        <v>55</v>
      </c>
      <c r="I988" t="s">
        <v>29</v>
      </c>
      <c r="J988" t="s">
        <v>12</v>
      </c>
      <c r="K988" t="s">
        <v>55</v>
      </c>
      <c r="L988" t="s">
        <v>25</v>
      </c>
      <c r="M988">
        <v>42.1</v>
      </c>
      <c r="N988">
        <v>306.20999999999998</v>
      </c>
      <c r="O988" t="s">
        <v>69</v>
      </c>
      <c r="P988" t="s">
        <v>55</v>
      </c>
    </row>
    <row r="989" spans="1:16" x14ac:dyDescent="0.35">
      <c r="A989" t="s">
        <v>1053</v>
      </c>
      <c r="B989">
        <v>50</v>
      </c>
      <c r="C989" t="s">
        <v>55</v>
      </c>
      <c r="D989" t="s">
        <v>56</v>
      </c>
      <c r="E989" t="s">
        <v>55</v>
      </c>
      <c r="F989">
        <v>6</v>
      </c>
      <c r="G989" t="s">
        <v>56</v>
      </c>
      <c r="H989" t="s">
        <v>55</v>
      </c>
      <c r="I989" t="s">
        <v>55</v>
      </c>
      <c r="J989" t="s">
        <v>12</v>
      </c>
      <c r="K989" t="s">
        <v>56</v>
      </c>
      <c r="L989" t="s">
        <v>61</v>
      </c>
      <c r="M989">
        <v>18.88</v>
      </c>
      <c r="N989">
        <v>109.25</v>
      </c>
      <c r="O989" t="s">
        <v>69</v>
      </c>
      <c r="P989" t="s">
        <v>56</v>
      </c>
    </row>
    <row r="990" spans="1:16" x14ac:dyDescent="0.35">
      <c r="A990" t="s">
        <v>1054</v>
      </c>
      <c r="B990">
        <v>57</v>
      </c>
      <c r="C990" t="s">
        <v>55</v>
      </c>
      <c r="D990" t="s">
        <v>56</v>
      </c>
      <c r="E990" t="s">
        <v>56</v>
      </c>
      <c r="F990">
        <v>49</v>
      </c>
      <c r="G990" t="s">
        <v>56</v>
      </c>
      <c r="H990" t="s">
        <v>55</v>
      </c>
      <c r="I990" t="s">
        <v>30</v>
      </c>
      <c r="J990" t="s">
        <v>12</v>
      </c>
      <c r="K990" t="s">
        <v>56</v>
      </c>
      <c r="L990" t="s">
        <v>61</v>
      </c>
      <c r="M990">
        <v>115.76</v>
      </c>
      <c r="N990">
        <v>5557.04</v>
      </c>
      <c r="O990" t="s">
        <v>64</v>
      </c>
      <c r="P990" t="s">
        <v>56</v>
      </c>
    </row>
    <row r="991" spans="1:16" x14ac:dyDescent="0.35">
      <c r="A991" t="s">
        <v>1055</v>
      </c>
      <c r="B991">
        <v>70</v>
      </c>
      <c r="C991" t="s">
        <v>56</v>
      </c>
      <c r="D991" t="s">
        <v>56</v>
      </c>
      <c r="E991" t="s">
        <v>55</v>
      </c>
      <c r="F991">
        <v>52</v>
      </c>
      <c r="G991" t="s">
        <v>56</v>
      </c>
      <c r="H991" t="s">
        <v>55</v>
      </c>
      <c r="I991" t="s">
        <v>30</v>
      </c>
      <c r="J991" t="s">
        <v>13</v>
      </c>
      <c r="K991" t="s">
        <v>55</v>
      </c>
      <c r="L991" t="s">
        <v>25</v>
      </c>
      <c r="M991">
        <v>91.14</v>
      </c>
      <c r="N991">
        <v>4779.3999999999996</v>
      </c>
      <c r="O991" t="s">
        <v>69</v>
      </c>
      <c r="P991" t="s">
        <v>55</v>
      </c>
    </row>
    <row r="992" spans="1:16" x14ac:dyDescent="0.35">
      <c r="A992" t="s">
        <v>1056</v>
      </c>
      <c r="B992">
        <v>37</v>
      </c>
      <c r="C992" t="s">
        <v>55</v>
      </c>
      <c r="D992" t="s">
        <v>56</v>
      </c>
      <c r="E992" t="s">
        <v>55</v>
      </c>
      <c r="F992">
        <v>53</v>
      </c>
      <c r="G992" t="s">
        <v>55</v>
      </c>
      <c r="H992" t="s">
        <v>60</v>
      </c>
      <c r="I992" t="s">
        <v>29</v>
      </c>
      <c r="J992" t="s">
        <v>14</v>
      </c>
      <c r="K992" t="s">
        <v>55</v>
      </c>
      <c r="L992" t="s">
        <v>26</v>
      </c>
      <c r="M992">
        <v>76.040000000000006</v>
      </c>
      <c r="N992">
        <v>4183.29</v>
      </c>
      <c r="O992" t="s">
        <v>58</v>
      </c>
      <c r="P992" t="s">
        <v>55</v>
      </c>
    </row>
    <row r="993" spans="1:16" x14ac:dyDescent="0.35">
      <c r="A993" t="s">
        <v>1057</v>
      </c>
      <c r="B993">
        <v>18</v>
      </c>
      <c r="C993" t="s">
        <v>55</v>
      </c>
      <c r="D993" t="s">
        <v>55</v>
      </c>
      <c r="E993" t="s">
        <v>56</v>
      </c>
      <c r="F993">
        <v>58</v>
      </c>
      <c r="G993" t="s">
        <v>56</v>
      </c>
      <c r="H993" t="s">
        <v>56</v>
      </c>
      <c r="I993" t="s">
        <v>30</v>
      </c>
      <c r="J993" t="s">
        <v>12</v>
      </c>
      <c r="K993" t="s">
        <v>56</v>
      </c>
      <c r="L993" t="s">
        <v>25</v>
      </c>
      <c r="M993">
        <v>94.43</v>
      </c>
      <c r="N993">
        <v>5268.83</v>
      </c>
      <c r="O993" t="s">
        <v>69</v>
      </c>
      <c r="P993" t="s">
        <v>56</v>
      </c>
    </row>
    <row r="994" spans="1:16" x14ac:dyDescent="0.35">
      <c r="A994" t="s">
        <v>1058</v>
      </c>
      <c r="B994">
        <v>34</v>
      </c>
      <c r="C994" t="s">
        <v>55</v>
      </c>
      <c r="D994" t="s">
        <v>55</v>
      </c>
      <c r="E994" t="s">
        <v>55</v>
      </c>
      <c r="F994">
        <v>69</v>
      </c>
      <c r="G994" t="s">
        <v>55</v>
      </c>
      <c r="H994" t="s">
        <v>60</v>
      </c>
      <c r="I994" t="s">
        <v>30</v>
      </c>
      <c r="J994" t="s">
        <v>12</v>
      </c>
      <c r="K994" t="s">
        <v>56</v>
      </c>
      <c r="L994" t="s">
        <v>57</v>
      </c>
      <c r="M994">
        <v>114.28</v>
      </c>
      <c r="N994">
        <v>7603.46</v>
      </c>
      <c r="O994" t="s">
        <v>66</v>
      </c>
      <c r="P994" t="s">
        <v>56</v>
      </c>
    </row>
    <row r="995" spans="1:16" x14ac:dyDescent="0.35">
      <c r="A995" t="s">
        <v>1059</v>
      </c>
      <c r="B995">
        <v>49</v>
      </c>
      <c r="C995" t="s">
        <v>55</v>
      </c>
      <c r="D995" t="s">
        <v>56</v>
      </c>
      <c r="E995" t="s">
        <v>56</v>
      </c>
      <c r="F995">
        <v>67</v>
      </c>
      <c r="G995" t="s">
        <v>55</v>
      </c>
      <c r="H995" t="s">
        <v>60</v>
      </c>
      <c r="I995" t="s">
        <v>55</v>
      </c>
      <c r="J995" t="s">
        <v>12</v>
      </c>
      <c r="K995" t="s">
        <v>56</v>
      </c>
      <c r="L995" t="s">
        <v>26</v>
      </c>
      <c r="M995">
        <v>28</v>
      </c>
      <c r="N995">
        <v>1804.97</v>
      </c>
      <c r="O995" t="s">
        <v>66</v>
      </c>
      <c r="P995" t="s">
        <v>55</v>
      </c>
    </row>
    <row r="996" spans="1:16" x14ac:dyDescent="0.35">
      <c r="A996" t="s">
        <v>1060</v>
      </c>
      <c r="B996">
        <v>22</v>
      </c>
      <c r="C996" t="s">
        <v>55</v>
      </c>
      <c r="D996" t="s">
        <v>56</v>
      </c>
      <c r="E996" t="s">
        <v>55</v>
      </c>
      <c r="F996">
        <v>48</v>
      </c>
      <c r="G996" t="s">
        <v>56</v>
      </c>
      <c r="H996" t="s">
        <v>55</v>
      </c>
      <c r="I996" t="s">
        <v>30</v>
      </c>
      <c r="J996" t="s">
        <v>13</v>
      </c>
      <c r="K996" t="s">
        <v>56</v>
      </c>
      <c r="L996" t="s">
        <v>61</v>
      </c>
      <c r="M996">
        <v>106.25</v>
      </c>
      <c r="N996">
        <v>4820.78</v>
      </c>
      <c r="O996" t="s">
        <v>62</v>
      </c>
      <c r="P996" t="s">
        <v>56</v>
      </c>
    </row>
    <row r="997" spans="1:16" x14ac:dyDescent="0.35">
      <c r="A997" t="s">
        <v>1061</v>
      </c>
      <c r="B997">
        <v>39</v>
      </c>
      <c r="C997" t="s">
        <v>55</v>
      </c>
      <c r="D997" t="s">
        <v>55</v>
      </c>
      <c r="E997" t="s">
        <v>56</v>
      </c>
      <c r="F997">
        <v>45</v>
      </c>
      <c r="G997" t="s">
        <v>56</v>
      </c>
      <c r="H997" t="s">
        <v>55</v>
      </c>
      <c r="I997" t="s">
        <v>29</v>
      </c>
      <c r="J997" t="s">
        <v>12</v>
      </c>
      <c r="K997" t="s">
        <v>55</v>
      </c>
      <c r="L997" t="s">
        <v>57</v>
      </c>
      <c r="M997">
        <v>49.01</v>
      </c>
      <c r="N997">
        <v>2239.12</v>
      </c>
      <c r="O997" t="s">
        <v>69</v>
      </c>
      <c r="P997" t="s">
        <v>55</v>
      </c>
    </row>
    <row r="998" spans="1:16" x14ac:dyDescent="0.35">
      <c r="A998" t="s">
        <v>1062</v>
      </c>
      <c r="B998">
        <v>46</v>
      </c>
      <c r="C998" t="s">
        <v>55</v>
      </c>
      <c r="D998" t="s">
        <v>56</v>
      </c>
      <c r="E998" t="s">
        <v>55</v>
      </c>
      <c r="F998">
        <v>9</v>
      </c>
      <c r="G998" t="s">
        <v>55</v>
      </c>
      <c r="H998" t="s">
        <v>60</v>
      </c>
      <c r="I998" t="s">
        <v>55</v>
      </c>
      <c r="J998" t="s">
        <v>13</v>
      </c>
      <c r="K998" t="s">
        <v>56</v>
      </c>
      <c r="L998" t="s">
        <v>57</v>
      </c>
      <c r="M998">
        <v>21.81</v>
      </c>
      <c r="N998">
        <v>187.14</v>
      </c>
      <c r="O998" t="s">
        <v>58</v>
      </c>
      <c r="P998" t="s">
        <v>56</v>
      </c>
    </row>
    <row r="999" spans="1:16" x14ac:dyDescent="0.35">
      <c r="A999" t="s">
        <v>1063</v>
      </c>
      <c r="B999">
        <v>52</v>
      </c>
      <c r="C999" t="s">
        <v>55</v>
      </c>
      <c r="D999" t="s">
        <v>56</v>
      </c>
      <c r="E999" t="s">
        <v>56</v>
      </c>
      <c r="F999">
        <v>42</v>
      </c>
      <c r="G999" t="s">
        <v>56</v>
      </c>
      <c r="H999" t="s">
        <v>55</v>
      </c>
      <c r="I999" t="s">
        <v>30</v>
      </c>
      <c r="J999" t="s">
        <v>13</v>
      </c>
      <c r="K999" t="s">
        <v>56</v>
      </c>
      <c r="L999" t="s">
        <v>57</v>
      </c>
      <c r="M999">
        <v>98.14</v>
      </c>
      <c r="N999">
        <v>4277.05</v>
      </c>
      <c r="O999" t="s">
        <v>80</v>
      </c>
      <c r="P999" t="s">
        <v>55</v>
      </c>
    </row>
    <row r="1000" spans="1:16" x14ac:dyDescent="0.35">
      <c r="A1000" t="s">
        <v>1064</v>
      </c>
      <c r="B1000">
        <v>72</v>
      </c>
      <c r="C1000" t="s">
        <v>56</v>
      </c>
      <c r="D1000" t="s">
        <v>56</v>
      </c>
      <c r="E1000" t="s">
        <v>56</v>
      </c>
      <c r="F1000">
        <v>70</v>
      </c>
      <c r="G1000" t="s">
        <v>55</v>
      </c>
      <c r="H1000" t="s">
        <v>60</v>
      </c>
      <c r="I1000" t="s">
        <v>30</v>
      </c>
      <c r="J1000" t="s">
        <v>14</v>
      </c>
      <c r="K1000" t="s">
        <v>55</v>
      </c>
      <c r="L1000" t="s">
        <v>26</v>
      </c>
      <c r="M1000">
        <v>100.8</v>
      </c>
      <c r="N1000">
        <v>7013.39</v>
      </c>
      <c r="O1000" t="s">
        <v>69</v>
      </c>
      <c r="P1000" t="s">
        <v>55</v>
      </c>
    </row>
    <row r="1001" spans="1:16" x14ac:dyDescent="0.35">
      <c r="A1001" t="s">
        <v>1065</v>
      </c>
      <c r="B1001">
        <v>49</v>
      </c>
      <c r="C1001" t="s">
        <v>55</v>
      </c>
      <c r="D1001" t="s">
        <v>55</v>
      </c>
      <c r="E1001" t="s">
        <v>55</v>
      </c>
      <c r="F1001">
        <v>59</v>
      </c>
      <c r="G1001" t="s">
        <v>56</v>
      </c>
      <c r="H1001" t="s">
        <v>55</v>
      </c>
      <c r="I1001" t="s">
        <v>29</v>
      </c>
      <c r="J1001" t="s">
        <v>14</v>
      </c>
      <c r="K1001" t="s">
        <v>56</v>
      </c>
      <c r="L1001" t="s">
        <v>26</v>
      </c>
      <c r="M1001">
        <v>65.48</v>
      </c>
      <c r="N1001">
        <v>3712.35</v>
      </c>
      <c r="O1001" t="s">
        <v>76</v>
      </c>
      <c r="P1001" t="s">
        <v>55</v>
      </c>
    </row>
  </sheetData>
  <autoFilter ref="A1:P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1"/>
  <sheetViews>
    <sheetView tabSelected="1" topLeftCell="J1" workbookViewId="0">
      <pane ySplit="1" topLeftCell="A2" activePane="bottomLeft" state="frozen"/>
      <selection pane="bottomLeft" activeCell="R1" sqref="R1"/>
    </sheetView>
  </sheetViews>
  <sheetFormatPr defaultRowHeight="14.5" x14ac:dyDescent="0.35"/>
  <cols>
    <col min="1" max="1" width="13" customWidth="1"/>
    <col min="2" max="2" width="5" customWidth="1"/>
    <col min="3" max="3" width="16" customWidth="1"/>
    <col min="4" max="4" width="9" customWidth="1"/>
    <col min="5" max="5" width="12" customWidth="1"/>
    <col min="6" max="7" width="15" customWidth="1"/>
    <col min="8" max="9" width="18" customWidth="1"/>
    <col min="10" max="10" width="16" customWidth="1"/>
    <col min="11" max="11" width="19" customWidth="1"/>
    <col min="12" max="12" width="27" customWidth="1"/>
    <col min="13" max="13" width="17" customWidth="1"/>
    <col min="14" max="14" width="15" customWidth="1"/>
    <col min="15" max="15" width="12" customWidth="1"/>
    <col min="16" max="16" width="7" customWidth="1"/>
    <col min="18" max="18" width="14.81640625" customWidth="1"/>
    <col min="19" max="19" width="23.26953125" customWidth="1"/>
  </cols>
  <sheetData>
    <row r="1" spans="1:19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1087</v>
      </c>
      <c r="R1" s="1" t="s">
        <v>1095</v>
      </c>
      <c r="S1" s="1" t="s">
        <v>1098</v>
      </c>
    </row>
    <row r="2" spans="1:19" x14ac:dyDescent="0.35">
      <c r="A2" t="s">
        <v>54</v>
      </c>
      <c r="B2">
        <v>58</v>
      </c>
      <c r="C2" t="s">
        <v>55</v>
      </c>
      <c r="D2" t="s">
        <v>56</v>
      </c>
      <c r="E2" t="s">
        <v>56</v>
      </c>
      <c r="F2">
        <v>36</v>
      </c>
      <c r="G2" t="s">
        <v>56</v>
      </c>
      <c r="H2" t="s">
        <v>55</v>
      </c>
      <c r="I2" t="s">
        <v>30</v>
      </c>
      <c r="J2" t="s">
        <v>13</v>
      </c>
      <c r="K2" t="s">
        <v>56</v>
      </c>
      <c r="L2" t="s">
        <v>24</v>
      </c>
      <c r="M2">
        <v>71.59</v>
      </c>
      <c r="N2">
        <v>2451.58</v>
      </c>
      <c r="O2" t="s">
        <v>58</v>
      </c>
      <c r="P2" t="s">
        <v>55</v>
      </c>
      <c r="Q2">
        <f>IF(P2="Yes",1,0)</f>
        <v>0</v>
      </c>
      <c r="R2" t="str">
        <f>IF(F2&lt;=12,"0-12 months",IF(F2&lt;=24,"13-24 months",IF(F2&lt;=48,"25-48 months","49+ months")))</f>
        <v>25-48 months</v>
      </c>
      <c r="S2" t="str">
        <f>IF(M2&lt;50,"&lt; $50",IF(M2&lt;=75,"$50-$75",IF(M2&lt;=100,"$76-$100","&gt; $100")))</f>
        <v>$50-$75</v>
      </c>
    </row>
    <row r="3" spans="1:19" x14ac:dyDescent="0.35">
      <c r="A3" t="s">
        <v>59</v>
      </c>
      <c r="B3">
        <v>19</v>
      </c>
      <c r="C3" t="s">
        <v>55</v>
      </c>
      <c r="D3" t="s">
        <v>56</v>
      </c>
      <c r="E3" t="s">
        <v>55</v>
      </c>
      <c r="F3">
        <v>29</v>
      </c>
      <c r="G3" t="s">
        <v>55</v>
      </c>
      <c r="H3" t="s">
        <v>60</v>
      </c>
      <c r="I3" t="s">
        <v>30</v>
      </c>
      <c r="J3" t="s">
        <v>14</v>
      </c>
      <c r="K3" t="s">
        <v>56</v>
      </c>
      <c r="L3" t="s">
        <v>1066</v>
      </c>
      <c r="M3">
        <v>77.98</v>
      </c>
      <c r="N3">
        <v>2240.42</v>
      </c>
      <c r="O3" t="s">
        <v>62</v>
      </c>
      <c r="P3" t="s">
        <v>55</v>
      </c>
      <c r="Q3">
        <f t="shared" ref="Q3:Q66" si="0">IF(P3="Yes",1,0)</f>
        <v>0</v>
      </c>
      <c r="R3" t="str">
        <f t="shared" ref="R3:R66" si="1">IF(F3&lt;=12,"0-12 months",IF(F3&lt;=24,"13-24 months",IF(F3&lt;=48,"25-48 months","49+ months")))</f>
        <v>25-48 months</v>
      </c>
      <c r="S3" t="str">
        <f t="shared" ref="S3:S66" si="2">IF(M3&lt;50,"&lt; $50",IF(M3&lt;=75,"$50-$75",IF(M3&lt;=100,"$76-$100","&gt; $100")))</f>
        <v>$76-$100</v>
      </c>
    </row>
    <row r="4" spans="1:19" x14ac:dyDescent="0.35">
      <c r="A4" t="s">
        <v>63</v>
      </c>
      <c r="B4">
        <v>66</v>
      </c>
      <c r="C4" t="s">
        <v>56</v>
      </c>
      <c r="D4" t="s">
        <v>55</v>
      </c>
      <c r="E4" t="s">
        <v>56</v>
      </c>
      <c r="F4">
        <v>12</v>
      </c>
      <c r="G4" t="s">
        <v>55</v>
      </c>
      <c r="H4" t="s">
        <v>60</v>
      </c>
      <c r="I4" t="s">
        <v>30</v>
      </c>
      <c r="J4" t="s">
        <v>14</v>
      </c>
      <c r="K4" t="s">
        <v>55</v>
      </c>
      <c r="L4" t="s">
        <v>1066</v>
      </c>
      <c r="M4">
        <v>106.49</v>
      </c>
      <c r="N4">
        <v>1283.44</v>
      </c>
      <c r="O4" t="s">
        <v>64</v>
      </c>
      <c r="P4" t="s">
        <v>55</v>
      </c>
      <c r="Q4">
        <f t="shared" si="0"/>
        <v>0</v>
      </c>
      <c r="R4" t="str">
        <f t="shared" si="1"/>
        <v>0-12 months</v>
      </c>
      <c r="S4" t="str">
        <f t="shared" si="2"/>
        <v>&gt; $100</v>
      </c>
    </row>
    <row r="5" spans="1:19" x14ac:dyDescent="0.35">
      <c r="A5" t="s">
        <v>65</v>
      </c>
      <c r="B5">
        <v>23</v>
      </c>
      <c r="C5" t="s">
        <v>55</v>
      </c>
      <c r="D5" t="s">
        <v>55</v>
      </c>
      <c r="E5" t="s">
        <v>55</v>
      </c>
      <c r="F5">
        <v>25</v>
      </c>
      <c r="G5" t="s">
        <v>56</v>
      </c>
      <c r="H5" t="s">
        <v>55</v>
      </c>
      <c r="I5" t="s">
        <v>29</v>
      </c>
      <c r="J5" t="s">
        <v>13</v>
      </c>
      <c r="K5" t="s">
        <v>56</v>
      </c>
      <c r="L5" t="s">
        <v>25</v>
      </c>
      <c r="M5">
        <v>74.66</v>
      </c>
      <c r="N5">
        <v>1839.65</v>
      </c>
      <c r="O5" t="s">
        <v>66</v>
      </c>
      <c r="P5" t="s">
        <v>55</v>
      </c>
      <c r="Q5">
        <f t="shared" si="0"/>
        <v>0</v>
      </c>
      <c r="R5" t="str">
        <f t="shared" si="1"/>
        <v>25-48 months</v>
      </c>
      <c r="S5" t="str">
        <f t="shared" si="2"/>
        <v>$50-$75</v>
      </c>
    </row>
    <row r="6" spans="1:19" x14ac:dyDescent="0.35">
      <c r="A6" t="s">
        <v>67</v>
      </c>
      <c r="B6">
        <v>41</v>
      </c>
      <c r="C6" t="s">
        <v>55</v>
      </c>
      <c r="D6" t="s">
        <v>56</v>
      </c>
      <c r="E6" t="s">
        <v>55</v>
      </c>
      <c r="F6">
        <v>46</v>
      </c>
      <c r="G6" t="s">
        <v>55</v>
      </c>
      <c r="H6" t="s">
        <v>60</v>
      </c>
      <c r="I6" t="s">
        <v>30</v>
      </c>
      <c r="J6" t="s">
        <v>13</v>
      </c>
      <c r="K6" t="s">
        <v>56</v>
      </c>
      <c r="L6" t="s">
        <v>1066</v>
      </c>
      <c r="M6">
        <v>78.56</v>
      </c>
      <c r="N6">
        <v>3713.12</v>
      </c>
      <c r="O6" t="s">
        <v>64</v>
      </c>
      <c r="P6" t="s">
        <v>56</v>
      </c>
      <c r="Q6">
        <f t="shared" si="0"/>
        <v>1</v>
      </c>
      <c r="R6" t="str">
        <f t="shared" si="1"/>
        <v>25-48 months</v>
      </c>
      <c r="S6" t="str">
        <f t="shared" si="2"/>
        <v>$76-$100</v>
      </c>
    </row>
    <row r="7" spans="1:19" x14ac:dyDescent="0.35">
      <c r="A7" t="s">
        <v>68</v>
      </c>
      <c r="B7">
        <v>35</v>
      </c>
      <c r="C7" t="s">
        <v>55</v>
      </c>
      <c r="D7" t="s">
        <v>56</v>
      </c>
      <c r="E7" t="s">
        <v>55</v>
      </c>
      <c r="F7">
        <v>8</v>
      </c>
      <c r="G7" t="s">
        <v>56</v>
      </c>
      <c r="H7" t="s">
        <v>55</v>
      </c>
      <c r="I7" t="s">
        <v>30</v>
      </c>
      <c r="J7" t="s">
        <v>12</v>
      </c>
      <c r="K7" t="s">
        <v>56</v>
      </c>
      <c r="L7" t="s">
        <v>26</v>
      </c>
      <c r="M7">
        <v>117.15</v>
      </c>
      <c r="N7">
        <v>979.53</v>
      </c>
      <c r="O7" t="s">
        <v>69</v>
      </c>
      <c r="P7" t="s">
        <v>56</v>
      </c>
      <c r="Q7">
        <f t="shared" si="0"/>
        <v>1</v>
      </c>
      <c r="R7" t="str">
        <f t="shared" si="1"/>
        <v>0-12 months</v>
      </c>
      <c r="S7" t="str">
        <f t="shared" si="2"/>
        <v>&gt; $100</v>
      </c>
    </row>
    <row r="8" spans="1:19" x14ac:dyDescent="0.35">
      <c r="A8" t="s">
        <v>70</v>
      </c>
      <c r="B8">
        <v>49</v>
      </c>
      <c r="C8" t="s">
        <v>55</v>
      </c>
      <c r="D8" t="s">
        <v>55</v>
      </c>
      <c r="E8" t="s">
        <v>55</v>
      </c>
      <c r="F8">
        <v>19</v>
      </c>
      <c r="G8" t="s">
        <v>56</v>
      </c>
      <c r="H8" t="s">
        <v>55</v>
      </c>
      <c r="I8" t="s">
        <v>30</v>
      </c>
      <c r="J8" t="s">
        <v>12</v>
      </c>
      <c r="K8" t="s">
        <v>55</v>
      </c>
      <c r="L8" t="s">
        <v>25</v>
      </c>
      <c r="M8">
        <v>89.97</v>
      </c>
      <c r="N8">
        <v>1651.85</v>
      </c>
      <c r="O8" t="s">
        <v>58</v>
      </c>
      <c r="P8" t="s">
        <v>55</v>
      </c>
      <c r="Q8">
        <f t="shared" si="0"/>
        <v>0</v>
      </c>
      <c r="R8" t="str">
        <f t="shared" si="1"/>
        <v>13-24 months</v>
      </c>
      <c r="S8" t="str">
        <f t="shared" si="2"/>
        <v>$76-$100</v>
      </c>
    </row>
    <row r="9" spans="1:19" x14ac:dyDescent="0.35">
      <c r="A9" t="s">
        <v>71</v>
      </c>
      <c r="B9">
        <v>49</v>
      </c>
      <c r="C9" t="s">
        <v>55</v>
      </c>
      <c r="D9" t="s">
        <v>56</v>
      </c>
      <c r="E9" t="s">
        <v>56</v>
      </c>
      <c r="F9">
        <v>15</v>
      </c>
      <c r="G9" t="s">
        <v>56</v>
      </c>
      <c r="H9" t="s">
        <v>55</v>
      </c>
      <c r="I9" t="s">
        <v>30</v>
      </c>
      <c r="J9" t="s">
        <v>12</v>
      </c>
      <c r="K9" t="s">
        <v>56</v>
      </c>
      <c r="L9" t="s">
        <v>24</v>
      </c>
      <c r="M9">
        <v>99.79</v>
      </c>
      <c r="N9">
        <v>1491.11</v>
      </c>
      <c r="O9" t="s">
        <v>58</v>
      </c>
      <c r="P9" t="s">
        <v>56</v>
      </c>
      <c r="Q9">
        <f t="shared" si="0"/>
        <v>1</v>
      </c>
      <c r="R9" t="str">
        <f t="shared" si="1"/>
        <v>13-24 months</v>
      </c>
      <c r="S9" t="str">
        <f t="shared" si="2"/>
        <v>$76-$100</v>
      </c>
    </row>
    <row r="10" spans="1:19" x14ac:dyDescent="0.35">
      <c r="A10" t="s">
        <v>72</v>
      </c>
      <c r="B10">
        <v>73</v>
      </c>
      <c r="C10" t="s">
        <v>56</v>
      </c>
      <c r="D10" t="s">
        <v>56</v>
      </c>
      <c r="E10" t="s">
        <v>56</v>
      </c>
      <c r="F10">
        <v>69</v>
      </c>
      <c r="G10" t="s">
        <v>55</v>
      </c>
      <c r="H10" t="s">
        <v>60</v>
      </c>
      <c r="I10" t="s">
        <v>29</v>
      </c>
      <c r="J10" t="s">
        <v>12</v>
      </c>
      <c r="K10" t="s">
        <v>55</v>
      </c>
      <c r="L10" t="s">
        <v>26</v>
      </c>
      <c r="M10">
        <v>40.130000000000003</v>
      </c>
      <c r="N10">
        <v>2842.77</v>
      </c>
      <c r="O10" t="s">
        <v>58</v>
      </c>
      <c r="P10" t="s">
        <v>55</v>
      </c>
      <c r="Q10">
        <f t="shared" si="0"/>
        <v>0</v>
      </c>
      <c r="R10" t="str">
        <f t="shared" si="1"/>
        <v>49+ months</v>
      </c>
      <c r="S10" t="str">
        <f t="shared" si="2"/>
        <v>&lt; $50</v>
      </c>
    </row>
    <row r="11" spans="1:19" x14ac:dyDescent="0.35">
      <c r="A11" t="s">
        <v>73</v>
      </c>
      <c r="B11">
        <v>66</v>
      </c>
      <c r="C11" t="s">
        <v>56</v>
      </c>
      <c r="D11" t="s">
        <v>56</v>
      </c>
      <c r="E11" t="s">
        <v>56</v>
      </c>
      <c r="F11">
        <v>39</v>
      </c>
      <c r="G11" t="s">
        <v>56</v>
      </c>
      <c r="H11" t="s">
        <v>56</v>
      </c>
      <c r="I11" t="s">
        <v>31</v>
      </c>
      <c r="J11" t="s">
        <v>13</v>
      </c>
      <c r="K11" t="s">
        <v>56</v>
      </c>
      <c r="L11" t="s">
        <v>24</v>
      </c>
      <c r="M11">
        <v>23.86</v>
      </c>
      <c r="N11">
        <v>887.2</v>
      </c>
      <c r="O11" t="s">
        <v>66</v>
      </c>
      <c r="P11" t="s">
        <v>55</v>
      </c>
      <c r="Q11">
        <f t="shared" si="0"/>
        <v>0</v>
      </c>
      <c r="R11" t="str">
        <f t="shared" si="1"/>
        <v>25-48 months</v>
      </c>
      <c r="S11" t="str">
        <f t="shared" si="2"/>
        <v>&lt; $50</v>
      </c>
    </row>
    <row r="12" spans="1:19" x14ac:dyDescent="0.35">
      <c r="A12" t="s">
        <v>74</v>
      </c>
      <c r="B12">
        <v>69</v>
      </c>
      <c r="C12" t="s">
        <v>56</v>
      </c>
      <c r="D12" t="s">
        <v>55</v>
      </c>
      <c r="E12" t="s">
        <v>56</v>
      </c>
      <c r="F12">
        <v>8</v>
      </c>
      <c r="G12" t="s">
        <v>56</v>
      </c>
      <c r="H12" t="s">
        <v>56</v>
      </c>
      <c r="I12" t="s">
        <v>30</v>
      </c>
      <c r="J12" t="s">
        <v>12</v>
      </c>
      <c r="K12" t="s">
        <v>56</v>
      </c>
      <c r="L12" t="s">
        <v>25</v>
      </c>
      <c r="M12">
        <v>96.64</v>
      </c>
      <c r="N12">
        <v>738.4</v>
      </c>
      <c r="O12" t="s">
        <v>58</v>
      </c>
      <c r="P12" t="s">
        <v>55</v>
      </c>
      <c r="Q12">
        <f t="shared" si="0"/>
        <v>0</v>
      </c>
      <c r="R12" t="str">
        <f t="shared" si="1"/>
        <v>0-12 months</v>
      </c>
      <c r="S12" t="str">
        <f t="shared" si="2"/>
        <v>$76-$100</v>
      </c>
    </row>
    <row r="13" spans="1:19" x14ac:dyDescent="0.35">
      <c r="A13" t="s">
        <v>75</v>
      </c>
      <c r="B13">
        <v>28</v>
      </c>
      <c r="C13" t="s">
        <v>55</v>
      </c>
      <c r="D13" t="s">
        <v>55</v>
      </c>
      <c r="E13" t="s">
        <v>55</v>
      </c>
      <c r="F13">
        <v>28</v>
      </c>
      <c r="G13" t="s">
        <v>56</v>
      </c>
      <c r="H13" t="s">
        <v>55</v>
      </c>
      <c r="I13" t="s">
        <v>31</v>
      </c>
      <c r="J13" t="s">
        <v>12</v>
      </c>
      <c r="K13" t="s">
        <v>55</v>
      </c>
      <c r="L13" t="s">
        <v>24</v>
      </c>
      <c r="M13">
        <v>24.21</v>
      </c>
      <c r="N13">
        <v>647.04999999999995</v>
      </c>
      <c r="O13" t="s">
        <v>76</v>
      </c>
      <c r="P13" t="s">
        <v>56</v>
      </c>
      <c r="Q13">
        <f t="shared" si="0"/>
        <v>1</v>
      </c>
      <c r="R13" t="str">
        <f t="shared" si="1"/>
        <v>25-48 months</v>
      </c>
      <c r="S13" t="str">
        <f t="shared" si="2"/>
        <v>&lt; $50</v>
      </c>
    </row>
    <row r="14" spans="1:19" x14ac:dyDescent="0.35">
      <c r="A14" t="s">
        <v>77</v>
      </c>
      <c r="B14">
        <v>19</v>
      </c>
      <c r="C14" t="s">
        <v>55</v>
      </c>
      <c r="D14" t="s">
        <v>56</v>
      </c>
      <c r="E14" t="s">
        <v>56</v>
      </c>
      <c r="F14">
        <v>1</v>
      </c>
      <c r="G14" t="s">
        <v>56</v>
      </c>
      <c r="H14" t="s">
        <v>56</v>
      </c>
      <c r="I14" t="s">
        <v>30</v>
      </c>
      <c r="J14" t="s">
        <v>14</v>
      </c>
      <c r="K14" t="s">
        <v>55</v>
      </c>
      <c r="L14" t="s">
        <v>26</v>
      </c>
      <c r="M14">
        <v>81.900000000000006</v>
      </c>
      <c r="N14">
        <v>83.56</v>
      </c>
      <c r="O14" t="s">
        <v>62</v>
      </c>
      <c r="P14" t="s">
        <v>56</v>
      </c>
      <c r="Q14">
        <f t="shared" si="0"/>
        <v>1</v>
      </c>
      <c r="R14" t="str">
        <f t="shared" si="1"/>
        <v>0-12 months</v>
      </c>
      <c r="S14" t="str">
        <f t="shared" si="2"/>
        <v>$76-$100</v>
      </c>
    </row>
    <row r="15" spans="1:19" x14ac:dyDescent="0.35">
      <c r="A15" t="s">
        <v>78</v>
      </c>
      <c r="B15">
        <v>64</v>
      </c>
      <c r="C15" t="s">
        <v>56</v>
      </c>
      <c r="D15" t="s">
        <v>55</v>
      </c>
      <c r="E15" t="s">
        <v>56</v>
      </c>
      <c r="F15">
        <v>61</v>
      </c>
      <c r="G15" t="s">
        <v>56</v>
      </c>
      <c r="H15" t="s">
        <v>56</v>
      </c>
      <c r="I15" t="s">
        <v>31</v>
      </c>
      <c r="J15" t="s">
        <v>13</v>
      </c>
      <c r="K15" t="s">
        <v>55</v>
      </c>
      <c r="L15" t="s">
        <v>24</v>
      </c>
      <c r="M15">
        <v>23.6</v>
      </c>
      <c r="N15">
        <v>1479.17</v>
      </c>
      <c r="O15" t="s">
        <v>69</v>
      </c>
      <c r="P15" t="s">
        <v>55</v>
      </c>
      <c r="Q15">
        <f t="shared" si="0"/>
        <v>0</v>
      </c>
      <c r="R15" t="str">
        <f t="shared" si="1"/>
        <v>49+ months</v>
      </c>
      <c r="S15" t="str">
        <f t="shared" si="2"/>
        <v>&lt; $50</v>
      </c>
    </row>
    <row r="16" spans="1:19" x14ac:dyDescent="0.35">
      <c r="A16" t="s">
        <v>79</v>
      </c>
      <c r="B16">
        <v>24</v>
      </c>
      <c r="C16" t="s">
        <v>55</v>
      </c>
      <c r="D16" t="s">
        <v>56</v>
      </c>
      <c r="E16" t="s">
        <v>55</v>
      </c>
      <c r="F16">
        <v>44</v>
      </c>
      <c r="G16" t="s">
        <v>56</v>
      </c>
      <c r="H16" t="s">
        <v>56</v>
      </c>
      <c r="I16" t="s">
        <v>31</v>
      </c>
      <c r="J16" t="s">
        <v>12</v>
      </c>
      <c r="K16" t="s">
        <v>55</v>
      </c>
      <c r="L16" t="s">
        <v>26</v>
      </c>
      <c r="M16">
        <v>20.2</v>
      </c>
      <c r="N16">
        <v>884.81</v>
      </c>
      <c r="O16" t="s">
        <v>80</v>
      </c>
      <c r="P16" t="s">
        <v>55</v>
      </c>
      <c r="Q16">
        <f t="shared" si="0"/>
        <v>0</v>
      </c>
      <c r="R16" t="str">
        <f t="shared" si="1"/>
        <v>25-48 months</v>
      </c>
      <c r="S16" t="str">
        <f t="shared" si="2"/>
        <v>&lt; $50</v>
      </c>
    </row>
    <row r="17" spans="1:19" x14ac:dyDescent="0.35">
      <c r="A17" t="s">
        <v>81</v>
      </c>
      <c r="B17">
        <v>46</v>
      </c>
      <c r="C17" t="s">
        <v>55</v>
      </c>
      <c r="D17" t="s">
        <v>56</v>
      </c>
      <c r="E17" t="s">
        <v>56</v>
      </c>
      <c r="F17">
        <v>70</v>
      </c>
      <c r="G17" t="s">
        <v>56</v>
      </c>
      <c r="H17" t="s">
        <v>55</v>
      </c>
      <c r="I17" t="s">
        <v>31</v>
      </c>
      <c r="J17" t="s">
        <v>14</v>
      </c>
      <c r="K17" t="s">
        <v>56</v>
      </c>
      <c r="L17" t="s">
        <v>24</v>
      </c>
      <c r="M17">
        <v>23.78</v>
      </c>
      <c r="N17">
        <v>1737.44</v>
      </c>
      <c r="O17" t="s">
        <v>62</v>
      </c>
      <c r="P17" t="s">
        <v>55</v>
      </c>
      <c r="Q17">
        <f t="shared" si="0"/>
        <v>0</v>
      </c>
      <c r="R17" t="str">
        <f t="shared" si="1"/>
        <v>49+ months</v>
      </c>
      <c r="S17" t="str">
        <f t="shared" si="2"/>
        <v>&lt; $50</v>
      </c>
    </row>
    <row r="18" spans="1:19" x14ac:dyDescent="0.35">
      <c r="A18" t="s">
        <v>82</v>
      </c>
      <c r="B18">
        <v>42</v>
      </c>
      <c r="C18" t="s">
        <v>55</v>
      </c>
      <c r="D18" t="s">
        <v>56</v>
      </c>
      <c r="E18" t="s">
        <v>55</v>
      </c>
      <c r="F18">
        <v>34</v>
      </c>
      <c r="G18" t="s">
        <v>55</v>
      </c>
      <c r="H18" t="s">
        <v>60</v>
      </c>
      <c r="I18" t="s">
        <v>31</v>
      </c>
      <c r="J18" t="s">
        <v>12</v>
      </c>
      <c r="K18" t="s">
        <v>55</v>
      </c>
      <c r="L18" t="s">
        <v>26</v>
      </c>
      <c r="M18">
        <v>21.56</v>
      </c>
      <c r="N18">
        <v>774.27</v>
      </c>
      <c r="O18" t="s">
        <v>58</v>
      </c>
      <c r="P18" t="s">
        <v>55</v>
      </c>
      <c r="Q18">
        <f t="shared" si="0"/>
        <v>0</v>
      </c>
      <c r="R18" t="str">
        <f t="shared" si="1"/>
        <v>25-48 months</v>
      </c>
      <c r="S18" t="str">
        <f t="shared" si="2"/>
        <v>&lt; $50</v>
      </c>
    </row>
    <row r="19" spans="1:19" x14ac:dyDescent="0.35">
      <c r="A19" t="s">
        <v>83</v>
      </c>
      <c r="B19">
        <v>21</v>
      </c>
      <c r="C19" t="s">
        <v>55</v>
      </c>
      <c r="D19" t="s">
        <v>55</v>
      </c>
      <c r="E19" t="s">
        <v>56</v>
      </c>
      <c r="F19">
        <v>7</v>
      </c>
      <c r="G19" t="s">
        <v>56</v>
      </c>
      <c r="H19" t="s">
        <v>56</v>
      </c>
      <c r="I19" t="s">
        <v>29</v>
      </c>
      <c r="J19" t="s">
        <v>12</v>
      </c>
      <c r="K19" t="s">
        <v>56</v>
      </c>
      <c r="L19" t="s">
        <v>26</v>
      </c>
      <c r="M19">
        <v>42.72</v>
      </c>
      <c r="N19">
        <v>312.02</v>
      </c>
      <c r="O19" t="s">
        <v>58</v>
      </c>
      <c r="P19" t="s">
        <v>56</v>
      </c>
      <c r="Q19">
        <f t="shared" si="0"/>
        <v>1</v>
      </c>
      <c r="R19" t="str">
        <f t="shared" si="1"/>
        <v>0-12 months</v>
      </c>
      <c r="S19" t="str">
        <f t="shared" si="2"/>
        <v>&lt; $50</v>
      </c>
    </row>
    <row r="20" spans="1:19" x14ac:dyDescent="0.35">
      <c r="A20" t="s">
        <v>84</v>
      </c>
      <c r="B20">
        <v>33</v>
      </c>
      <c r="C20" t="s">
        <v>55</v>
      </c>
      <c r="D20" t="s">
        <v>56</v>
      </c>
      <c r="E20" t="s">
        <v>56</v>
      </c>
      <c r="F20">
        <v>54</v>
      </c>
      <c r="G20" t="s">
        <v>55</v>
      </c>
      <c r="H20" t="s">
        <v>60</v>
      </c>
      <c r="I20" t="s">
        <v>29</v>
      </c>
      <c r="J20" t="s">
        <v>14</v>
      </c>
      <c r="K20" t="s">
        <v>56</v>
      </c>
      <c r="L20" t="s">
        <v>1066</v>
      </c>
      <c r="M20">
        <v>52.57</v>
      </c>
      <c r="N20">
        <v>2758.94</v>
      </c>
      <c r="O20" t="s">
        <v>69</v>
      </c>
      <c r="P20" t="s">
        <v>55</v>
      </c>
      <c r="Q20">
        <f t="shared" si="0"/>
        <v>0</v>
      </c>
      <c r="R20" t="str">
        <f t="shared" si="1"/>
        <v>49+ months</v>
      </c>
      <c r="S20" t="str">
        <f t="shared" si="2"/>
        <v>$50-$75</v>
      </c>
    </row>
    <row r="21" spans="1:19" x14ac:dyDescent="0.35">
      <c r="A21" t="s">
        <v>85</v>
      </c>
      <c r="B21">
        <v>37</v>
      </c>
      <c r="C21" t="s">
        <v>55</v>
      </c>
      <c r="D21" t="s">
        <v>55</v>
      </c>
      <c r="E21" t="s">
        <v>55</v>
      </c>
      <c r="F21">
        <v>10</v>
      </c>
      <c r="G21" t="s">
        <v>56</v>
      </c>
      <c r="H21" t="s">
        <v>56</v>
      </c>
      <c r="I21" t="s">
        <v>30</v>
      </c>
      <c r="J21" t="s">
        <v>12</v>
      </c>
      <c r="K21" t="s">
        <v>55</v>
      </c>
      <c r="L21" t="s">
        <v>26</v>
      </c>
      <c r="M21">
        <v>87.45</v>
      </c>
      <c r="N21">
        <v>829.25</v>
      </c>
      <c r="O21" t="s">
        <v>76</v>
      </c>
      <c r="P21" t="s">
        <v>56</v>
      </c>
      <c r="Q21">
        <f t="shared" si="0"/>
        <v>1</v>
      </c>
      <c r="R21" t="str">
        <f t="shared" si="1"/>
        <v>0-12 months</v>
      </c>
      <c r="S21" t="str">
        <f t="shared" si="2"/>
        <v>$76-$100</v>
      </c>
    </row>
    <row r="22" spans="1:19" x14ac:dyDescent="0.35">
      <c r="A22" t="s">
        <v>86</v>
      </c>
      <c r="B22">
        <v>28</v>
      </c>
      <c r="C22" t="s">
        <v>55</v>
      </c>
      <c r="D22" t="s">
        <v>55</v>
      </c>
      <c r="E22" t="s">
        <v>55</v>
      </c>
      <c r="F22">
        <v>68</v>
      </c>
      <c r="G22" t="s">
        <v>55</v>
      </c>
      <c r="H22" t="s">
        <v>60</v>
      </c>
      <c r="I22" t="s">
        <v>30</v>
      </c>
      <c r="J22" t="s">
        <v>14</v>
      </c>
      <c r="K22" t="s">
        <v>56</v>
      </c>
      <c r="L22" t="s">
        <v>25</v>
      </c>
      <c r="M22">
        <v>76.709999999999994</v>
      </c>
      <c r="N22">
        <v>4975.5600000000004</v>
      </c>
      <c r="O22" t="s">
        <v>58</v>
      </c>
      <c r="P22" t="s">
        <v>56</v>
      </c>
      <c r="Q22">
        <f t="shared" si="0"/>
        <v>1</v>
      </c>
      <c r="R22" t="str">
        <f t="shared" si="1"/>
        <v>49+ months</v>
      </c>
      <c r="S22" t="str">
        <f t="shared" si="2"/>
        <v>$76-$100</v>
      </c>
    </row>
    <row r="23" spans="1:19" x14ac:dyDescent="0.35">
      <c r="A23" t="s">
        <v>87</v>
      </c>
      <c r="B23">
        <v>27</v>
      </c>
      <c r="C23" t="s">
        <v>55</v>
      </c>
      <c r="D23" t="s">
        <v>55</v>
      </c>
      <c r="E23" t="s">
        <v>55</v>
      </c>
      <c r="F23">
        <v>27</v>
      </c>
      <c r="G23" t="s">
        <v>56</v>
      </c>
      <c r="H23" t="s">
        <v>55</v>
      </c>
      <c r="I23" t="s">
        <v>29</v>
      </c>
      <c r="J23" t="s">
        <v>14</v>
      </c>
      <c r="K23" t="s">
        <v>55</v>
      </c>
      <c r="L23" t="s">
        <v>26</v>
      </c>
      <c r="M23">
        <v>76.33</v>
      </c>
      <c r="N23">
        <v>1949.82</v>
      </c>
      <c r="O23" t="s">
        <v>66</v>
      </c>
      <c r="P23" t="s">
        <v>55</v>
      </c>
      <c r="Q23">
        <f t="shared" si="0"/>
        <v>0</v>
      </c>
      <c r="R23" t="str">
        <f t="shared" si="1"/>
        <v>25-48 months</v>
      </c>
      <c r="S23" t="str">
        <f t="shared" si="2"/>
        <v>$76-$100</v>
      </c>
    </row>
    <row r="24" spans="1:19" x14ac:dyDescent="0.35">
      <c r="A24" t="s">
        <v>88</v>
      </c>
      <c r="B24">
        <v>35</v>
      </c>
      <c r="C24" t="s">
        <v>55</v>
      </c>
      <c r="D24" t="s">
        <v>56</v>
      </c>
      <c r="E24" t="s">
        <v>56</v>
      </c>
      <c r="F24">
        <v>43</v>
      </c>
      <c r="G24" t="s">
        <v>55</v>
      </c>
      <c r="H24" t="s">
        <v>60</v>
      </c>
      <c r="I24" t="s">
        <v>29</v>
      </c>
      <c r="J24" t="s">
        <v>12</v>
      </c>
      <c r="K24" t="s">
        <v>55</v>
      </c>
      <c r="L24" t="s">
        <v>24</v>
      </c>
      <c r="M24">
        <v>57.11</v>
      </c>
      <c r="N24">
        <v>2311.2399999999998</v>
      </c>
      <c r="O24" t="s">
        <v>69</v>
      </c>
      <c r="P24" t="s">
        <v>56</v>
      </c>
      <c r="Q24">
        <f t="shared" si="0"/>
        <v>1</v>
      </c>
      <c r="R24" t="str">
        <f t="shared" si="1"/>
        <v>25-48 months</v>
      </c>
      <c r="S24" t="str">
        <f t="shared" si="2"/>
        <v>$50-$75</v>
      </c>
    </row>
    <row r="25" spans="1:19" x14ac:dyDescent="0.35">
      <c r="A25" t="s">
        <v>89</v>
      </c>
      <c r="B25">
        <v>75</v>
      </c>
      <c r="C25" t="s">
        <v>56</v>
      </c>
      <c r="D25" t="s">
        <v>56</v>
      </c>
      <c r="E25" t="s">
        <v>56</v>
      </c>
      <c r="F25">
        <v>48</v>
      </c>
      <c r="G25" t="s">
        <v>56</v>
      </c>
      <c r="H25" t="s">
        <v>55</v>
      </c>
      <c r="I25" t="s">
        <v>29</v>
      </c>
      <c r="J25" t="s">
        <v>12</v>
      </c>
      <c r="K25" t="s">
        <v>55</v>
      </c>
      <c r="L25" t="s">
        <v>25</v>
      </c>
      <c r="M25">
        <v>71.84</v>
      </c>
      <c r="N25">
        <v>3597.58</v>
      </c>
      <c r="O25" t="s">
        <v>62</v>
      </c>
      <c r="P25" t="s">
        <v>55</v>
      </c>
      <c r="Q25">
        <f t="shared" si="0"/>
        <v>0</v>
      </c>
      <c r="R25" t="str">
        <f t="shared" si="1"/>
        <v>25-48 months</v>
      </c>
      <c r="S25" t="str">
        <f t="shared" si="2"/>
        <v>$50-$75</v>
      </c>
    </row>
    <row r="26" spans="1:19" x14ac:dyDescent="0.35">
      <c r="A26" t="s">
        <v>90</v>
      </c>
      <c r="B26">
        <v>61</v>
      </c>
      <c r="C26" t="s">
        <v>56</v>
      </c>
      <c r="D26" t="s">
        <v>56</v>
      </c>
      <c r="E26" t="s">
        <v>56</v>
      </c>
      <c r="F26">
        <v>46</v>
      </c>
      <c r="G26" t="s">
        <v>55</v>
      </c>
      <c r="H26" t="s">
        <v>60</v>
      </c>
      <c r="I26" t="s">
        <v>29</v>
      </c>
      <c r="J26" t="s">
        <v>14</v>
      </c>
      <c r="K26" t="s">
        <v>56</v>
      </c>
      <c r="L26" t="s">
        <v>25</v>
      </c>
      <c r="M26">
        <v>49.47</v>
      </c>
      <c r="N26">
        <v>2183.46</v>
      </c>
      <c r="O26" t="s">
        <v>62</v>
      </c>
      <c r="P26" t="s">
        <v>55</v>
      </c>
      <c r="Q26">
        <f t="shared" si="0"/>
        <v>0</v>
      </c>
      <c r="R26" t="str">
        <f t="shared" si="1"/>
        <v>25-48 months</v>
      </c>
      <c r="S26" t="str">
        <f t="shared" si="2"/>
        <v>&lt; $50</v>
      </c>
    </row>
    <row r="27" spans="1:19" x14ac:dyDescent="0.35">
      <c r="A27" t="s">
        <v>91</v>
      </c>
      <c r="B27">
        <v>74</v>
      </c>
      <c r="C27" t="s">
        <v>56</v>
      </c>
      <c r="D27" t="s">
        <v>55</v>
      </c>
      <c r="E27" t="s">
        <v>56</v>
      </c>
      <c r="F27">
        <v>23</v>
      </c>
      <c r="G27" t="s">
        <v>55</v>
      </c>
      <c r="H27" t="s">
        <v>60</v>
      </c>
      <c r="I27" t="s">
        <v>29</v>
      </c>
      <c r="J27" t="s">
        <v>13</v>
      </c>
      <c r="K27" t="s">
        <v>55</v>
      </c>
      <c r="L27" t="s">
        <v>1066</v>
      </c>
      <c r="M27">
        <v>74.56</v>
      </c>
      <c r="N27">
        <v>1778.83</v>
      </c>
      <c r="O27" t="s">
        <v>66</v>
      </c>
      <c r="P27" t="s">
        <v>55</v>
      </c>
      <c r="Q27">
        <f t="shared" si="0"/>
        <v>0</v>
      </c>
      <c r="R27" t="str">
        <f t="shared" si="1"/>
        <v>13-24 months</v>
      </c>
      <c r="S27" t="str">
        <f t="shared" si="2"/>
        <v>$50-$75</v>
      </c>
    </row>
    <row r="28" spans="1:19" x14ac:dyDescent="0.35">
      <c r="A28" t="s">
        <v>92</v>
      </c>
      <c r="B28">
        <v>62</v>
      </c>
      <c r="C28" t="s">
        <v>56</v>
      </c>
      <c r="D28" t="s">
        <v>56</v>
      </c>
      <c r="E28" t="s">
        <v>55</v>
      </c>
      <c r="F28">
        <v>5</v>
      </c>
      <c r="G28" t="s">
        <v>56</v>
      </c>
      <c r="H28" t="s">
        <v>56</v>
      </c>
      <c r="I28" t="s">
        <v>31</v>
      </c>
      <c r="J28" t="s">
        <v>14</v>
      </c>
      <c r="K28" t="s">
        <v>55</v>
      </c>
      <c r="L28" t="s">
        <v>26</v>
      </c>
      <c r="M28">
        <v>27.54</v>
      </c>
      <c r="N28">
        <v>133.19999999999999</v>
      </c>
      <c r="O28" t="s">
        <v>62</v>
      </c>
      <c r="P28" t="s">
        <v>56</v>
      </c>
      <c r="Q28">
        <f t="shared" si="0"/>
        <v>1</v>
      </c>
      <c r="R28" t="str">
        <f t="shared" si="1"/>
        <v>0-12 months</v>
      </c>
      <c r="S28" t="str">
        <f t="shared" si="2"/>
        <v>&lt; $50</v>
      </c>
    </row>
    <row r="29" spans="1:19" x14ac:dyDescent="0.35">
      <c r="A29" t="s">
        <v>93</v>
      </c>
      <c r="B29">
        <v>43</v>
      </c>
      <c r="C29" t="s">
        <v>55</v>
      </c>
      <c r="D29" t="s">
        <v>55</v>
      </c>
      <c r="E29" t="s">
        <v>55</v>
      </c>
      <c r="F29">
        <v>9</v>
      </c>
      <c r="G29" t="s">
        <v>55</v>
      </c>
      <c r="H29" t="s">
        <v>60</v>
      </c>
      <c r="I29" t="s">
        <v>31</v>
      </c>
      <c r="J29" t="s">
        <v>12</v>
      </c>
      <c r="K29" t="s">
        <v>55</v>
      </c>
      <c r="L29" t="s">
        <v>1066</v>
      </c>
      <c r="M29">
        <v>28.12</v>
      </c>
      <c r="N29">
        <v>247.95</v>
      </c>
      <c r="O29" t="s">
        <v>76</v>
      </c>
      <c r="P29" t="s">
        <v>56</v>
      </c>
      <c r="Q29">
        <f t="shared" si="0"/>
        <v>1</v>
      </c>
      <c r="R29" t="str">
        <f t="shared" si="1"/>
        <v>0-12 months</v>
      </c>
      <c r="S29" t="str">
        <f t="shared" si="2"/>
        <v>&lt; $50</v>
      </c>
    </row>
    <row r="30" spans="1:19" x14ac:dyDescent="0.35">
      <c r="A30" t="s">
        <v>94</v>
      </c>
      <c r="B30">
        <v>29</v>
      </c>
      <c r="C30" t="s">
        <v>55</v>
      </c>
      <c r="D30" t="s">
        <v>55</v>
      </c>
      <c r="E30" t="s">
        <v>56</v>
      </c>
      <c r="F30">
        <v>14</v>
      </c>
      <c r="G30" t="s">
        <v>55</v>
      </c>
      <c r="H30" t="s">
        <v>60</v>
      </c>
      <c r="I30" t="s">
        <v>29</v>
      </c>
      <c r="J30" t="s">
        <v>13</v>
      </c>
      <c r="K30" t="s">
        <v>55</v>
      </c>
      <c r="L30" t="s">
        <v>24</v>
      </c>
      <c r="M30">
        <v>79.37</v>
      </c>
      <c r="N30">
        <v>1059.93</v>
      </c>
      <c r="O30" t="s">
        <v>62</v>
      </c>
      <c r="P30" t="s">
        <v>55</v>
      </c>
      <c r="Q30">
        <f t="shared" si="0"/>
        <v>0</v>
      </c>
      <c r="R30" t="str">
        <f t="shared" si="1"/>
        <v>13-24 months</v>
      </c>
      <c r="S30" t="str">
        <f t="shared" si="2"/>
        <v>$76-$100</v>
      </c>
    </row>
    <row r="31" spans="1:19" x14ac:dyDescent="0.35">
      <c r="A31" t="s">
        <v>95</v>
      </c>
      <c r="B31">
        <v>34</v>
      </c>
      <c r="C31" t="s">
        <v>55</v>
      </c>
      <c r="D31" t="s">
        <v>56</v>
      </c>
      <c r="E31" t="s">
        <v>55</v>
      </c>
      <c r="F31">
        <v>1</v>
      </c>
      <c r="G31" t="s">
        <v>56</v>
      </c>
      <c r="H31" t="s">
        <v>55</v>
      </c>
      <c r="I31" t="s">
        <v>29</v>
      </c>
      <c r="J31" t="s">
        <v>12</v>
      </c>
      <c r="K31" t="s">
        <v>55</v>
      </c>
      <c r="L31" t="s">
        <v>1066</v>
      </c>
      <c r="M31">
        <v>66.540000000000006</v>
      </c>
      <c r="N31">
        <v>63.54</v>
      </c>
      <c r="O31" t="s">
        <v>58</v>
      </c>
      <c r="P31" t="s">
        <v>55</v>
      </c>
      <c r="Q31">
        <f t="shared" si="0"/>
        <v>0</v>
      </c>
      <c r="R31" t="str">
        <f t="shared" si="1"/>
        <v>0-12 months</v>
      </c>
      <c r="S31" t="str">
        <f t="shared" si="2"/>
        <v>$50-$75</v>
      </c>
    </row>
    <row r="32" spans="1:19" x14ac:dyDescent="0.35">
      <c r="A32" t="s">
        <v>96</v>
      </c>
      <c r="B32">
        <v>37</v>
      </c>
      <c r="C32" t="s">
        <v>55</v>
      </c>
      <c r="D32" t="s">
        <v>55</v>
      </c>
      <c r="E32" t="s">
        <v>55</v>
      </c>
      <c r="F32">
        <v>52</v>
      </c>
      <c r="G32" t="s">
        <v>56</v>
      </c>
      <c r="H32" t="s">
        <v>56</v>
      </c>
      <c r="I32" t="s">
        <v>29</v>
      </c>
      <c r="J32" t="s">
        <v>13</v>
      </c>
      <c r="K32" t="s">
        <v>55</v>
      </c>
      <c r="L32" t="s">
        <v>1066</v>
      </c>
      <c r="M32">
        <v>76.11</v>
      </c>
      <c r="N32">
        <v>4012.58</v>
      </c>
      <c r="O32" t="s">
        <v>58</v>
      </c>
      <c r="P32" t="s">
        <v>55</v>
      </c>
      <c r="Q32">
        <f t="shared" si="0"/>
        <v>0</v>
      </c>
      <c r="R32" t="str">
        <f t="shared" si="1"/>
        <v>49+ months</v>
      </c>
      <c r="S32" t="str">
        <f t="shared" si="2"/>
        <v>$76-$100</v>
      </c>
    </row>
    <row r="33" spans="1:19" x14ac:dyDescent="0.35">
      <c r="A33" t="s">
        <v>97</v>
      </c>
      <c r="B33">
        <v>71</v>
      </c>
      <c r="C33" t="s">
        <v>56</v>
      </c>
      <c r="D33" t="s">
        <v>56</v>
      </c>
      <c r="E33" t="s">
        <v>55</v>
      </c>
      <c r="F33">
        <v>37</v>
      </c>
      <c r="G33" t="s">
        <v>55</v>
      </c>
      <c r="H33" t="s">
        <v>60</v>
      </c>
      <c r="I33" t="s">
        <v>30</v>
      </c>
      <c r="J33" t="s">
        <v>12</v>
      </c>
      <c r="K33" t="s">
        <v>55</v>
      </c>
      <c r="L33" t="s">
        <v>1066</v>
      </c>
      <c r="M33">
        <v>95.56</v>
      </c>
      <c r="N33">
        <v>3660.35</v>
      </c>
      <c r="O33" t="s">
        <v>69</v>
      </c>
      <c r="P33" t="s">
        <v>55</v>
      </c>
      <c r="Q33">
        <f t="shared" si="0"/>
        <v>0</v>
      </c>
      <c r="R33" t="str">
        <f t="shared" si="1"/>
        <v>25-48 months</v>
      </c>
      <c r="S33" t="str">
        <f t="shared" si="2"/>
        <v>$76-$100</v>
      </c>
    </row>
    <row r="34" spans="1:19" x14ac:dyDescent="0.35">
      <c r="A34" t="s">
        <v>98</v>
      </c>
      <c r="B34">
        <v>28</v>
      </c>
      <c r="C34" t="s">
        <v>55</v>
      </c>
      <c r="D34" t="s">
        <v>56</v>
      </c>
      <c r="E34" t="s">
        <v>55</v>
      </c>
      <c r="F34">
        <v>66</v>
      </c>
      <c r="G34" t="s">
        <v>55</v>
      </c>
      <c r="H34" t="s">
        <v>60</v>
      </c>
      <c r="I34" t="s">
        <v>29</v>
      </c>
      <c r="J34" t="s">
        <v>12</v>
      </c>
      <c r="K34" t="s">
        <v>56</v>
      </c>
      <c r="L34" t="s">
        <v>1066</v>
      </c>
      <c r="M34">
        <v>48.99</v>
      </c>
      <c r="N34">
        <v>3116.6</v>
      </c>
      <c r="O34" t="s">
        <v>62</v>
      </c>
      <c r="P34" t="s">
        <v>56</v>
      </c>
      <c r="Q34">
        <f t="shared" si="0"/>
        <v>1</v>
      </c>
      <c r="R34" t="str">
        <f t="shared" si="1"/>
        <v>49+ months</v>
      </c>
      <c r="S34" t="str">
        <f t="shared" si="2"/>
        <v>&lt; $50</v>
      </c>
    </row>
    <row r="35" spans="1:19" x14ac:dyDescent="0.35">
      <c r="A35" t="s">
        <v>99</v>
      </c>
      <c r="B35">
        <v>48</v>
      </c>
      <c r="C35" t="s">
        <v>55</v>
      </c>
      <c r="D35" t="s">
        <v>56</v>
      </c>
      <c r="E35" t="s">
        <v>55</v>
      </c>
      <c r="F35">
        <v>54</v>
      </c>
      <c r="G35" t="s">
        <v>56</v>
      </c>
      <c r="H35" t="s">
        <v>55</v>
      </c>
      <c r="I35" t="s">
        <v>31</v>
      </c>
      <c r="J35" t="s">
        <v>12</v>
      </c>
      <c r="K35" t="s">
        <v>55</v>
      </c>
      <c r="L35" t="s">
        <v>26</v>
      </c>
      <c r="M35">
        <v>25.87</v>
      </c>
      <c r="N35">
        <v>1314.09</v>
      </c>
      <c r="O35" t="s">
        <v>66</v>
      </c>
      <c r="P35" t="s">
        <v>55</v>
      </c>
      <c r="Q35">
        <f t="shared" si="0"/>
        <v>0</v>
      </c>
      <c r="R35" t="str">
        <f t="shared" si="1"/>
        <v>49+ months</v>
      </c>
      <c r="S35" t="str">
        <f t="shared" si="2"/>
        <v>&lt; $50</v>
      </c>
    </row>
    <row r="36" spans="1:19" x14ac:dyDescent="0.35">
      <c r="A36" t="s">
        <v>100</v>
      </c>
      <c r="B36">
        <v>74</v>
      </c>
      <c r="C36" t="s">
        <v>56</v>
      </c>
      <c r="D36" t="s">
        <v>56</v>
      </c>
      <c r="E36" t="s">
        <v>55</v>
      </c>
      <c r="F36">
        <v>29</v>
      </c>
      <c r="G36" t="s">
        <v>55</v>
      </c>
      <c r="H36" t="s">
        <v>60</v>
      </c>
      <c r="I36" t="s">
        <v>30</v>
      </c>
      <c r="J36" t="s">
        <v>12</v>
      </c>
      <c r="K36" t="s">
        <v>56</v>
      </c>
      <c r="L36" t="s">
        <v>25</v>
      </c>
      <c r="M36">
        <v>76.069999999999993</v>
      </c>
      <c r="N36">
        <v>2108.9699999999998</v>
      </c>
      <c r="O36" t="s">
        <v>58</v>
      </c>
      <c r="P36" t="s">
        <v>55</v>
      </c>
      <c r="Q36">
        <f t="shared" si="0"/>
        <v>0</v>
      </c>
      <c r="R36" t="str">
        <f t="shared" si="1"/>
        <v>25-48 months</v>
      </c>
      <c r="S36" t="str">
        <f t="shared" si="2"/>
        <v>$76-$100</v>
      </c>
    </row>
    <row r="37" spans="1:19" x14ac:dyDescent="0.35">
      <c r="A37" t="s">
        <v>101</v>
      </c>
      <c r="B37">
        <v>53</v>
      </c>
      <c r="C37" t="s">
        <v>55</v>
      </c>
      <c r="D37" t="s">
        <v>55</v>
      </c>
      <c r="E37" t="s">
        <v>55</v>
      </c>
      <c r="F37">
        <v>65</v>
      </c>
      <c r="G37" t="s">
        <v>55</v>
      </c>
      <c r="H37" t="s">
        <v>60</v>
      </c>
      <c r="I37" t="s">
        <v>30</v>
      </c>
      <c r="J37" t="s">
        <v>14</v>
      </c>
      <c r="K37" t="s">
        <v>55</v>
      </c>
      <c r="L37" t="s">
        <v>24</v>
      </c>
      <c r="M37">
        <v>107.59</v>
      </c>
      <c r="N37">
        <v>7278.56</v>
      </c>
      <c r="O37" t="s">
        <v>66</v>
      </c>
      <c r="P37" t="s">
        <v>55</v>
      </c>
      <c r="Q37">
        <f t="shared" si="0"/>
        <v>0</v>
      </c>
      <c r="R37" t="str">
        <f t="shared" si="1"/>
        <v>49+ months</v>
      </c>
      <c r="S37" t="str">
        <f t="shared" si="2"/>
        <v>&gt; $100</v>
      </c>
    </row>
    <row r="38" spans="1:19" x14ac:dyDescent="0.35">
      <c r="A38" t="s">
        <v>102</v>
      </c>
      <c r="B38">
        <v>51</v>
      </c>
      <c r="C38" t="s">
        <v>55</v>
      </c>
      <c r="D38" t="s">
        <v>55</v>
      </c>
      <c r="E38" t="s">
        <v>56</v>
      </c>
      <c r="F38">
        <v>36</v>
      </c>
      <c r="G38" t="s">
        <v>55</v>
      </c>
      <c r="H38" t="s">
        <v>60</v>
      </c>
      <c r="I38" t="s">
        <v>30</v>
      </c>
      <c r="J38" t="s">
        <v>12</v>
      </c>
      <c r="K38" t="s">
        <v>55</v>
      </c>
      <c r="L38" t="s">
        <v>26</v>
      </c>
      <c r="M38">
        <v>97.01</v>
      </c>
      <c r="N38">
        <v>3340.81</v>
      </c>
      <c r="O38" t="s">
        <v>69</v>
      </c>
      <c r="P38" t="s">
        <v>56</v>
      </c>
      <c r="Q38">
        <f t="shared" si="0"/>
        <v>1</v>
      </c>
      <c r="R38" t="str">
        <f t="shared" si="1"/>
        <v>25-48 months</v>
      </c>
      <c r="S38" t="str">
        <f t="shared" si="2"/>
        <v>$76-$100</v>
      </c>
    </row>
    <row r="39" spans="1:19" x14ac:dyDescent="0.35">
      <c r="A39" t="s">
        <v>103</v>
      </c>
      <c r="B39">
        <v>27</v>
      </c>
      <c r="C39" t="s">
        <v>55</v>
      </c>
      <c r="D39" t="s">
        <v>56</v>
      </c>
      <c r="E39" t="s">
        <v>56</v>
      </c>
      <c r="F39">
        <v>54</v>
      </c>
      <c r="G39" t="s">
        <v>55</v>
      </c>
      <c r="H39" t="s">
        <v>60</v>
      </c>
      <c r="I39" t="s">
        <v>30</v>
      </c>
      <c r="J39" t="s">
        <v>12</v>
      </c>
      <c r="K39" t="s">
        <v>56</v>
      </c>
      <c r="L39" t="s">
        <v>1066</v>
      </c>
      <c r="M39">
        <v>89.47</v>
      </c>
      <c r="N39">
        <v>4987.8</v>
      </c>
      <c r="O39" t="s">
        <v>80</v>
      </c>
      <c r="P39" t="s">
        <v>55</v>
      </c>
      <c r="Q39">
        <f t="shared" si="0"/>
        <v>0</v>
      </c>
      <c r="R39" t="str">
        <f t="shared" si="1"/>
        <v>49+ months</v>
      </c>
      <c r="S39" t="str">
        <f t="shared" si="2"/>
        <v>$76-$100</v>
      </c>
    </row>
    <row r="40" spans="1:19" x14ac:dyDescent="0.35">
      <c r="A40" t="s">
        <v>104</v>
      </c>
      <c r="B40">
        <v>72</v>
      </c>
      <c r="C40" t="s">
        <v>56</v>
      </c>
      <c r="D40" t="s">
        <v>55</v>
      </c>
      <c r="E40" t="s">
        <v>55</v>
      </c>
      <c r="F40">
        <v>1</v>
      </c>
      <c r="G40" t="s">
        <v>55</v>
      </c>
      <c r="H40" t="s">
        <v>60</v>
      </c>
      <c r="I40" t="s">
        <v>31</v>
      </c>
      <c r="J40" t="s">
        <v>13</v>
      </c>
      <c r="K40" t="s">
        <v>55</v>
      </c>
      <c r="L40" t="s">
        <v>24</v>
      </c>
      <c r="M40">
        <v>26.82</v>
      </c>
      <c r="N40">
        <v>27.79</v>
      </c>
      <c r="O40" t="s">
        <v>64</v>
      </c>
      <c r="P40" t="s">
        <v>55</v>
      </c>
      <c r="Q40">
        <f t="shared" si="0"/>
        <v>0</v>
      </c>
      <c r="R40" t="str">
        <f t="shared" si="1"/>
        <v>0-12 months</v>
      </c>
      <c r="S40" t="str">
        <f t="shared" si="2"/>
        <v>&lt; $50</v>
      </c>
    </row>
    <row r="41" spans="1:19" x14ac:dyDescent="0.35">
      <c r="A41" t="s">
        <v>105</v>
      </c>
      <c r="B41">
        <v>32</v>
      </c>
      <c r="C41" t="s">
        <v>55</v>
      </c>
      <c r="D41" t="s">
        <v>55</v>
      </c>
      <c r="E41" t="s">
        <v>55</v>
      </c>
      <c r="F41">
        <v>63</v>
      </c>
      <c r="G41" t="s">
        <v>55</v>
      </c>
      <c r="H41" t="s">
        <v>60</v>
      </c>
      <c r="I41" t="s">
        <v>30</v>
      </c>
      <c r="J41" t="s">
        <v>13</v>
      </c>
      <c r="K41" t="s">
        <v>55</v>
      </c>
      <c r="L41" t="s">
        <v>1066</v>
      </c>
      <c r="M41">
        <v>112.03</v>
      </c>
      <c r="N41">
        <v>7413.22</v>
      </c>
      <c r="O41" t="s">
        <v>58</v>
      </c>
      <c r="P41" t="s">
        <v>55</v>
      </c>
      <c r="Q41">
        <f t="shared" si="0"/>
        <v>0</v>
      </c>
      <c r="R41" t="str">
        <f t="shared" si="1"/>
        <v>49+ months</v>
      </c>
      <c r="S41" t="str">
        <f t="shared" si="2"/>
        <v>&gt; $100</v>
      </c>
    </row>
    <row r="42" spans="1:19" x14ac:dyDescent="0.35">
      <c r="A42" t="s">
        <v>106</v>
      </c>
      <c r="B42">
        <v>19</v>
      </c>
      <c r="C42" t="s">
        <v>55</v>
      </c>
      <c r="D42" t="s">
        <v>55</v>
      </c>
      <c r="E42" t="s">
        <v>56</v>
      </c>
      <c r="F42">
        <v>11</v>
      </c>
      <c r="G42" t="s">
        <v>56</v>
      </c>
      <c r="H42" t="s">
        <v>55</v>
      </c>
      <c r="I42" t="s">
        <v>29</v>
      </c>
      <c r="J42" t="s">
        <v>12</v>
      </c>
      <c r="K42" t="s">
        <v>55</v>
      </c>
      <c r="L42" t="s">
        <v>24</v>
      </c>
      <c r="M42">
        <v>48.47</v>
      </c>
      <c r="N42">
        <v>522.09</v>
      </c>
      <c r="O42" t="s">
        <v>64</v>
      </c>
      <c r="P42" t="s">
        <v>55</v>
      </c>
      <c r="Q42">
        <f t="shared" si="0"/>
        <v>0</v>
      </c>
      <c r="R42" t="str">
        <f t="shared" si="1"/>
        <v>0-12 months</v>
      </c>
      <c r="S42" t="str">
        <f t="shared" si="2"/>
        <v>&lt; $50</v>
      </c>
    </row>
    <row r="43" spans="1:19" x14ac:dyDescent="0.35">
      <c r="A43" t="s">
        <v>107</v>
      </c>
      <c r="B43">
        <v>35</v>
      </c>
      <c r="C43" t="s">
        <v>55</v>
      </c>
      <c r="D43" t="s">
        <v>55</v>
      </c>
      <c r="E43" t="s">
        <v>55</v>
      </c>
      <c r="F43">
        <v>11</v>
      </c>
      <c r="G43" t="s">
        <v>56</v>
      </c>
      <c r="H43" t="s">
        <v>55</v>
      </c>
      <c r="I43" t="s">
        <v>29</v>
      </c>
      <c r="J43" t="s">
        <v>12</v>
      </c>
      <c r="K43" t="s">
        <v>56</v>
      </c>
      <c r="L43" t="s">
        <v>1066</v>
      </c>
      <c r="M43">
        <v>66.069999999999993</v>
      </c>
      <c r="N43">
        <v>748.94</v>
      </c>
      <c r="O43" t="s">
        <v>62</v>
      </c>
      <c r="P43" t="s">
        <v>55</v>
      </c>
      <c r="Q43">
        <f t="shared" si="0"/>
        <v>0</v>
      </c>
      <c r="R43" t="str">
        <f t="shared" si="1"/>
        <v>0-12 months</v>
      </c>
      <c r="S43" t="str">
        <f t="shared" si="2"/>
        <v>$50-$75</v>
      </c>
    </row>
    <row r="44" spans="1:19" x14ac:dyDescent="0.35">
      <c r="A44" t="s">
        <v>108</v>
      </c>
      <c r="B44">
        <v>71</v>
      </c>
      <c r="C44" t="s">
        <v>56</v>
      </c>
      <c r="D44" t="s">
        <v>56</v>
      </c>
      <c r="E44" t="s">
        <v>56</v>
      </c>
      <c r="F44">
        <v>31</v>
      </c>
      <c r="G44" t="s">
        <v>56</v>
      </c>
      <c r="H44" t="s">
        <v>55</v>
      </c>
      <c r="I44" t="s">
        <v>30</v>
      </c>
      <c r="J44" t="s">
        <v>12</v>
      </c>
      <c r="K44" t="s">
        <v>55</v>
      </c>
      <c r="L44" t="s">
        <v>1066</v>
      </c>
      <c r="M44">
        <v>78.39</v>
      </c>
      <c r="N44">
        <v>2461.36</v>
      </c>
      <c r="O44" t="s">
        <v>80</v>
      </c>
      <c r="P44" t="s">
        <v>55</v>
      </c>
      <c r="Q44">
        <f t="shared" si="0"/>
        <v>0</v>
      </c>
      <c r="R44" t="str">
        <f t="shared" si="1"/>
        <v>25-48 months</v>
      </c>
      <c r="S44" t="str">
        <f t="shared" si="2"/>
        <v>$76-$100</v>
      </c>
    </row>
    <row r="45" spans="1:19" x14ac:dyDescent="0.35">
      <c r="A45" t="s">
        <v>109</v>
      </c>
      <c r="B45">
        <v>67</v>
      </c>
      <c r="C45" t="s">
        <v>56</v>
      </c>
      <c r="D45" t="s">
        <v>56</v>
      </c>
      <c r="E45" t="s">
        <v>55</v>
      </c>
      <c r="F45">
        <v>14</v>
      </c>
      <c r="G45" t="s">
        <v>55</v>
      </c>
      <c r="H45" t="s">
        <v>60</v>
      </c>
      <c r="I45" t="s">
        <v>29</v>
      </c>
      <c r="J45" t="s">
        <v>13</v>
      </c>
      <c r="K45" t="s">
        <v>55</v>
      </c>
      <c r="L45" t="s">
        <v>24</v>
      </c>
      <c r="M45">
        <v>68.599999999999994</v>
      </c>
      <c r="N45">
        <v>911.53</v>
      </c>
      <c r="O45" t="s">
        <v>69</v>
      </c>
      <c r="P45" t="s">
        <v>55</v>
      </c>
      <c r="Q45">
        <f t="shared" si="0"/>
        <v>0</v>
      </c>
      <c r="R45" t="str">
        <f t="shared" si="1"/>
        <v>13-24 months</v>
      </c>
      <c r="S45" t="str">
        <f t="shared" si="2"/>
        <v>$50-$75</v>
      </c>
    </row>
    <row r="46" spans="1:19" x14ac:dyDescent="0.35">
      <c r="A46" t="s">
        <v>110</v>
      </c>
      <c r="B46">
        <v>33</v>
      </c>
      <c r="C46" t="s">
        <v>55</v>
      </c>
      <c r="D46" t="s">
        <v>56</v>
      </c>
      <c r="E46" t="s">
        <v>55</v>
      </c>
      <c r="F46">
        <v>16</v>
      </c>
      <c r="G46" t="s">
        <v>56</v>
      </c>
      <c r="H46" t="s">
        <v>56</v>
      </c>
      <c r="I46" t="s">
        <v>29</v>
      </c>
      <c r="J46" t="s">
        <v>12</v>
      </c>
      <c r="K46" t="s">
        <v>55</v>
      </c>
      <c r="L46" t="s">
        <v>26</v>
      </c>
      <c r="M46">
        <v>65.900000000000006</v>
      </c>
      <c r="N46">
        <v>992.74</v>
      </c>
      <c r="O46" t="s">
        <v>64</v>
      </c>
      <c r="P46" t="s">
        <v>55</v>
      </c>
      <c r="Q46">
        <f t="shared" si="0"/>
        <v>0</v>
      </c>
      <c r="R46" t="str">
        <f t="shared" si="1"/>
        <v>13-24 months</v>
      </c>
      <c r="S46" t="str">
        <f t="shared" si="2"/>
        <v>$50-$75</v>
      </c>
    </row>
    <row r="47" spans="1:19" x14ac:dyDescent="0.35">
      <c r="A47" t="s">
        <v>111</v>
      </c>
      <c r="B47">
        <v>24</v>
      </c>
      <c r="C47" t="s">
        <v>55</v>
      </c>
      <c r="D47" t="s">
        <v>55</v>
      </c>
      <c r="E47" t="s">
        <v>55</v>
      </c>
      <c r="F47">
        <v>59</v>
      </c>
      <c r="G47" t="s">
        <v>55</v>
      </c>
      <c r="H47" t="s">
        <v>60</v>
      </c>
      <c r="I47" t="s">
        <v>29</v>
      </c>
      <c r="J47" t="s">
        <v>12</v>
      </c>
      <c r="K47" t="s">
        <v>55</v>
      </c>
      <c r="L47" t="s">
        <v>1066</v>
      </c>
      <c r="M47">
        <v>76.78</v>
      </c>
      <c r="N47">
        <v>4679.32</v>
      </c>
      <c r="O47" t="s">
        <v>66</v>
      </c>
      <c r="P47" t="s">
        <v>55</v>
      </c>
      <c r="Q47">
        <f t="shared" si="0"/>
        <v>0</v>
      </c>
      <c r="R47" t="str">
        <f t="shared" si="1"/>
        <v>49+ months</v>
      </c>
      <c r="S47" t="str">
        <f t="shared" si="2"/>
        <v>$76-$100</v>
      </c>
    </row>
    <row r="48" spans="1:19" x14ac:dyDescent="0.35">
      <c r="A48" t="s">
        <v>112</v>
      </c>
      <c r="B48">
        <v>64</v>
      </c>
      <c r="C48" t="s">
        <v>56</v>
      </c>
      <c r="D48" t="s">
        <v>55</v>
      </c>
      <c r="E48" t="s">
        <v>55</v>
      </c>
      <c r="F48">
        <v>32</v>
      </c>
      <c r="G48" t="s">
        <v>56</v>
      </c>
      <c r="H48" t="s">
        <v>56</v>
      </c>
      <c r="I48" t="s">
        <v>31</v>
      </c>
      <c r="J48" t="s">
        <v>12</v>
      </c>
      <c r="K48" t="s">
        <v>55</v>
      </c>
      <c r="L48" t="s">
        <v>24</v>
      </c>
      <c r="M48">
        <v>26.02</v>
      </c>
      <c r="N48">
        <v>816.29</v>
      </c>
      <c r="O48" t="s">
        <v>76</v>
      </c>
      <c r="P48" t="s">
        <v>55</v>
      </c>
      <c r="Q48">
        <f t="shared" si="0"/>
        <v>0</v>
      </c>
      <c r="R48" t="str">
        <f t="shared" si="1"/>
        <v>25-48 months</v>
      </c>
      <c r="S48" t="str">
        <f t="shared" si="2"/>
        <v>&lt; $50</v>
      </c>
    </row>
    <row r="49" spans="1:19" x14ac:dyDescent="0.35">
      <c r="A49" t="s">
        <v>113</v>
      </c>
      <c r="B49">
        <v>29</v>
      </c>
      <c r="C49" t="s">
        <v>55</v>
      </c>
      <c r="D49" t="s">
        <v>55</v>
      </c>
      <c r="E49" t="s">
        <v>56</v>
      </c>
      <c r="F49">
        <v>46</v>
      </c>
      <c r="G49" t="s">
        <v>55</v>
      </c>
      <c r="H49" t="s">
        <v>60</v>
      </c>
      <c r="I49" t="s">
        <v>29</v>
      </c>
      <c r="J49" t="s">
        <v>12</v>
      </c>
      <c r="K49" t="s">
        <v>55</v>
      </c>
      <c r="L49" t="s">
        <v>24</v>
      </c>
      <c r="M49">
        <v>60.67</v>
      </c>
      <c r="N49">
        <v>2687.36</v>
      </c>
      <c r="O49" t="s">
        <v>64</v>
      </c>
      <c r="P49" t="s">
        <v>56</v>
      </c>
      <c r="Q49">
        <f t="shared" si="0"/>
        <v>1</v>
      </c>
      <c r="R49" t="str">
        <f t="shared" si="1"/>
        <v>25-48 months</v>
      </c>
      <c r="S49" t="str">
        <f t="shared" si="2"/>
        <v>$50-$75</v>
      </c>
    </row>
    <row r="50" spans="1:19" x14ac:dyDescent="0.35">
      <c r="A50" t="s">
        <v>114</v>
      </c>
      <c r="B50">
        <v>49</v>
      </c>
      <c r="C50" t="s">
        <v>55</v>
      </c>
      <c r="D50" t="s">
        <v>56</v>
      </c>
      <c r="E50" t="s">
        <v>55</v>
      </c>
      <c r="F50">
        <v>63</v>
      </c>
      <c r="G50" t="s">
        <v>56</v>
      </c>
      <c r="H50" t="s">
        <v>56</v>
      </c>
      <c r="I50" t="s">
        <v>30</v>
      </c>
      <c r="J50" t="s">
        <v>12</v>
      </c>
      <c r="K50" t="s">
        <v>56</v>
      </c>
      <c r="L50" t="s">
        <v>26</v>
      </c>
      <c r="M50">
        <v>99.08</v>
      </c>
      <c r="N50">
        <v>6222.01</v>
      </c>
      <c r="O50" t="s">
        <v>64</v>
      </c>
      <c r="P50" t="s">
        <v>55</v>
      </c>
      <c r="Q50">
        <f t="shared" si="0"/>
        <v>0</v>
      </c>
      <c r="R50" t="str">
        <f t="shared" si="1"/>
        <v>49+ months</v>
      </c>
      <c r="S50" t="str">
        <f t="shared" si="2"/>
        <v>$76-$100</v>
      </c>
    </row>
    <row r="51" spans="1:19" x14ac:dyDescent="0.35">
      <c r="A51" t="s">
        <v>115</v>
      </c>
      <c r="B51">
        <v>65</v>
      </c>
      <c r="C51" t="s">
        <v>56</v>
      </c>
      <c r="D51" t="s">
        <v>55</v>
      </c>
      <c r="E51" t="s">
        <v>55</v>
      </c>
      <c r="F51">
        <v>59</v>
      </c>
      <c r="G51" t="s">
        <v>55</v>
      </c>
      <c r="H51" t="s">
        <v>60</v>
      </c>
      <c r="I51" t="s">
        <v>30</v>
      </c>
      <c r="J51" t="s">
        <v>12</v>
      </c>
      <c r="K51" t="s">
        <v>56</v>
      </c>
      <c r="L51" t="s">
        <v>26</v>
      </c>
      <c r="M51">
        <v>107.14</v>
      </c>
      <c r="N51">
        <v>6663.27</v>
      </c>
      <c r="O51" t="s">
        <v>62</v>
      </c>
      <c r="P51" t="s">
        <v>55</v>
      </c>
      <c r="Q51">
        <f t="shared" si="0"/>
        <v>0</v>
      </c>
      <c r="R51" t="str">
        <f t="shared" si="1"/>
        <v>49+ months</v>
      </c>
      <c r="S51" t="str">
        <f t="shared" si="2"/>
        <v>&gt; $100</v>
      </c>
    </row>
    <row r="52" spans="1:19" x14ac:dyDescent="0.35">
      <c r="A52" t="s">
        <v>116</v>
      </c>
      <c r="B52">
        <v>31</v>
      </c>
      <c r="C52" t="s">
        <v>55</v>
      </c>
      <c r="D52" t="s">
        <v>55</v>
      </c>
      <c r="E52" t="s">
        <v>55</v>
      </c>
      <c r="F52">
        <v>68</v>
      </c>
      <c r="G52" t="s">
        <v>56</v>
      </c>
      <c r="H52" t="s">
        <v>55</v>
      </c>
      <c r="I52" t="s">
        <v>29</v>
      </c>
      <c r="J52" t="s">
        <v>12</v>
      </c>
      <c r="K52" t="s">
        <v>55</v>
      </c>
      <c r="L52" t="s">
        <v>26</v>
      </c>
      <c r="M52">
        <v>40.57</v>
      </c>
      <c r="N52">
        <v>2770.06</v>
      </c>
      <c r="O52" t="s">
        <v>80</v>
      </c>
      <c r="P52" t="s">
        <v>56</v>
      </c>
      <c r="Q52">
        <f t="shared" si="0"/>
        <v>1</v>
      </c>
      <c r="R52" t="str">
        <f t="shared" si="1"/>
        <v>49+ months</v>
      </c>
      <c r="S52" t="str">
        <f t="shared" si="2"/>
        <v>&lt; $50</v>
      </c>
    </row>
    <row r="53" spans="1:19" x14ac:dyDescent="0.35">
      <c r="A53" t="s">
        <v>117</v>
      </c>
      <c r="B53">
        <v>53</v>
      </c>
      <c r="C53" t="s">
        <v>55</v>
      </c>
      <c r="D53" t="s">
        <v>55</v>
      </c>
      <c r="E53" t="s">
        <v>56</v>
      </c>
      <c r="F53">
        <v>63</v>
      </c>
      <c r="G53" t="s">
        <v>56</v>
      </c>
      <c r="H53" t="s">
        <v>55</v>
      </c>
      <c r="I53" t="s">
        <v>30</v>
      </c>
      <c r="J53" t="s">
        <v>12</v>
      </c>
      <c r="K53" t="s">
        <v>55</v>
      </c>
      <c r="L53" t="s">
        <v>26</v>
      </c>
      <c r="M53">
        <v>118.27</v>
      </c>
      <c r="N53">
        <v>7229.7</v>
      </c>
      <c r="O53" t="s">
        <v>80</v>
      </c>
      <c r="P53" t="s">
        <v>55</v>
      </c>
      <c r="Q53">
        <f t="shared" si="0"/>
        <v>0</v>
      </c>
      <c r="R53" t="str">
        <f t="shared" si="1"/>
        <v>49+ months</v>
      </c>
      <c r="S53" t="str">
        <f t="shared" si="2"/>
        <v>&gt; $100</v>
      </c>
    </row>
    <row r="54" spans="1:19" x14ac:dyDescent="0.35">
      <c r="A54" t="s">
        <v>118</v>
      </c>
      <c r="B54">
        <v>70</v>
      </c>
      <c r="C54" t="s">
        <v>56</v>
      </c>
      <c r="D54" t="s">
        <v>56</v>
      </c>
      <c r="E54" t="s">
        <v>55</v>
      </c>
      <c r="F54">
        <v>63</v>
      </c>
      <c r="G54" t="s">
        <v>56</v>
      </c>
      <c r="H54" t="s">
        <v>56</v>
      </c>
      <c r="I54" t="s">
        <v>30</v>
      </c>
      <c r="J54" t="s">
        <v>14</v>
      </c>
      <c r="K54" t="s">
        <v>55</v>
      </c>
      <c r="L54" t="s">
        <v>26</v>
      </c>
      <c r="M54">
        <v>82.41</v>
      </c>
      <c r="N54">
        <v>5228.01</v>
      </c>
      <c r="O54" t="s">
        <v>58</v>
      </c>
      <c r="P54" t="s">
        <v>55</v>
      </c>
      <c r="Q54">
        <f t="shared" si="0"/>
        <v>0</v>
      </c>
      <c r="R54" t="str">
        <f t="shared" si="1"/>
        <v>49+ months</v>
      </c>
      <c r="S54" t="str">
        <f t="shared" si="2"/>
        <v>$76-$100</v>
      </c>
    </row>
    <row r="55" spans="1:19" x14ac:dyDescent="0.35">
      <c r="A55" t="s">
        <v>119</v>
      </c>
      <c r="B55">
        <v>68</v>
      </c>
      <c r="C55" t="s">
        <v>56</v>
      </c>
      <c r="D55" t="s">
        <v>56</v>
      </c>
      <c r="E55" t="s">
        <v>55</v>
      </c>
      <c r="F55">
        <v>58</v>
      </c>
      <c r="G55" t="s">
        <v>55</v>
      </c>
      <c r="H55" t="s">
        <v>60</v>
      </c>
      <c r="I55" t="s">
        <v>31</v>
      </c>
      <c r="J55" t="s">
        <v>14</v>
      </c>
      <c r="K55" t="s">
        <v>55</v>
      </c>
      <c r="L55" t="s">
        <v>26</v>
      </c>
      <c r="M55">
        <v>25.45</v>
      </c>
      <c r="N55">
        <v>1495.52</v>
      </c>
      <c r="O55" t="s">
        <v>66</v>
      </c>
      <c r="P55" t="s">
        <v>55</v>
      </c>
      <c r="Q55">
        <f t="shared" si="0"/>
        <v>0</v>
      </c>
      <c r="R55" t="str">
        <f t="shared" si="1"/>
        <v>49+ months</v>
      </c>
      <c r="S55" t="str">
        <f t="shared" si="2"/>
        <v>&lt; $50</v>
      </c>
    </row>
    <row r="56" spans="1:19" x14ac:dyDescent="0.35">
      <c r="A56" t="s">
        <v>120</v>
      </c>
      <c r="B56">
        <v>31</v>
      </c>
      <c r="C56" t="s">
        <v>55</v>
      </c>
      <c r="D56" t="s">
        <v>56</v>
      </c>
      <c r="E56" t="s">
        <v>55</v>
      </c>
      <c r="F56">
        <v>11</v>
      </c>
      <c r="G56" t="s">
        <v>56</v>
      </c>
      <c r="H56" t="s">
        <v>55</v>
      </c>
      <c r="I56" t="s">
        <v>30</v>
      </c>
      <c r="J56" t="s">
        <v>12</v>
      </c>
      <c r="K56" t="s">
        <v>55</v>
      </c>
      <c r="L56" t="s">
        <v>24</v>
      </c>
      <c r="M56">
        <v>99.69</v>
      </c>
      <c r="N56">
        <v>1069.1199999999999</v>
      </c>
      <c r="O56" t="s">
        <v>69</v>
      </c>
      <c r="P56" t="s">
        <v>56</v>
      </c>
      <c r="Q56">
        <f t="shared" si="0"/>
        <v>1</v>
      </c>
      <c r="R56" t="str">
        <f t="shared" si="1"/>
        <v>0-12 months</v>
      </c>
      <c r="S56" t="str">
        <f t="shared" si="2"/>
        <v>$76-$100</v>
      </c>
    </row>
    <row r="57" spans="1:19" x14ac:dyDescent="0.35">
      <c r="A57" t="s">
        <v>121</v>
      </c>
      <c r="B57">
        <v>36</v>
      </c>
      <c r="C57" t="s">
        <v>55</v>
      </c>
      <c r="D57" t="s">
        <v>55</v>
      </c>
      <c r="E57" t="s">
        <v>56</v>
      </c>
      <c r="F57">
        <v>30</v>
      </c>
      <c r="G57" t="s">
        <v>56</v>
      </c>
      <c r="H57" t="s">
        <v>55</v>
      </c>
      <c r="I57" t="s">
        <v>31</v>
      </c>
      <c r="J57" t="s">
        <v>12</v>
      </c>
      <c r="K57" t="s">
        <v>56</v>
      </c>
      <c r="L57" t="s">
        <v>25</v>
      </c>
      <c r="M57">
        <v>27.92</v>
      </c>
      <c r="N57">
        <v>794.52</v>
      </c>
      <c r="O57" t="s">
        <v>76</v>
      </c>
      <c r="P57" t="s">
        <v>56</v>
      </c>
      <c r="Q57">
        <f t="shared" si="0"/>
        <v>1</v>
      </c>
      <c r="R57" t="str">
        <f t="shared" si="1"/>
        <v>25-48 months</v>
      </c>
      <c r="S57" t="str">
        <f t="shared" si="2"/>
        <v>&lt; $50</v>
      </c>
    </row>
    <row r="58" spans="1:19" x14ac:dyDescent="0.35">
      <c r="A58" t="s">
        <v>122</v>
      </c>
      <c r="B58">
        <v>56</v>
      </c>
      <c r="C58" t="s">
        <v>55</v>
      </c>
      <c r="D58" t="s">
        <v>55</v>
      </c>
      <c r="E58" t="s">
        <v>55</v>
      </c>
      <c r="F58">
        <v>16</v>
      </c>
      <c r="G58" t="s">
        <v>55</v>
      </c>
      <c r="H58" t="s">
        <v>60</v>
      </c>
      <c r="I58" t="s">
        <v>29</v>
      </c>
      <c r="J58" t="s">
        <v>13</v>
      </c>
      <c r="K58" t="s">
        <v>55</v>
      </c>
      <c r="L58" t="s">
        <v>24</v>
      </c>
      <c r="M58">
        <v>59.75</v>
      </c>
      <c r="N58">
        <v>907.87</v>
      </c>
      <c r="O58" t="s">
        <v>64</v>
      </c>
      <c r="P58" t="s">
        <v>56</v>
      </c>
      <c r="Q58">
        <f t="shared" si="0"/>
        <v>1</v>
      </c>
      <c r="R58" t="str">
        <f t="shared" si="1"/>
        <v>13-24 months</v>
      </c>
      <c r="S58" t="str">
        <f t="shared" si="2"/>
        <v>$50-$75</v>
      </c>
    </row>
    <row r="59" spans="1:19" x14ac:dyDescent="0.35">
      <c r="A59" t="s">
        <v>123</v>
      </c>
      <c r="B59">
        <v>65</v>
      </c>
      <c r="C59" t="s">
        <v>56</v>
      </c>
      <c r="D59" t="s">
        <v>55</v>
      </c>
      <c r="E59" t="s">
        <v>55</v>
      </c>
      <c r="F59">
        <v>4</v>
      </c>
      <c r="G59" t="s">
        <v>56</v>
      </c>
      <c r="H59" t="s">
        <v>55</v>
      </c>
      <c r="I59" t="s">
        <v>30</v>
      </c>
      <c r="J59" t="s">
        <v>13</v>
      </c>
      <c r="K59" t="s">
        <v>55</v>
      </c>
      <c r="L59" t="s">
        <v>24</v>
      </c>
      <c r="M59">
        <v>108.16</v>
      </c>
      <c r="N59">
        <v>415.78</v>
      </c>
      <c r="O59" t="s">
        <v>64</v>
      </c>
      <c r="P59" t="s">
        <v>55</v>
      </c>
      <c r="Q59">
        <f t="shared" si="0"/>
        <v>0</v>
      </c>
      <c r="R59" t="str">
        <f t="shared" si="1"/>
        <v>0-12 months</v>
      </c>
      <c r="S59" t="str">
        <f t="shared" si="2"/>
        <v>&gt; $100</v>
      </c>
    </row>
    <row r="60" spans="1:19" x14ac:dyDescent="0.35">
      <c r="A60" t="s">
        <v>124</v>
      </c>
      <c r="B60">
        <v>35</v>
      </c>
      <c r="C60" t="s">
        <v>55</v>
      </c>
      <c r="D60" t="s">
        <v>56</v>
      </c>
      <c r="E60" t="s">
        <v>55</v>
      </c>
      <c r="F60">
        <v>63</v>
      </c>
      <c r="G60" t="s">
        <v>55</v>
      </c>
      <c r="H60" t="s">
        <v>60</v>
      </c>
      <c r="I60" t="s">
        <v>31</v>
      </c>
      <c r="J60" t="s">
        <v>12</v>
      </c>
      <c r="K60" t="s">
        <v>55</v>
      </c>
      <c r="L60" t="s">
        <v>26</v>
      </c>
      <c r="M60">
        <v>19.260000000000002</v>
      </c>
      <c r="N60">
        <v>1163.99</v>
      </c>
      <c r="O60" t="s">
        <v>64</v>
      </c>
      <c r="P60" t="s">
        <v>55</v>
      </c>
      <c r="Q60">
        <f t="shared" si="0"/>
        <v>0</v>
      </c>
      <c r="R60" t="str">
        <f t="shared" si="1"/>
        <v>49+ months</v>
      </c>
      <c r="S60" t="str">
        <f t="shared" si="2"/>
        <v>&lt; $50</v>
      </c>
    </row>
    <row r="61" spans="1:19" x14ac:dyDescent="0.35">
      <c r="A61" t="s">
        <v>125</v>
      </c>
      <c r="B61">
        <v>36</v>
      </c>
      <c r="C61" t="s">
        <v>55</v>
      </c>
      <c r="D61" t="s">
        <v>55</v>
      </c>
      <c r="E61" t="s">
        <v>56</v>
      </c>
      <c r="F61">
        <v>59</v>
      </c>
      <c r="G61" t="s">
        <v>55</v>
      </c>
      <c r="H61" t="s">
        <v>60</v>
      </c>
      <c r="I61" t="s">
        <v>30</v>
      </c>
      <c r="J61" t="s">
        <v>12</v>
      </c>
      <c r="K61" t="s">
        <v>55</v>
      </c>
      <c r="L61" t="s">
        <v>25</v>
      </c>
      <c r="M61">
        <v>111.25</v>
      </c>
      <c r="N61">
        <v>6170.83</v>
      </c>
      <c r="O61" t="s">
        <v>64</v>
      </c>
      <c r="P61" t="s">
        <v>55</v>
      </c>
      <c r="Q61">
        <f t="shared" si="0"/>
        <v>0</v>
      </c>
      <c r="R61" t="str">
        <f t="shared" si="1"/>
        <v>49+ months</v>
      </c>
      <c r="S61" t="str">
        <f t="shared" si="2"/>
        <v>&gt; $100</v>
      </c>
    </row>
    <row r="62" spans="1:19" x14ac:dyDescent="0.35">
      <c r="A62" t="s">
        <v>126</v>
      </c>
      <c r="B62">
        <v>44</v>
      </c>
      <c r="C62" t="s">
        <v>55</v>
      </c>
      <c r="D62" t="s">
        <v>56</v>
      </c>
      <c r="E62" t="s">
        <v>56</v>
      </c>
      <c r="F62">
        <v>67</v>
      </c>
      <c r="G62" t="s">
        <v>55</v>
      </c>
      <c r="H62" t="s">
        <v>60</v>
      </c>
      <c r="I62" t="s">
        <v>30</v>
      </c>
      <c r="J62" t="s">
        <v>13</v>
      </c>
      <c r="K62" t="s">
        <v>56</v>
      </c>
      <c r="L62" t="s">
        <v>26</v>
      </c>
      <c r="M62">
        <v>97.46</v>
      </c>
      <c r="N62">
        <v>6864.94</v>
      </c>
      <c r="O62" t="s">
        <v>69</v>
      </c>
      <c r="P62" t="s">
        <v>55</v>
      </c>
      <c r="Q62">
        <f t="shared" si="0"/>
        <v>0</v>
      </c>
      <c r="R62" t="str">
        <f t="shared" si="1"/>
        <v>49+ months</v>
      </c>
      <c r="S62" t="str">
        <f t="shared" si="2"/>
        <v>$76-$100</v>
      </c>
    </row>
    <row r="63" spans="1:19" x14ac:dyDescent="0.35">
      <c r="A63" t="s">
        <v>127</v>
      </c>
      <c r="B63">
        <v>49</v>
      </c>
      <c r="C63" t="s">
        <v>55</v>
      </c>
      <c r="D63" t="s">
        <v>56</v>
      </c>
      <c r="E63" t="s">
        <v>56</v>
      </c>
      <c r="F63">
        <v>31</v>
      </c>
      <c r="G63" t="s">
        <v>55</v>
      </c>
      <c r="H63" t="s">
        <v>60</v>
      </c>
      <c r="I63" t="s">
        <v>29</v>
      </c>
      <c r="J63" t="s">
        <v>13</v>
      </c>
      <c r="K63" t="s">
        <v>55</v>
      </c>
      <c r="L63" t="s">
        <v>26</v>
      </c>
      <c r="M63">
        <v>79.69</v>
      </c>
      <c r="N63">
        <v>2592.8000000000002</v>
      </c>
      <c r="O63" t="s">
        <v>80</v>
      </c>
      <c r="P63" t="s">
        <v>55</v>
      </c>
      <c r="Q63">
        <f t="shared" si="0"/>
        <v>0</v>
      </c>
      <c r="R63" t="str">
        <f t="shared" si="1"/>
        <v>25-48 months</v>
      </c>
      <c r="S63" t="str">
        <f t="shared" si="2"/>
        <v>$76-$100</v>
      </c>
    </row>
    <row r="64" spans="1:19" x14ac:dyDescent="0.35">
      <c r="A64" t="s">
        <v>128</v>
      </c>
      <c r="B64">
        <v>59</v>
      </c>
      <c r="C64" t="s">
        <v>55</v>
      </c>
      <c r="D64" t="s">
        <v>56</v>
      </c>
      <c r="E64" t="s">
        <v>55</v>
      </c>
      <c r="F64">
        <v>38</v>
      </c>
      <c r="G64" t="s">
        <v>55</v>
      </c>
      <c r="H64" t="s">
        <v>60</v>
      </c>
      <c r="I64" t="s">
        <v>29</v>
      </c>
      <c r="J64" t="s">
        <v>12</v>
      </c>
      <c r="K64" t="s">
        <v>55</v>
      </c>
      <c r="L64" t="s">
        <v>25</v>
      </c>
      <c r="M64">
        <v>49.75</v>
      </c>
      <c r="N64">
        <v>1902.13</v>
      </c>
      <c r="O64" t="s">
        <v>58</v>
      </c>
      <c r="P64" t="s">
        <v>55</v>
      </c>
      <c r="Q64">
        <f t="shared" si="0"/>
        <v>0</v>
      </c>
      <c r="R64" t="str">
        <f t="shared" si="1"/>
        <v>25-48 months</v>
      </c>
      <c r="S64" t="str">
        <f t="shared" si="2"/>
        <v>&lt; $50</v>
      </c>
    </row>
    <row r="65" spans="1:19" x14ac:dyDescent="0.35">
      <c r="A65" t="s">
        <v>129</v>
      </c>
      <c r="B65">
        <v>50</v>
      </c>
      <c r="C65" t="s">
        <v>55</v>
      </c>
      <c r="D65" t="s">
        <v>56</v>
      </c>
      <c r="E65" t="s">
        <v>56</v>
      </c>
      <c r="F65">
        <v>36</v>
      </c>
      <c r="G65" t="s">
        <v>55</v>
      </c>
      <c r="H65" t="s">
        <v>60</v>
      </c>
      <c r="I65" t="s">
        <v>29</v>
      </c>
      <c r="J65" t="s">
        <v>12</v>
      </c>
      <c r="K65" t="s">
        <v>55</v>
      </c>
      <c r="L65" t="s">
        <v>1066</v>
      </c>
      <c r="M65">
        <v>51.31</v>
      </c>
      <c r="N65">
        <v>1802.51</v>
      </c>
      <c r="O65" t="s">
        <v>69</v>
      </c>
      <c r="P65" t="s">
        <v>55</v>
      </c>
      <c r="Q65">
        <f t="shared" si="0"/>
        <v>0</v>
      </c>
      <c r="R65" t="str">
        <f t="shared" si="1"/>
        <v>25-48 months</v>
      </c>
      <c r="S65" t="str">
        <f t="shared" si="2"/>
        <v>$50-$75</v>
      </c>
    </row>
    <row r="66" spans="1:19" x14ac:dyDescent="0.35">
      <c r="A66" t="s">
        <v>130</v>
      </c>
      <c r="B66">
        <v>49</v>
      </c>
      <c r="C66" t="s">
        <v>55</v>
      </c>
      <c r="D66" t="s">
        <v>56</v>
      </c>
      <c r="E66" t="s">
        <v>55</v>
      </c>
      <c r="F66">
        <v>69</v>
      </c>
      <c r="G66" t="s">
        <v>55</v>
      </c>
      <c r="H66" t="s">
        <v>60</v>
      </c>
      <c r="I66" t="s">
        <v>29</v>
      </c>
      <c r="J66" t="s">
        <v>13</v>
      </c>
      <c r="K66" t="s">
        <v>55</v>
      </c>
      <c r="L66" t="s">
        <v>24</v>
      </c>
      <c r="M66">
        <v>52.87</v>
      </c>
      <c r="N66">
        <v>3511.73</v>
      </c>
      <c r="O66" t="s">
        <v>58</v>
      </c>
      <c r="P66" t="s">
        <v>55</v>
      </c>
      <c r="Q66">
        <f t="shared" si="0"/>
        <v>0</v>
      </c>
      <c r="R66" t="str">
        <f t="shared" si="1"/>
        <v>49+ months</v>
      </c>
      <c r="S66" t="str">
        <f t="shared" si="2"/>
        <v>$50-$75</v>
      </c>
    </row>
    <row r="67" spans="1:19" x14ac:dyDescent="0.35">
      <c r="A67" t="s">
        <v>131</v>
      </c>
      <c r="B67">
        <v>42</v>
      </c>
      <c r="C67" t="s">
        <v>55</v>
      </c>
      <c r="D67" t="s">
        <v>56</v>
      </c>
      <c r="E67" t="s">
        <v>55</v>
      </c>
      <c r="F67">
        <v>6</v>
      </c>
      <c r="G67" t="s">
        <v>55</v>
      </c>
      <c r="H67" t="s">
        <v>60</v>
      </c>
      <c r="I67" t="s">
        <v>30</v>
      </c>
      <c r="J67" t="s">
        <v>13</v>
      </c>
      <c r="K67" t="s">
        <v>55</v>
      </c>
      <c r="L67" t="s">
        <v>24</v>
      </c>
      <c r="M67">
        <v>103.18</v>
      </c>
      <c r="N67">
        <v>642.91</v>
      </c>
      <c r="O67" t="s">
        <v>64</v>
      </c>
      <c r="P67" t="s">
        <v>55</v>
      </c>
      <c r="Q67">
        <f t="shared" ref="Q67:Q130" si="3">IF(P67="Yes",1,0)</f>
        <v>0</v>
      </c>
      <c r="R67" t="str">
        <f t="shared" ref="R67:R130" si="4">IF(F67&lt;=12,"0-12 months",IF(F67&lt;=24,"13-24 months",IF(F67&lt;=48,"25-48 months","49+ months")))</f>
        <v>0-12 months</v>
      </c>
      <c r="S67" t="str">
        <f t="shared" ref="S67:S130" si="5">IF(M67&lt;50,"&lt; $50",IF(M67&lt;=75,"$50-$75",IF(M67&lt;=100,"$76-$100","&gt; $100")))</f>
        <v>&gt; $100</v>
      </c>
    </row>
    <row r="68" spans="1:19" x14ac:dyDescent="0.35">
      <c r="A68" t="s">
        <v>132</v>
      </c>
      <c r="B68">
        <v>20</v>
      </c>
      <c r="C68" t="s">
        <v>55</v>
      </c>
      <c r="D68" t="s">
        <v>56</v>
      </c>
      <c r="E68" t="s">
        <v>55</v>
      </c>
      <c r="F68">
        <v>13</v>
      </c>
      <c r="G68" t="s">
        <v>55</v>
      </c>
      <c r="H68" t="s">
        <v>60</v>
      </c>
      <c r="I68" t="s">
        <v>31</v>
      </c>
      <c r="J68" t="s">
        <v>12</v>
      </c>
      <c r="K68" t="s">
        <v>55</v>
      </c>
      <c r="L68" t="s">
        <v>26</v>
      </c>
      <c r="M68">
        <v>19.73</v>
      </c>
      <c r="N68">
        <v>267.91000000000003</v>
      </c>
      <c r="O68" t="s">
        <v>80</v>
      </c>
      <c r="P68" t="s">
        <v>55</v>
      </c>
      <c r="Q68">
        <f t="shared" si="3"/>
        <v>0</v>
      </c>
      <c r="R68" t="str">
        <f t="shared" si="4"/>
        <v>13-24 months</v>
      </c>
      <c r="S68" t="str">
        <f t="shared" si="5"/>
        <v>&lt; $50</v>
      </c>
    </row>
    <row r="69" spans="1:19" x14ac:dyDescent="0.35">
      <c r="A69" t="s">
        <v>133</v>
      </c>
      <c r="B69">
        <v>48</v>
      </c>
      <c r="C69" t="s">
        <v>55</v>
      </c>
      <c r="D69" t="s">
        <v>55</v>
      </c>
      <c r="E69" t="s">
        <v>55</v>
      </c>
      <c r="F69">
        <v>51</v>
      </c>
      <c r="G69" t="s">
        <v>55</v>
      </c>
      <c r="H69" t="s">
        <v>60</v>
      </c>
      <c r="I69" t="s">
        <v>29</v>
      </c>
      <c r="J69" t="s">
        <v>14</v>
      </c>
      <c r="K69" t="s">
        <v>55</v>
      </c>
      <c r="L69" t="s">
        <v>25</v>
      </c>
      <c r="M69">
        <v>65.069999999999993</v>
      </c>
      <c r="N69">
        <v>3472.86</v>
      </c>
      <c r="O69" t="s">
        <v>58</v>
      </c>
      <c r="P69" t="s">
        <v>55</v>
      </c>
      <c r="Q69">
        <f t="shared" si="3"/>
        <v>0</v>
      </c>
      <c r="R69" t="str">
        <f t="shared" si="4"/>
        <v>49+ months</v>
      </c>
      <c r="S69" t="str">
        <f t="shared" si="5"/>
        <v>$50-$75</v>
      </c>
    </row>
    <row r="70" spans="1:19" x14ac:dyDescent="0.35">
      <c r="A70" t="s">
        <v>134</v>
      </c>
      <c r="B70">
        <v>20</v>
      </c>
      <c r="C70" t="s">
        <v>55</v>
      </c>
      <c r="D70" t="s">
        <v>56</v>
      </c>
      <c r="E70" t="s">
        <v>56</v>
      </c>
      <c r="F70">
        <v>37</v>
      </c>
      <c r="G70" t="s">
        <v>56</v>
      </c>
      <c r="H70" t="s">
        <v>55</v>
      </c>
      <c r="I70" t="s">
        <v>31</v>
      </c>
      <c r="J70" t="s">
        <v>12</v>
      </c>
      <c r="K70" t="s">
        <v>56</v>
      </c>
      <c r="L70" t="s">
        <v>24</v>
      </c>
      <c r="M70">
        <v>26.33</v>
      </c>
      <c r="N70">
        <v>1021.37</v>
      </c>
      <c r="O70" t="s">
        <v>66</v>
      </c>
      <c r="P70" t="s">
        <v>56</v>
      </c>
      <c r="Q70">
        <f t="shared" si="3"/>
        <v>1</v>
      </c>
      <c r="R70" t="str">
        <f t="shared" si="4"/>
        <v>25-48 months</v>
      </c>
      <c r="S70" t="str">
        <f t="shared" si="5"/>
        <v>&lt; $50</v>
      </c>
    </row>
    <row r="71" spans="1:19" x14ac:dyDescent="0.35">
      <c r="A71" t="s">
        <v>135</v>
      </c>
      <c r="B71">
        <v>21</v>
      </c>
      <c r="C71" t="s">
        <v>55</v>
      </c>
      <c r="D71" t="s">
        <v>55</v>
      </c>
      <c r="E71" t="s">
        <v>55</v>
      </c>
      <c r="F71">
        <v>48</v>
      </c>
      <c r="G71" t="s">
        <v>56</v>
      </c>
      <c r="H71" t="s">
        <v>55</v>
      </c>
      <c r="I71" t="s">
        <v>30</v>
      </c>
      <c r="J71" t="s">
        <v>13</v>
      </c>
      <c r="K71" t="s">
        <v>56</v>
      </c>
      <c r="L71" t="s">
        <v>26</v>
      </c>
      <c r="M71">
        <v>73.95</v>
      </c>
      <c r="N71">
        <v>3707.56</v>
      </c>
      <c r="O71" t="s">
        <v>62</v>
      </c>
      <c r="P71" t="s">
        <v>55</v>
      </c>
      <c r="Q71">
        <f t="shared" si="3"/>
        <v>0</v>
      </c>
      <c r="R71" t="str">
        <f t="shared" si="4"/>
        <v>25-48 months</v>
      </c>
      <c r="S71" t="str">
        <f t="shared" si="5"/>
        <v>$50-$75</v>
      </c>
    </row>
    <row r="72" spans="1:19" x14ac:dyDescent="0.35">
      <c r="A72" t="s">
        <v>136</v>
      </c>
      <c r="B72">
        <v>49</v>
      </c>
      <c r="C72" t="s">
        <v>55</v>
      </c>
      <c r="D72" t="s">
        <v>56</v>
      </c>
      <c r="E72" t="s">
        <v>56</v>
      </c>
      <c r="F72">
        <v>60</v>
      </c>
      <c r="G72" t="s">
        <v>55</v>
      </c>
      <c r="H72" t="s">
        <v>60</v>
      </c>
      <c r="I72" t="s">
        <v>29</v>
      </c>
      <c r="J72" t="s">
        <v>12</v>
      </c>
      <c r="K72" t="s">
        <v>56</v>
      </c>
      <c r="L72" t="s">
        <v>25</v>
      </c>
      <c r="M72">
        <v>58.61</v>
      </c>
      <c r="N72">
        <v>3426.98</v>
      </c>
      <c r="O72" t="s">
        <v>80</v>
      </c>
      <c r="P72" t="s">
        <v>55</v>
      </c>
      <c r="Q72">
        <f t="shared" si="3"/>
        <v>0</v>
      </c>
      <c r="R72" t="str">
        <f t="shared" si="4"/>
        <v>49+ months</v>
      </c>
      <c r="S72" t="str">
        <f t="shared" si="5"/>
        <v>$50-$75</v>
      </c>
    </row>
    <row r="73" spans="1:19" x14ac:dyDescent="0.35">
      <c r="A73" t="s">
        <v>137</v>
      </c>
      <c r="B73">
        <v>46</v>
      </c>
      <c r="C73" t="s">
        <v>55</v>
      </c>
      <c r="D73" t="s">
        <v>55</v>
      </c>
      <c r="E73" t="s">
        <v>55</v>
      </c>
      <c r="F73">
        <v>55</v>
      </c>
      <c r="G73" t="s">
        <v>55</v>
      </c>
      <c r="H73" t="s">
        <v>60</v>
      </c>
      <c r="I73" t="s">
        <v>29</v>
      </c>
      <c r="J73" t="s">
        <v>14</v>
      </c>
      <c r="K73" t="s">
        <v>56</v>
      </c>
      <c r="L73" t="s">
        <v>25</v>
      </c>
      <c r="M73">
        <v>74.13</v>
      </c>
      <c r="N73">
        <v>3884.7</v>
      </c>
      <c r="O73" t="s">
        <v>76</v>
      </c>
      <c r="P73" t="s">
        <v>55</v>
      </c>
      <c r="Q73">
        <f t="shared" si="3"/>
        <v>0</v>
      </c>
      <c r="R73" t="str">
        <f t="shared" si="4"/>
        <v>49+ months</v>
      </c>
      <c r="S73" t="str">
        <f t="shared" si="5"/>
        <v>$50-$75</v>
      </c>
    </row>
    <row r="74" spans="1:19" x14ac:dyDescent="0.35">
      <c r="A74" t="s">
        <v>138</v>
      </c>
      <c r="B74">
        <v>54</v>
      </c>
      <c r="C74" t="s">
        <v>55</v>
      </c>
      <c r="D74" t="s">
        <v>55</v>
      </c>
      <c r="E74" t="s">
        <v>55</v>
      </c>
      <c r="F74">
        <v>3</v>
      </c>
      <c r="G74" t="s">
        <v>55</v>
      </c>
      <c r="H74" t="s">
        <v>60</v>
      </c>
      <c r="I74" t="s">
        <v>31</v>
      </c>
      <c r="J74" t="s">
        <v>12</v>
      </c>
      <c r="K74" t="s">
        <v>56</v>
      </c>
      <c r="L74" t="s">
        <v>25</v>
      </c>
      <c r="M74">
        <v>26.94</v>
      </c>
      <c r="N74">
        <v>84.05</v>
      </c>
      <c r="O74" t="s">
        <v>66</v>
      </c>
      <c r="P74" t="s">
        <v>55</v>
      </c>
      <c r="Q74">
        <f t="shared" si="3"/>
        <v>0</v>
      </c>
      <c r="R74" t="str">
        <f t="shared" si="4"/>
        <v>0-12 months</v>
      </c>
      <c r="S74" t="str">
        <f t="shared" si="5"/>
        <v>&lt; $50</v>
      </c>
    </row>
    <row r="75" spans="1:19" x14ac:dyDescent="0.35">
      <c r="A75" t="s">
        <v>139</v>
      </c>
      <c r="B75">
        <v>69</v>
      </c>
      <c r="C75" t="s">
        <v>56</v>
      </c>
      <c r="D75" t="s">
        <v>56</v>
      </c>
      <c r="E75" t="s">
        <v>55</v>
      </c>
      <c r="F75">
        <v>29</v>
      </c>
      <c r="G75" t="s">
        <v>55</v>
      </c>
      <c r="H75" t="s">
        <v>60</v>
      </c>
      <c r="I75" t="s">
        <v>29</v>
      </c>
      <c r="J75" t="s">
        <v>13</v>
      </c>
      <c r="K75" t="s">
        <v>56</v>
      </c>
      <c r="L75" t="s">
        <v>1066</v>
      </c>
      <c r="M75">
        <v>76.14</v>
      </c>
      <c r="N75">
        <v>2246.84</v>
      </c>
      <c r="O75" t="s">
        <v>64</v>
      </c>
      <c r="P75" t="s">
        <v>55</v>
      </c>
      <c r="Q75">
        <f t="shared" si="3"/>
        <v>0</v>
      </c>
      <c r="R75" t="str">
        <f t="shared" si="4"/>
        <v>25-48 months</v>
      </c>
      <c r="S75" t="str">
        <f t="shared" si="5"/>
        <v>$76-$100</v>
      </c>
    </row>
    <row r="76" spans="1:19" x14ac:dyDescent="0.35">
      <c r="A76" t="s">
        <v>140</v>
      </c>
      <c r="B76">
        <v>20</v>
      </c>
      <c r="C76" t="s">
        <v>55</v>
      </c>
      <c r="D76" t="s">
        <v>55</v>
      </c>
      <c r="E76" t="s">
        <v>56</v>
      </c>
      <c r="F76">
        <v>12</v>
      </c>
      <c r="G76" t="s">
        <v>55</v>
      </c>
      <c r="H76" t="s">
        <v>60</v>
      </c>
      <c r="I76" t="s">
        <v>31</v>
      </c>
      <c r="J76" t="s">
        <v>13</v>
      </c>
      <c r="K76" t="s">
        <v>56</v>
      </c>
      <c r="L76" t="s">
        <v>26</v>
      </c>
      <c r="M76">
        <v>27.44</v>
      </c>
      <c r="N76">
        <v>344.16</v>
      </c>
      <c r="O76" t="s">
        <v>58</v>
      </c>
      <c r="P76" t="s">
        <v>55</v>
      </c>
      <c r="Q76">
        <f t="shared" si="3"/>
        <v>0</v>
      </c>
      <c r="R76" t="str">
        <f t="shared" si="4"/>
        <v>0-12 months</v>
      </c>
      <c r="S76" t="str">
        <f t="shared" si="5"/>
        <v>&lt; $50</v>
      </c>
    </row>
    <row r="77" spans="1:19" x14ac:dyDescent="0.35">
      <c r="A77" t="s">
        <v>141</v>
      </c>
      <c r="B77">
        <v>35</v>
      </c>
      <c r="C77" t="s">
        <v>55</v>
      </c>
      <c r="D77" t="s">
        <v>56</v>
      </c>
      <c r="E77" t="s">
        <v>55</v>
      </c>
      <c r="F77">
        <v>62</v>
      </c>
      <c r="G77" t="s">
        <v>55</v>
      </c>
      <c r="H77" t="s">
        <v>60</v>
      </c>
      <c r="I77" t="s">
        <v>31</v>
      </c>
      <c r="J77" t="s">
        <v>13</v>
      </c>
      <c r="K77" t="s">
        <v>55</v>
      </c>
      <c r="L77" t="s">
        <v>1066</v>
      </c>
      <c r="M77">
        <v>23.62</v>
      </c>
      <c r="N77">
        <v>1389.81</v>
      </c>
      <c r="O77" t="s">
        <v>62</v>
      </c>
      <c r="P77" t="s">
        <v>55</v>
      </c>
      <c r="Q77">
        <f t="shared" si="3"/>
        <v>0</v>
      </c>
      <c r="R77" t="str">
        <f t="shared" si="4"/>
        <v>49+ months</v>
      </c>
      <c r="S77" t="str">
        <f t="shared" si="5"/>
        <v>&lt; $50</v>
      </c>
    </row>
    <row r="78" spans="1:19" x14ac:dyDescent="0.35">
      <c r="A78" t="s">
        <v>142</v>
      </c>
      <c r="B78">
        <v>73</v>
      </c>
      <c r="C78" t="s">
        <v>56</v>
      </c>
      <c r="D78" t="s">
        <v>55</v>
      </c>
      <c r="E78" t="s">
        <v>55</v>
      </c>
      <c r="F78">
        <v>12</v>
      </c>
      <c r="G78" t="s">
        <v>56</v>
      </c>
      <c r="H78" t="s">
        <v>56</v>
      </c>
      <c r="I78" t="s">
        <v>29</v>
      </c>
      <c r="J78" t="s">
        <v>12</v>
      </c>
      <c r="K78" t="s">
        <v>55</v>
      </c>
      <c r="L78" t="s">
        <v>1066</v>
      </c>
      <c r="M78">
        <v>66.89</v>
      </c>
      <c r="N78">
        <v>810.82</v>
      </c>
      <c r="O78" t="s">
        <v>76</v>
      </c>
      <c r="P78" t="s">
        <v>55</v>
      </c>
      <c r="Q78">
        <f t="shared" si="3"/>
        <v>0</v>
      </c>
      <c r="R78" t="str">
        <f t="shared" si="4"/>
        <v>0-12 months</v>
      </c>
      <c r="S78" t="str">
        <f t="shared" si="5"/>
        <v>$50-$75</v>
      </c>
    </row>
    <row r="79" spans="1:19" x14ac:dyDescent="0.35">
      <c r="A79" t="s">
        <v>143</v>
      </c>
      <c r="B79">
        <v>24</v>
      </c>
      <c r="C79" t="s">
        <v>55</v>
      </c>
      <c r="D79" t="s">
        <v>56</v>
      </c>
      <c r="E79" t="s">
        <v>55</v>
      </c>
      <c r="F79">
        <v>4</v>
      </c>
      <c r="G79" t="s">
        <v>55</v>
      </c>
      <c r="H79" t="s">
        <v>60</v>
      </c>
      <c r="I79" t="s">
        <v>29</v>
      </c>
      <c r="J79" t="s">
        <v>14</v>
      </c>
      <c r="K79" t="s">
        <v>56</v>
      </c>
      <c r="L79" t="s">
        <v>1066</v>
      </c>
      <c r="M79">
        <v>65.42</v>
      </c>
      <c r="N79">
        <v>260.56</v>
      </c>
      <c r="O79" t="s">
        <v>69</v>
      </c>
      <c r="P79" t="s">
        <v>55</v>
      </c>
      <c r="Q79">
        <f t="shared" si="3"/>
        <v>0</v>
      </c>
      <c r="R79" t="str">
        <f t="shared" si="4"/>
        <v>0-12 months</v>
      </c>
      <c r="S79" t="str">
        <f t="shared" si="5"/>
        <v>$50-$75</v>
      </c>
    </row>
    <row r="80" spans="1:19" x14ac:dyDescent="0.35">
      <c r="A80" t="s">
        <v>144</v>
      </c>
      <c r="B80">
        <v>44</v>
      </c>
      <c r="C80" t="s">
        <v>55</v>
      </c>
      <c r="D80" t="s">
        <v>56</v>
      </c>
      <c r="E80" t="s">
        <v>56</v>
      </c>
      <c r="F80">
        <v>6</v>
      </c>
      <c r="G80" t="s">
        <v>55</v>
      </c>
      <c r="H80" t="s">
        <v>60</v>
      </c>
      <c r="I80" t="s">
        <v>31</v>
      </c>
      <c r="J80" t="s">
        <v>14</v>
      </c>
      <c r="K80" t="s">
        <v>56</v>
      </c>
      <c r="L80" t="s">
        <v>26</v>
      </c>
      <c r="M80">
        <v>28.65</v>
      </c>
      <c r="N80">
        <v>164.38</v>
      </c>
      <c r="O80" t="s">
        <v>69</v>
      </c>
      <c r="P80" t="s">
        <v>55</v>
      </c>
      <c r="Q80">
        <f t="shared" si="3"/>
        <v>0</v>
      </c>
      <c r="R80" t="str">
        <f t="shared" si="4"/>
        <v>0-12 months</v>
      </c>
      <c r="S80" t="str">
        <f t="shared" si="5"/>
        <v>&lt; $50</v>
      </c>
    </row>
    <row r="81" spans="1:19" x14ac:dyDescent="0.35">
      <c r="A81" t="s">
        <v>145</v>
      </c>
      <c r="B81">
        <v>65</v>
      </c>
      <c r="C81" t="s">
        <v>56</v>
      </c>
      <c r="D81" t="s">
        <v>55</v>
      </c>
      <c r="E81" t="s">
        <v>56</v>
      </c>
      <c r="F81">
        <v>54</v>
      </c>
      <c r="G81" t="s">
        <v>55</v>
      </c>
      <c r="H81" t="s">
        <v>60</v>
      </c>
      <c r="I81" t="s">
        <v>29</v>
      </c>
      <c r="J81" t="s">
        <v>13</v>
      </c>
      <c r="K81" t="s">
        <v>55</v>
      </c>
      <c r="L81" t="s">
        <v>26</v>
      </c>
      <c r="M81">
        <v>54.82</v>
      </c>
      <c r="N81">
        <v>2940.17</v>
      </c>
      <c r="O81" t="s">
        <v>66</v>
      </c>
      <c r="P81" t="s">
        <v>55</v>
      </c>
      <c r="Q81">
        <f t="shared" si="3"/>
        <v>0</v>
      </c>
      <c r="R81" t="str">
        <f t="shared" si="4"/>
        <v>49+ months</v>
      </c>
      <c r="S81" t="str">
        <f t="shared" si="5"/>
        <v>$50-$75</v>
      </c>
    </row>
    <row r="82" spans="1:19" x14ac:dyDescent="0.35">
      <c r="A82" t="s">
        <v>146</v>
      </c>
      <c r="B82">
        <v>41</v>
      </c>
      <c r="C82" t="s">
        <v>55</v>
      </c>
      <c r="D82" t="s">
        <v>56</v>
      </c>
      <c r="E82" t="s">
        <v>55</v>
      </c>
      <c r="F82">
        <v>70</v>
      </c>
      <c r="G82" t="s">
        <v>55</v>
      </c>
      <c r="H82" t="s">
        <v>60</v>
      </c>
      <c r="I82" t="s">
        <v>31</v>
      </c>
      <c r="J82" t="s">
        <v>12</v>
      </c>
      <c r="K82" t="s">
        <v>55</v>
      </c>
      <c r="L82" t="s">
        <v>26</v>
      </c>
      <c r="M82">
        <v>19.47</v>
      </c>
      <c r="N82">
        <v>1419.82</v>
      </c>
      <c r="O82" t="s">
        <v>69</v>
      </c>
      <c r="P82" t="s">
        <v>55</v>
      </c>
      <c r="Q82">
        <f t="shared" si="3"/>
        <v>0</v>
      </c>
      <c r="R82" t="str">
        <f t="shared" si="4"/>
        <v>49+ months</v>
      </c>
      <c r="S82" t="str">
        <f t="shared" si="5"/>
        <v>&lt; $50</v>
      </c>
    </row>
    <row r="83" spans="1:19" x14ac:dyDescent="0.35">
      <c r="A83" t="s">
        <v>147</v>
      </c>
      <c r="B83">
        <v>31</v>
      </c>
      <c r="C83" t="s">
        <v>55</v>
      </c>
      <c r="D83" t="s">
        <v>56</v>
      </c>
      <c r="E83" t="s">
        <v>56</v>
      </c>
      <c r="F83">
        <v>43</v>
      </c>
      <c r="G83" t="s">
        <v>56</v>
      </c>
      <c r="H83" t="s">
        <v>55</v>
      </c>
      <c r="I83" t="s">
        <v>30</v>
      </c>
      <c r="J83" t="s">
        <v>12</v>
      </c>
      <c r="K83" t="s">
        <v>56</v>
      </c>
      <c r="L83" t="s">
        <v>24</v>
      </c>
      <c r="M83">
        <v>110.65</v>
      </c>
      <c r="N83">
        <v>4605.5</v>
      </c>
      <c r="O83" t="s">
        <v>66</v>
      </c>
      <c r="P83" t="s">
        <v>55</v>
      </c>
      <c r="Q83">
        <f t="shared" si="3"/>
        <v>0</v>
      </c>
      <c r="R83" t="str">
        <f t="shared" si="4"/>
        <v>25-48 months</v>
      </c>
      <c r="S83" t="str">
        <f t="shared" si="5"/>
        <v>&gt; $100</v>
      </c>
    </row>
    <row r="84" spans="1:19" x14ac:dyDescent="0.35">
      <c r="A84" t="s">
        <v>148</v>
      </c>
      <c r="B84">
        <v>75</v>
      </c>
      <c r="C84" t="s">
        <v>56</v>
      </c>
      <c r="D84" t="s">
        <v>56</v>
      </c>
      <c r="E84" t="s">
        <v>55</v>
      </c>
      <c r="F84">
        <v>19</v>
      </c>
      <c r="G84" t="s">
        <v>55</v>
      </c>
      <c r="H84" t="s">
        <v>60</v>
      </c>
      <c r="I84" t="s">
        <v>31</v>
      </c>
      <c r="J84" t="s">
        <v>13</v>
      </c>
      <c r="K84" t="s">
        <v>56</v>
      </c>
      <c r="L84" t="s">
        <v>1066</v>
      </c>
      <c r="M84">
        <v>18.309999999999999</v>
      </c>
      <c r="N84">
        <v>327.64</v>
      </c>
      <c r="O84" t="s">
        <v>62</v>
      </c>
      <c r="P84" t="s">
        <v>55</v>
      </c>
      <c r="Q84">
        <f t="shared" si="3"/>
        <v>0</v>
      </c>
      <c r="R84" t="str">
        <f t="shared" si="4"/>
        <v>13-24 months</v>
      </c>
      <c r="S84" t="str">
        <f t="shared" si="5"/>
        <v>&lt; $50</v>
      </c>
    </row>
    <row r="85" spans="1:19" x14ac:dyDescent="0.35">
      <c r="A85" t="s">
        <v>149</v>
      </c>
      <c r="B85">
        <v>55</v>
      </c>
      <c r="C85" t="s">
        <v>55</v>
      </c>
      <c r="D85" t="s">
        <v>55</v>
      </c>
      <c r="E85" t="s">
        <v>56</v>
      </c>
      <c r="F85">
        <v>23</v>
      </c>
      <c r="G85" t="s">
        <v>56</v>
      </c>
      <c r="H85" t="s">
        <v>55</v>
      </c>
      <c r="I85" t="s">
        <v>30</v>
      </c>
      <c r="J85" t="s">
        <v>12</v>
      </c>
      <c r="K85" t="s">
        <v>56</v>
      </c>
      <c r="L85" t="s">
        <v>24</v>
      </c>
      <c r="M85">
        <v>108.9</v>
      </c>
      <c r="N85">
        <v>2508.6799999999998</v>
      </c>
      <c r="O85" t="s">
        <v>58</v>
      </c>
      <c r="P85" t="s">
        <v>56</v>
      </c>
      <c r="Q85">
        <f t="shared" si="3"/>
        <v>1</v>
      </c>
      <c r="R85" t="str">
        <f t="shared" si="4"/>
        <v>13-24 months</v>
      </c>
      <c r="S85" t="str">
        <f t="shared" si="5"/>
        <v>&gt; $100</v>
      </c>
    </row>
    <row r="86" spans="1:19" x14ac:dyDescent="0.35">
      <c r="A86" t="s">
        <v>150</v>
      </c>
      <c r="B86">
        <v>32</v>
      </c>
      <c r="C86" t="s">
        <v>55</v>
      </c>
      <c r="D86" t="s">
        <v>56</v>
      </c>
      <c r="E86" t="s">
        <v>55</v>
      </c>
      <c r="F86">
        <v>59</v>
      </c>
      <c r="G86" t="s">
        <v>56</v>
      </c>
      <c r="H86" t="s">
        <v>56</v>
      </c>
      <c r="I86" t="s">
        <v>29</v>
      </c>
      <c r="J86" t="s">
        <v>12</v>
      </c>
      <c r="K86" t="s">
        <v>55</v>
      </c>
      <c r="L86" t="s">
        <v>24</v>
      </c>
      <c r="M86">
        <v>44.32</v>
      </c>
      <c r="N86">
        <v>2681.53</v>
      </c>
      <c r="O86" t="s">
        <v>80</v>
      </c>
      <c r="P86" t="s">
        <v>55</v>
      </c>
      <c r="Q86">
        <f t="shared" si="3"/>
        <v>0</v>
      </c>
      <c r="R86" t="str">
        <f t="shared" si="4"/>
        <v>49+ months</v>
      </c>
      <c r="S86" t="str">
        <f t="shared" si="5"/>
        <v>&lt; $50</v>
      </c>
    </row>
    <row r="87" spans="1:19" x14ac:dyDescent="0.35">
      <c r="A87" t="s">
        <v>151</v>
      </c>
      <c r="B87">
        <v>38</v>
      </c>
      <c r="C87" t="s">
        <v>55</v>
      </c>
      <c r="D87" t="s">
        <v>56</v>
      </c>
      <c r="E87" t="s">
        <v>56</v>
      </c>
      <c r="F87">
        <v>17</v>
      </c>
      <c r="G87" t="s">
        <v>55</v>
      </c>
      <c r="H87" t="s">
        <v>60</v>
      </c>
      <c r="I87" t="s">
        <v>30</v>
      </c>
      <c r="J87" t="s">
        <v>12</v>
      </c>
      <c r="K87" t="s">
        <v>55</v>
      </c>
      <c r="L87" t="s">
        <v>24</v>
      </c>
      <c r="M87">
        <v>100.27</v>
      </c>
      <c r="N87">
        <v>1622.6</v>
      </c>
      <c r="O87" t="s">
        <v>66</v>
      </c>
      <c r="P87" t="s">
        <v>55</v>
      </c>
      <c r="Q87">
        <f t="shared" si="3"/>
        <v>0</v>
      </c>
      <c r="R87" t="str">
        <f t="shared" si="4"/>
        <v>13-24 months</v>
      </c>
      <c r="S87" t="str">
        <f t="shared" si="5"/>
        <v>&gt; $100</v>
      </c>
    </row>
    <row r="88" spans="1:19" x14ac:dyDescent="0.35">
      <c r="A88" t="s">
        <v>152</v>
      </c>
      <c r="B88">
        <v>59</v>
      </c>
      <c r="C88" t="s">
        <v>55</v>
      </c>
      <c r="D88" t="s">
        <v>56</v>
      </c>
      <c r="E88" t="s">
        <v>55</v>
      </c>
      <c r="F88">
        <v>58</v>
      </c>
      <c r="G88" t="s">
        <v>55</v>
      </c>
      <c r="H88" t="s">
        <v>60</v>
      </c>
      <c r="I88" t="s">
        <v>31</v>
      </c>
      <c r="J88" t="s">
        <v>12</v>
      </c>
      <c r="K88" t="s">
        <v>55</v>
      </c>
      <c r="L88" t="s">
        <v>24</v>
      </c>
      <c r="M88">
        <v>26.76</v>
      </c>
      <c r="N88">
        <v>1517.17</v>
      </c>
      <c r="O88" t="s">
        <v>76</v>
      </c>
      <c r="P88" t="s">
        <v>55</v>
      </c>
      <c r="Q88">
        <f t="shared" si="3"/>
        <v>0</v>
      </c>
      <c r="R88" t="str">
        <f t="shared" si="4"/>
        <v>49+ months</v>
      </c>
      <c r="S88" t="str">
        <f t="shared" si="5"/>
        <v>&lt; $50</v>
      </c>
    </row>
    <row r="89" spans="1:19" x14ac:dyDescent="0.35">
      <c r="A89" t="s">
        <v>153</v>
      </c>
      <c r="B89">
        <v>41</v>
      </c>
      <c r="C89" t="s">
        <v>55</v>
      </c>
      <c r="D89" t="s">
        <v>56</v>
      </c>
      <c r="E89" t="s">
        <v>55</v>
      </c>
      <c r="F89">
        <v>9</v>
      </c>
      <c r="G89" t="s">
        <v>56</v>
      </c>
      <c r="H89" t="s">
        <v>56</v>
      </c>
      <c r="I89" t="s">
        <v>30</v>
      </c>
      <c r="J89" t="s">
        <v>12</v>
      </c>
      <c r="K89" t="s">
        <v>55</v>
      </c>
      <c r="L89" t="s">
        <v>1066</v>
      </c>
      <c r="M89">
        <v>97.82</v>
      </c>
      <c r="N89">
        <v>889.51</v>
      </c>
      <c r="O89" t="s">
        <v>76</v>
      </c>
      <c r="P89" t="s">
        <v>55</v>
      </c>
      <c r="Q89">
        <f t="shared" si="3"/>
        <v>0</v>
      </c>
      <c r="R89" t="str">
        <f t="shared" si="4"/>
        <v>0-12 months</v>
      </c>
      <c r="S89" t="str">
        <f t="shared" si="5"/>
        <v>$76-$100</v>
      </c>
    </row>
    <row r="90" spans="1:19" x14ac:dyDescent="0.35">
      <c r="A90" t="s">
        <v>154</v>
      </c>
      <c r="B90">
        <v>60</v>
      </c>
      <c r="C90" t="s">
        <v>56</v>
      </c>
      <c r="D90" t="s">
        <v>56</v>
      </c>
      <c r="E90" t="s">
        <v>55</v>
      </c>
      <c r="F90">
        <v>46</v>
      </c>
      <c r="G90" t="s">
        <v>55</v>
      </c>
      <c r="H90" t="s">
        <v>60</v>
      </c>
      <c r="I90" t="s">
        <v>31</v>
      </c>
      <c r="J90" t="s">
        <v>14</v>
      </c>
      <c r="K90" t="s">
        <v>56</v>
      </c>
      <c r="L90" t="s">
        <v>25</v>
      </c>
      <c r="M90">
        <v>25.2</v>
      </c>
      <c r="N90">
        <v>1138.56</v>
      </c>
      <c r="O90" t="s">
        <v>62</v>
      </c>
      <c r="P90" t="s">
        <v>55</v>
      </c>
      <c r="Q90">
        <f t="shared" si="3"/>
        <v>0</v>
      </c>
      <c r="R90" t="str">
        <f t="shared" si="4"/>
        <v>25-48 months</v>
      </c>
      <c r="S90" t="str">
        <f t="shared" si="5"/>
        <v>&lt; $50</v>
      </c>
    </row>
    <row r="91" spans="1:19" x14ac:dyDescent="0.35">
      <c r="A91" t="s">
        <v>155</v>
      </c>
      <c r="B91">
        <v>27</v>
      </c>
      <c r="C91" t="s">
        <v>55</v>
      </c>
      <c r="D91" t="s">
        <v>55</v>
      </c>
      <c r="E91" t="s">
        <v>56</v>
      </c>
      <c r="F91">
        <v>14</v>
      </c>
      <c r="G91" t="s">
        <v>55</v>
      </c>
      <c r="H91" t="s">
        <v>60</v>
      </c>
      <c r="I91" t="s">
        <v>30</v>
      </c>
      <c r="J91" t="s">
        <v>12</v>
      </c>
      <c r="K91" t="s">
        <v>55</v>
      </c>
      <c r="L91" t="s">
        <v>24</v>
      </c>
      <c r="M91">
        <v>110.36</v>
      </c>
      <c r="N91">
        <v>1609.03</v>
      </c>
      <c r="O91" t="s">
        <v>66</v>
      </c>
      <c r="P91" t="s">
        <v>55</v>
      </c>
      <c r="Q91">
        <f t="shared" si="3"/>
        <v>0</v>
      </c>
      <c r="R91" t="str">
        <f t="shared" si="4"/>
        <v>13-24 months</v>
      </c>
      <c r="S91" t="str">
        <f t="shared" si="5"/>
        <v>&gt; $100</v>
      </c>
    </row>
    <row r="92" spans="1:19" x14ac:dyDescent="0.35">
      <c r="A92" t="s">
        <v>156</v>
      </c>
      <c r="B92">
        <v>57</v>
      </c>
      <c r="C92" t="s">
        <v>55</v>
      </c>
      <c r="D92" t="s">
        <v>56</v>
      </c>
      <c r="E92" t="s">
        <v>55</v>
      </c>
      <c r="F92">
        <v>4</v>
      </c>
      <c r="G92" t="s">
        <v>55</v>
      </c>
      <c r="H92" t="s">
        <v>60</v>
      </c>
      <c r="I92" t="s">
        <v>30</v>
      </c>
      <c r="J92" t="s">
        <v>14</v>
      </c>
      <c r="K92" t="s">
        <v>55</v>
      </c>
      <c r="L92" t="s">
        <v>26</v>
      </c>
      <c r="M92">
        <v>113.49</v>
      </c>
      <c r="N92">
        <v>457.57</v>
      </c>
      <c r="O92" t="s">
        <v>62</v>
      </c>
      <c r="P92" t="s">
        <v>56</v>
      </c>
      <c r="Q92">
        <f t="shared" si="3"/>
        <v>1</v>
      </c>
      <c r="R92" t="str">
        <f t="shared" si="4"/>
        <v>0-12 months</v>
      </c>
      <c r="S92" t="str">
        <f t="shared" si="5"/>
        <v>&gt; $100</v>
      </c>
    </row>
    <row r="93" spans="1:19" x14ac:dyDescent="0.35">
      <c r="A93" t="s">
        <v>157</v>
      </c>
      <c r="B93">
        <v>65</v>
      </c>
      <c r="C93" t="s">
        <v>56</v>
      </c>
      <c r="D93" t="s">
        <v>56</v>
      </c>
      <c r="E93" t="s">
        <v>56</v>
      </c>
      <c r="F93">
        <v>68</v>
      </c>
      <c r="G93" t="s">
        <v>55</v>
      </c>
      <c r="H93" t="s">
        <v>60</v>
      </c>
      <c r="I93" t="s">
        <v>30</v>
      </c>
      <c r="J93" t="s">
        <v>12</v>
      </c>
      <c r="K93" t="s">
        <v>56</v>
      </c>
      <c r="L93" t="s">
        <v>24</v>
      </c>
      <c r="M93">
        <v>106.08</v>
      </c>
      <c r="N93">
        <v>7453.07</v>
      </c>
      <c r="O93" t="s">
        <v>80</v>
      </c>
      <c r="P93" t="s">
        <v>55</v>
      </c>
      <c r="Q93">
        <f t="shared" si="3"/>
        <v>0</v>
      </c>
      <c r="R93" t="str">
        <f t="shared" si="4"/>
        <v>49+ months</v>
      </c>
      <c r="S93" t="str">
        <f t="shared" si="5"/>
        <v>&gt; $100</v>
      </c>
    </row>
    <row r="94" spans="1:19" x14ac:dyDescent="0.35">
      <c r="A94" t="s">
        <v>158</v>
      </c>
      <c r="B94">
        <v>74</v>
      </c>
      <c r="C94" t="s">
        <v>56</v>
      </c>
      <c r="D94" t="s">
        <v>56</v>
      </c>
      <c r="E94" t="s">
        <v>56</v>
      </c>
      <c r="F94">
        <v>21</v>
      </c>
      <c r="G94" t="s">
        <v>56</v>
      </c>
      <c r="H94" t="s">
        <v>55</v>
      </c>
      <c r="I94" t="s">
        <v>29</v>
      </c>
      <c r="J94" t="s">
        <v>12</v>
      </c>
      <c r="K94" t="s">
        <v>55</v>
      </c>
      <c r="L94" t="s">
        <v>24</v>
      </c>
      <c r="M94">
        <v>57.68</v>
      </c>
      <c r="N94">
        <v>1178.31</v>
      </c>
      <c r="O94" t="s">
        <v>80</v>
      </c>
      <c r="P94" t="s">
        <v>55</v>
      </c>
      <c r="Q94">
        <f t="shared" si="3"/>
        <v>0</v>
      </c>
      <c r="R94" t="str">
        <f t="shared" si="4"/>
        <v>13-24 months</v>
      </c>
      <c r="S94" t="str">
        <f t="shared" si="5"/>
        <v>$50-$75</v>
      </c>
    </row>
    <row r="95" spans="1:19" x14ac:dyDescent="0.35">
      <c r="A95" t="s">
        <v>159</v>
      </c>
      <c r="B95">
        <v>40</v>
      </c>
      <c r="C95" t="s">
        <v>55</v>
      </c>
      <c r="D95" t="s">
        <v>55</v>
      </c>
      <c r="E95" t="s">
        <v>56</v>
      </c>
      <c r="F95">
        <v>37</v>
      </c>
      <c r="G95" t="s">
        <v>55</v>
      </c>
      <c r="H95" t="s">
        <v>60</v>
      </c>
      <c r="I95" t="s">
        <v>29</v>
      </c>
      <c r="J95" t="s">
        <v>12</v>
      </c>
      <c r="K95" t="s">
        <v>55</v>
      </c>
      <c r="L95" t="s">
        <v>26</v>
      </c>
      <c r="M95">
        <v>55.81</v>
      </c>
      <c r="N95">
        <v>2089.58</v>
      </c>
      <c r="O95" t="s">
        <v>76</v>
      </c>
      <c r="P95" t="s">
        <v>56</v>
      </c>
      <c r="Q95">
        <f t="shared" si="3"/>
        <v>1</v>
      </c>
      <c r="R95" t="str">
        <f t="shared" si="4"/>
        <v>25-48 months</v>
      </c>
      <c r="S95" t="str">
        <f t="shared" si="5"/>
        <v>$50-$75</v>
      </c>
    </row>
    <row r="96" spans="1:19" x14ac:dyDescent="0.35">
      <c r="A96" t="s">
        <v>160</v>
      </c>
      <c r="B96">
        <v>31</v>
      </c>
      <c r="C96" t="s">
        <v>55</v>
      </c>
      <c r="D96" t="s">
        <v>56</v>
      </c>
      <c r="E96" t="s">
        <v>55</v>
      </c>
      <c r="F96">
        <v>38</v>
      </c>
      <c r="G96" t="s">
        <v>56</v>
      </c>
      <c r="H96" t="s">
        <v>55</v>
      </c>
      <c r="I96" t="s">
        <v>30</v>
      </c>
      <c r="J96" t="s">
        <v>12</v>
      </c>
      <c r="K96" t="s">
        <v>56</v>
      </c>
      <c r="L96" t="s">
        <v>24</v>
      </c>
      <c r="M96">
        <v>105.18</v>
      </c>
      <c r="N96">
        <v>3996.97</v>
      </c>
      <c r="O96" t="s">
        <v>66</v>
      </c>
      <c r="P96" t="s">
        <v>55</v>
      </c>
      <c r="Q96">
        <f t="shared" si="3"/>
        <v>0</v>
      </c>
      <c r="R96" t="str">
        <f t="shared" si="4"/>
        <v>25-48 months</v>
      </c>
      <c r="S96" t="str">
        <f t="shared" si="5"/>
        <v>&gt; $100</v>
      </c>
    </row>
    <row r="97" spans="1:19" x14ac:dyDescent="0.35">
      <c r="A97" t="s">
        <v>161</v>
      </c>
      <c r="B97">
        <v>40</v>
      </c>
      <c r="C97" t="s">
        <v>55</v>
      </c>
      <c r="D97" t="s">
        <v>56</v>
      </c>
      <c r="E97" t="s">
        <v>55</v>
      </c>
      <c r="F97">
        <v>6</v>
      </c>
      <c r="G97" t="s">
        <v>55</v>
      </c>
      <c r="H97" t="s">
        <v>60</v>
      </c>
      <c r="I97" t="s">
        <v>30</v>
      </c>
      <c r="J97" t="s">
        <v>14</v>
      </c>
      <c r="K97" t="s">
        <v>55</v>
      </c>
      <c r="L97" t="s">
        <v>24</v>
      </c>
      <c r="M97">
        <v>98.67</v>
      </c>
      <c r="N97">
        <v>606.9</v>
      </c>
      <c r="O97" t="s">
        <v>80</v>
      </c>
      <c r="P97" t="s">
        <v>56</v>
      </c>
      <c r="Q97">
        <f t="shared" si="3"/>
        <v>1</v>
      </c>
      <c r="R97" t="str">
        <f t="shared" si="4"/>
        <v>0-12 months</v>
      </c>
      <c r="S97" t="str">
        <f t="shared" si="5"/>
        <v>$76-$100</v>
      </c>
    </row>
    <row r="98" spans="1:19" x14ac:dyDescent="0.35">
      <c r="A98" t="s">
        <v>162</v>
      </c>
      <c r="B98">
        <v>43</v>
      </c>
      <c r="C98" t="s">
        <v>55</v>
      </c>
      <c r="D98" t="s">
        <v>56</v>
      </c>
      <c r="E98" t="s">
        <v>55</v>
      </c>
      <c r="F98">
        <v>22</v>
      </c>
      <c r="G98" t="s">
        <v>55</v>
      </c>
      <c r="H98" t="s">
        <v>60</v>
      </c>
      <c r="I98" t="s">
        <v>31</v>
      </c>
      <c r="J98" t="s">
        <v>14</v>
      </c>
      <c r="K98" t="s">
        <v>55</v>
      </c>
      <c r="L98" t="s">
        <v>26</v>
      </c>
      <c r="M98">
        <v>28.13</v>
      </c>
      <c r="N98">
        <v>599.79999999999995</v>
      </c>
      <c r="O98" t="s">
        <v>58</v>
      </c>
      <c r="P98" t="s">
        <v>55</v>
      </c>
      <c r="Q98">
        <f t="shared" si="3"/>
        <v>0</v>
      </c>
      <c r="R98" t="str">
        <f t="shared" si="4"/>
        <v>13-24 months</v>
      </c>
      <c r="S98" t="str">
        <f t="shared" si="5"/>
        <v>&lt; $50</v>
      </c>
    </row>
    <row r="99" spans="1:19" x14ac:dyDescent="0.35">
      <c r="A99" t="s">
        <v>163</v>
      </c>
      <c r="B99">
        <v>23</v>
      </c>
      <c r="C99" t="s">
        <v>55</v>
      </c>
      <c r="D99" t="s">
        <v>55</v>
      </c>
      <c r="E99" t="s">
        <v>55</v>
      </c>
      <c r="F99">
        <v>44</v>
      </c>
      <c r="G99" t="s">
        <v>56</v>
      </c>
      <c r="H99" t="s">
        <v>56</v>
      </c>
      <c r="I99" t="s">
        <v>30</v>
      </c>
      <c r="J99" t="s">
        <v>13</v>
      </c>
      <c r="K99" t="s">
        <v>56</v>
      </c>
      <c r="L99" t="s">
        <v>25</v>
      </c>
      <c r="M99">
        <v>87.47</v>
      </c>
      <c r="N99">
        <v>3953.69</v>
      </c>
      <c r="O99" t="s">
        <v>66</v>
      </c>
      <c r="P99" t="s">
        <v>55</v>
      </c>
      <c r="Q99">
        <f t="shared" si="3"/>
        <v>0</v>
      </c>
      <c r="R99" t="str">
        <f t="shared" si="4"/>
        <v>25-48 months</v>
      </c>
      <c r="S99" t="str">
        <f t="shared" si="5"/>
        <v>$76-$100</v>
      </c>
    </row>
    <row r="100" spans="1:19" x14ac:dyDescent="0.35">
      <c r="A100" t="s">
        <v>164</v>
      </c>
      <c r="B100">
        <v>27</v>
      </c>
      <c r="C100" t="s">
        <v>55</v>
      </c>
      <c r="D100" t="s">
        <v>56</v>
      </c>
      <c r="E100" t="s">
        <v>56</v>
      </c>
      <c r="F100">
        <v>19</v>
      </c>
      <c r="G100" t="s">
        <v>56</v>
      </c>
      <c r="H100" t="s">
        <v>55</v>
      </c>
      <c r="I100" t="s">
        <v>30</v>
      </c>
      <c r="J100" t="s">
        <v>13</v>
      </c>
      <c r="K100" t="s">
        <v>56</v>
      </c>
      <c r="L100" t="s">
        <v>26</v>
      </c>
      <c r="M100">
        <v>108.64</v>
      </c>
      <c r="N100">
        <v>2062.6999999999998</v>
      </c>
      <c r="O100" t="s">
        <v>66</v>
      </c>
      <c r="P100" t="s">
        <v>55</v>
      </c>
      <c r="Q100">
        <f t="shared" si="3"/>
        <v>0</v>
      </c>
      <c r="R100" t="str">
        <f t="shared" si="4"/>
        <v>13-24 months</v>
      </c>
      <c r="S100" t="str">
        <f t="shared" si="5"/>
        <v>&gt; $100</v>
      </c>
    </row>
    <row r="101" spans="1:19" x14ac:dyDescent="0.35">
      <c r="A101" t="s">
        <v>165</v>
      </c>
      <c r="B101">
        <v>55</v>
      </c>
      <c r="C101" t="s">
        <v>55</v>
      </c>
      <c r="D101" t="s">
        <v>55</v>
      </c>
      <c r="E101" t="s">
        <v>55</v>
      </c>
      <c r="F101">
        <v>41</v>
      </c>
      <c r="G101" t="s">
        <v>56</v>
      </c>
      <c r="H101" t="s">
        <v>55</v>
      </c>
      <c r="I101" t="s">
        <v>30</v>
      </c>
      <c r="J101" t="s">
        <v>13</v>
      </c>
      <c r="K101" t="s">
        <v>55</v>
      </c>
      <c r="L101" t="s">
        <v>24</v>
      </c>
      <c r="M101">
        <v>87.6</v>
      </c>
      <c r="N101">
        <v>3408.08</v>
      </c>
      <c r="O101" t="s">
        <v>80</v>
      </c>
      <c r="P101" t="s">
        <v>55</v>
      </c>
      <c r="Q101">
        <f t="shared" si="3"/>
        <v>0</v>
      </c>
      <c r="R101" t="str">
        <f t="shared" si="4"/>
        <v>25-48 months</v>
      </c>
      <c r="S101" t="str">
        <f t="shared" si="5"/>
        <v>$76-$100</v>
      </c>
    </row>
    <row r="102" spans="1:19" x14ac:dyDescent="0.35">
      <c r="A102" t="s">
        <v>166</v>
      </c>
      <c r="B102">
        <v>21</v>
      </c>
      <c r="C102" t="s">
        <v>55</v>
      </c>
      <c r="D102" t="s">
        <v>55</v>
      </c>
      <c r="E102" t="s">
        <v>55</v>
      </c>
      <c r="F102">
        <v>10</v>
      </c>
      <c r="G102" t="s">
        <v>56</v>
      </c>
      <c r="H102" t="s">
        <v>55</v>
      </c>
      <c r="I102" t="s">
        <v>29</v>
      </c>
      <c r="J102" t="s">
        <v>12</v>
      </c>
      <c r="K102" t="s">
        <v>55</v>
      </c>
      <c r="L102" t="s">
        <v>24</v>
      </c>
      <c r="M102">
        <v>78.17</v>
      </c>
      <c r="N102">
        <v>804.11</v>
      </c>
      <c r="O102" t="s">
        <v>66</v>
      </c>
      <c r="P102" t="s">
        <v>56</v>
      </c>
      <c r="Q102">
        <f t="shared" si="3"/>
        <v>1</v>
      </c>
      <c r="R102" t="str">
        <f t="shared" si="4"/>
        <v>0-12 months</v>
      </c>
      <c r="S102" t="str">
        <f t="shared" si="5"/>
        <v>$76-$100</v>
      </c>
    </row>
    <row r="103" spans="1:19" x14ac:dyDescent="0.35">
      <c r="A103" t="s">
        <v>167</v>
      </c>
      <c r="B103">
        <v>54</v>
      </c>
      <c r="C103" t="s">
        <v>55</v>
      </c>
      <c r="D103" t="s">
        <v>56</v>
      </c>
      <c r="E103" t="s">
        <v>55</v>
      </c>
      <c r="F103">
        <v>61</v>
      </c>
      <c r="G103" t="s">
        <v>56</v>
      </c>
      <c r="H103" t="s">
        <v>55</v>
      </c>
      <c r="I103" t="s">
        <v>29</v>
      </c>
      <c r="J103" t="s">
        <v>14</v>
      </c>
      <c r="K103" t="s">
        <v>55</v>
      </c>
      <c r="L103" t="s">
        <v>25</v>
      </c>
      <c r="M103">
        <v>43.37</v>
      </c>
      <c r="N103">
        <v>2691.96</v>
      </c>
      <c r="O103" t="s">
        <v>69</v>
      </c>
      <c r="P103" t="s">
        <v>56</v>
      </c>
      <c r="Q103">
        <f t="shared" si="3"/>
        <v>1</v>
      </c>
      <c r="R103" t="str">
        <f t="shared" si="4"/>
        <v>49+ months</v>
      </c>
      <c r="S103" t="str">
        <f t="shared" si="5"/>
        <v>&lt; $50</v>
      </c>
    </row>
    <row r="104" spans="1:19" x14ac:dyDescent="0.35">
      <c r="A104" t="s">
        <v>168</v>
      </c>
      <c r="B104">
        <v>46</v>
      </c>
      <c r="C104" t="s">
        <v>55</v>
      </c>
      <c r="D104" t="s">
        <v>55</v>
      </c>
      <c r="E104" t="s">
        <v>56</v>
      </c>
      <c r="F104">
        <v>47</v>
      </c>
      <c r="G104" t="s">
        <v>55</v>
      </c>
      <c r="H104" t="s">
        <v>60</v>
      </c>
      <c r="I104" t="s">
        <v>30</v>
      </c>
      <c r="J104" t="s">
        <v>12</v>
      </c>
      <c r="K104" t="s">
        <v>55</v>
      </c>
      <c r="L104" t="s">
        <v>1066</v>
      </c>
      <c r="M104">
        <v>72.62</v>
      </c>
      <c r="N104">
        <v>3466.75</v>
      </c>
      <c r="O104" t="s">
        <v>76</v>
      </c>
      <c r="P104" t="s">
        <v>56</v>
      </c>
      <c r="Q104">
        <f t="shared" si="3"/>
        <v>1</v>
      </c>
      <c r="R104" t="str">
        <f t="shared" si="4"/>
        <v>25-48 months</v>
      </c>
      <c r="S104" t="str">
        <f t="shared" si="5"/>
        <v>$50-$75</v>
      </c>
    </row>
    <row r="105" spans="1:19" x14ac:dyDescent="0.35">
      <c r="A105" t="s">
        <v>169</v>
      </c>
      <c r="B105">
        <v>24</v>
      </c>
      <c r="C105" t="s">
        <v>55</v>
      </c>
      <c r="D105" t="s">
        <v>55</v>
      </c>
      <c r="E105" t="s">
        <v>55</v>
      </c>
      <c r="F105">
        <v>33</v>
      </c>
      <c r="G105" t="s">
        <v>56</v>
      </c>
      <c r="H105" t="s">
        <v>56</v>
      </c>
      <c r="I105" t="s">
        <v>29</v>
      </c>
      <c r="J105" t="s">
        <v>13</v>
      </c>
      <c r="K105" t="s">
        <v>56</v>
      </c>
      <c r="L105" t="s">
        <v>25</v>
      </c>
      <c r="M105">
        <v>52.41</v>
      </c>
      <c r="N105">
        <v>1761.92</v>
      </c>
      <c r="O105" t="s">
        <v>62</v>
      </c>
      <c r="P105" t="s">
        <v>55</v>
      </c>
      <c r="Q105">
        <f t="shared" si="3"/>
        <v>0</v>
      </c>
      <c r="R105" t="str">
        <f t="shared" si="4"/>
        <v>25-48 months</v>
      </c>
      <c r="S105" t="str">
        <f t="shared" si="5"/>
        <v>$50-$75</v>
      </c>
    </row>
    <row r="106" spans="1:19" x14ac:dyDescent="0.35">
      <c r="A106" t="s">
        <v>170</v>
      </c>
      <c r="B106">
        <v>56</v>
      </c>
      <c r="C106" t="s">
        <v>55</v>
      </c>
      <c r="D106" t="s">
        <v>56</v>
      </c>
      <c r="E106" t="s">
        <v>55</v>
      </c>
      <c r="F106">
        <v>72</v>
      </c>
      <c r="G106" t="s">
        <v>55</v>
      </c>
      <c r="H106" t="s">
        <v>60</v>
      </c>
      <c r="I106" t="s">
        <v>30</v>
      </c>
      <c r="J106" t="s">
        <v>14</v>
      </c>
      <c r="K106" t="s">
        <v>56</v>
      </c>
      <c r="L106" t="s">
        <v>1066</v>
      </c>
      <c r="M106">
        <v>91.17</v>
      </c>
      <c r="N106">
        <v>6455.4</v>
      </c>
      <c r="O106" t="s">
        <v>62</v>
      </c>
      <c r="P106" t="s">
        <v>55</v>
      </c>
      <c r="Q106">
        <f t="shared" si="3"/>
        <v>0</v>
      </c>
      <c r="R106" t="str">
        <f t="shared" si="4"/>
        <v>49+ months</v>
      </c>
      <c r="S106" t="str">
        <f t="shared" si="5"/>
        <v>$76-$100</v>
      </c>
    </row>
    <row r="107" spans="1:19" x14ac:dyDescent="0.35">
      <c r="A107" t="s">
        <v>171</v>
      </c>
      <c r="B107">
        <v>31</v>
      </c>
      <c r="C107" t="s">
        <v>55</v>
      </c>
      <c r="D107" t="s">
        <v>55</v>
      </c>
      <c r="E107" t="s">
        <v>55</v>
      </c>
      <c r="F107">
        <v>25</v>
      </c>
      <c r="G107" t="s">
        <v>56</v>
      </c>
      <c r="H107" t="s">
        <v>56</v>
      </c>
      <c r="I107" t="s">
        <v>30</v>
      </c>
      <c r="J107" t="s">
        <v>12</v>
      </c>
      <c r="K107" t="s">
        <v>56</v>
      </c>
      <c r="L107" t="s">
        <v>24</v>
      </c>
      <c r="M107">
        <v>96.99</v>
      </c>
      <c r="N107">
        <v>2494.19</v>
      </c>
      <c r="O107" t="s">
        <v>69</v>
      </c>
      <c r="P107" t="s">
        <v>55</v>
      </c>
      <c r="Q107">
        <f t="shared" si="3"/>
        <v>0</v>
      </c>
      <c r="R107" t="str">
        <f t="shared" si="4"/>
        <v>25-48 months</v>
      </c>
      <c r="S107" t="str">
        <f t="shared" si="5"/>
        <v>$76-$100</v>
      </c>
    </row>
    <row r="108" spans="1:19" x14ac:dyDescent="0.35">
      <c r="A108" t="s">
        <v>172</v>
      </c>
      <c r="B108">
        <v>39</v>
      </c>
      <c r="C108" t="s">
        <v>55</v>
      </c>
      <c r="D108" t="s">
        <v>56</v>
      </c>
      <c r="E108" t="s">
        <v>55</v>
      </c>
      <c r="F108">
        <v>20</v>
      </c>
      <c r="G108" t="s">
        <v>56</v>
      </c>
      <c r="H108" t="s">
        <v>55</v>
      </c>
      <c r="I108" t="s">
        <v>30</v>
      </c>
      <c r="J108" t="s">
        <v>12</v>
      </c>
      <c r="K108" t="s">
        <v>55</v>
      </c>
      <c r="L108" t="s">
        <v>1066</v>
      </c>
      <c r="M108">
        <v>81.88</v>
      </c>
      <c r="N108">
        <v>1626.63</v>
      </c>
      <c r="O108" t="s">
        <v>69</v>
      </c>
      <c r="P108" t="s">
        <v>56</v>
      </c>
      <c r="Q108">
        <f t="shared" si="3"/>
        <v>1</v>
      </c>
      <c r="R108" t="str">
        <f t="shared" si="4"/>
        <v>13-24 months</v>
      </c>
      <c r="S108" t="str">
        <f t="shared" si="5"/>
        <v>$76-$100</v>
      </c>
    </row>
    <row r="109" spans="1:19" x14ac:dyDescent="0.35">
      <c r="A109" t="s">
        <v>173</v>
      </c>
      <c r="B109">
        <v>68</v>
      </c>
      <c r="C109" t="s">
        <v>56</v>
      </c>
      <c r="D109" t="s">
        <v>55</v>
      </c>
      <c r="E109" t="s">
        <v>56</v>
      </c>
      <c r="F109">
        <v>69</v>
      </c>
      <c r="G109" t="s">
        <v>55</v>
      </c>
      <c r="H109" t="s">
        <v>60</v>
      </c>
      <c r="I109" t="s">
        <v>30</v>
      </c>
      <c r="J109" t="s">
        <v>14</v>
      </c>
      <c r="K109" t="s">
        <v>56</v>
      </c>
      <c r="L109" t="s">
        <v>24</v>
      </c>
      <c r="M109">
        <v>117.36</v>
      </c>
      <c r="N109">
        <v>8568.59</v>
      </c>
      <c r="O109" t="s">
        <v>76</v>
      </c>
      <c r="P109" t="s">
        <v>55</v>
      </c>
      <c r="Q109">
        <f t="shared" si="3"/>
        <v>0</v>
      </c>
      <c r="R109" t="str">
        <f t="shared" si="4"/>
        <v>49+ months</v>
      </c>
      <c r="S109" t="str">
        <f t="shared" si="5"/>
        <v>&gt; $100</v>
      </c>
    </row>
    <row r="110" spans="1:19" x14ac:dyDescent="0.35">
      <c r="A110" t="s">
        <v>174</v>
      </c>
      <c r="B110">
        <v>67</v>
      </c>
      <c r="C110" t="s">
        <v>56</v>
      </c>
      <c r="D110" t="s">
        <v>55</v>
      </c>
      <c r="E110" t="s">
        <v>55</v>
      </c>
      <c r="F110">
        <v>21</v>
      </c>
      <c r="G110" t="s">
        <v>56</v>
      </c>
      <c r="H110" t="s">
        <v>55</v>
      </c>
      <c r="I110" t="s">
        <v>31</v>
      </c>
      <c r="J110" t="s">
        <v>12</v>
      </c>
      <c r="K110" t="s">
        <v>55</v>
      </c>
      <c r="L110" t="s">
        <v>25</v>
      </c>
      <c r="M110">
        <v>24.65</v>
      </c>
      <c r="N110">
        <v>492.96</v>
      </c>
      <c r="O110" t="s">
        <v>66</v>
      </c>
      <c r="P110" t="s">
        <v>55</v>
      </c>
      <c r="Q110">
        <f t="shared" si="3"/>
        <v>0</v>
      </c>
      <c r="R110" t="str">
        <f t="shared" si="4"/>
        <v>13-24 months</v>
      </c>
      <c r="S110" t="str">
        <f t="shared" si="5"/>
        <v>&lt; $50</v>
      </c>
    </row>
    <row r="111" spans="1:19" x14ac:dyDescent="0.35">
      <c r="A111" t="s">
        <v>175</v>
      </c>
      <c r="B111">
        <v>25</v>
      </c>
      <c r="C111" t="s">
        <v>55</v>
      </c>
      <c r="D111" t="s">
        <v>55</v>
      </c>
      <c r="E111" t="s">
        <v>56</v>
      </c>
      <c r="F111">
        <v>21</v>
      </c>
      <c r="G111" t="s">
        <v>56</v>
      </c>
      <c r="H111" t="s">
        <v>55</v>
      </c>
      <c r="I111" t="s">
        <v>30</v>
      </c>
      <c r="J111" t="s">
        <v>12</v>
      </c>
      <c r="K111" t="s">
        <v>56</v>
      </c>
      <c r="L111" t="s">
        <v>1066</v>
      </c>
      <c r="M111">
        <v>114.23</v>
      </c>
      <c r="N111">
        <v>2522.75</v>
      </c>
      <c r="O111" t="s">
        <v>64</v>
      </c>
      <c r="P111" t="s">
        <v>55</v>
      </c>
      <c r="Q111">
        <f t="shared" si="3"/>
        <v>0</v>
      </c>
      <c r="R111" t="str">
        <f t="shared" si="4"/>
        <v>13-24 months</v>
      </c>
      <c r="S111" t="str">
        <f t="shared" si="5"/>
        <v>&gt; $100</v>
      </c>
    </row>
    <row r="112" spans="1:19" x14ac:dyDescent="0.35">
      <c r="A112" t="s">
        <v>176</v>
      </c>
      <c r="B112">
        <v>50</v>
      </c>
      <c r="C112" t="s">
        <v>55</v>
      </c>
      <c r="D112" t="s">
        <v>55</v>
      </c>
      <c r="E112" t="s">
        <v>56</v>
      </c>
      <c r="F112">
        <v>50</v>
      </c>
      <c r="G112" t="s">
        <v>55</v>
      </c>
      <c r="H112" t="s">
        <v>60</v>
      </c>
      <c r="I112" t="s">
        <v>31</v>
      </c>
      <c r="J112" t="s">
        <v>12</v>
      </c>
      <c r="K112" t="s">
        <v>55</v>
      </c>
      <c r="L112" t="s">
        <v>25</v>
      </c>
      <c r="M112">
        <v>28.07</v>
      </c>
      <c r="N112">
        <v>1428.76</v>
      </c>
      <c r="O112" t="s">
        <v>62</v>
      </c>
      <c r="P112" t="s">
        <v>55</v>
      </c>
      <c r="Q112">
        <f t="shared" si="3"/>
        <v>0</v>
      </c>
      <c r="R112" t="str">
        <f t="shared" si="4"/>
        <v>49+ months</v>
      </c>
      <c r="S112" t="str">
        <f t="shared" si="5"/>
        <v>&lt; $50</v>
      </c>
    </row>
    <row r="113" spans="1:19" x14ac:dyDescent="0.35">
      <c r="A113" t="s">
        <v>177</v>
      </c>
      <c r="B113">
        <v>20</v>
      </c>
      <c r="C113" t="s">
        <v>55</v>
      </c>
      <c r="D113" t="s">
        <v>55</v>
      </c>
      <c r="E113" t="s">
        <v>55</v>
      </c>
      <c r="F113">
        <v>18</v>
      </c>
      <c r="G113" t="s">
        <v>55</v>
      </c>
      <c r="H113" t="s">
        <v>60</v>
      </c>
      <c r="I113" t="s">
        <v>29</v>
      </c>
      <c r="J113" t="s">
        <v>12</v>
      </c>
      <c r="K113" t="s">
        <v>56</v>
      </c>
      <c r="L113" t="s">
        <v>25</v>
      </c>
      <c r="M113">
        <v>40.76</v>
      </c>
      <c r="N113">
        <v>708.65</v>
      </c>
      <c r="O113" t="s">
        <v>69</v>
      </c>
      <c r="P113" t="s">
        <v>56</v>
      </c>
      <c r="Q113">
        <f t="shared" si="3"/>
        <v>1</v>
      </c>
      <c r="R113" t="str">
        <f t="shared" si="4"/>
        <v>13-24 months</v>
      </c>
      <c r="S113" t="str">
        <f t="shared" si="5"/>
        <v>&lt; $50</v>
      </c>
    </row>
    <row r="114" spans="1:19" x14ac:dyDescent="0.35">
      <c r="A114" t="s">
        <v>178</v>
      </c>
      <c r="B114">
        <v>56</v>
      </c>
      <c r="C114" t="s">
        <v>55</v>
      </c>
      <c r="D114" t="s">
        <v>55</v>
      </c>
      <c r="E114" t="s">
        <v>56</v>
      </c>
      <c r="F114">
        <v>37</v>
      </c>
      <c r="G114" t="s">
        <v>56</v>
      </c>
      <c r="H114" t="s">
        <v>56</v>
      </c>
      <c r="I114" t="s">
        <v>30</v>
      </c>
      <c r="J114" t="s">
        <v>12</v>
      </c>
      <c r="K114" t="s">
        <v>55</v>
      </c>
      <c r="L114" t="s">
        <v>26</v>
      </c>
      <c r="M114">
        <v>111.83</v>
      </c>
      <c r="N114">
        <v>4137.63</v>
      </c>
      <c r="O114" t="s">
        <v>69</v>
      </c>
      <c r="P114" t="s">
        <v>55</v>
      </c>
      <c r="Q114">
        <f t="shared" si="3"/>
        <v>0</v>
      </c>
      <c r="R114" t="str">
        <f t="shared" si="4"/>
        <v>25-48 months</v>
      </c>
      <c r="S114" t="str">
        <f t="shared" si="5"/>
        <v>&gt; $100</v>
      </c>
    </row>
    <row r="115" spans="1:19" x14ac:dyDescent="0.35">
      <c r="A115" t="s">
        <v>179</v>
      </c>
      <c r="B115">
        <v>50</v>
      </c>
      <c r="C115" t="s">
        <v>55</v>
      </c>
      <c r="D115" t="s">
        <v>56</v>
      </c>
      <c r="E115" t="s">
        <v>56</v>
      </c>
      <c r="F115">
        <v>38</v>
      </c>
      <c r="G115" t="s">
        <v>55</v>
      </c>
      <c r="H115" t="s">
        <v>60</v>
      </c>
      <c r="I115" t="s">
        <v>30</v>
      </c>
      <c r="J115" t="s">
        <v>12</v>
      </c>
      <c r="K115" t="s">
        <v>55</v>
      </c>
      <c r="L115" t="s">
        <v>26</v>
      </c>
      <c r="M115">
        <v>103.41</v>
      </c>
      <c r="N115">
        <v>3940.65</v>
      </c>
      <c r="O115" t="s">
        <v>58</v>
      </c>
      <c r="P115" t="s">
        <v>56</v>
      </c>
      <c r="Q115">
        <f t="shared" si="3"/>
        <v>1</v>
      </c>
      <c r="R115" t="str">
        <f t="shared" si="4"/>
        <v>25-48 months</v>
      </c>
      <c r="S115" t="str">
        <f t="shared" si="5"/>
        <v>&gt; $100</v>
      </c>
    </row>
    <row r="116" spans="1:19" x14ac:dyDescent="0.35">
      <c r="A116" t="s">
        <v>180</v>
      </c>
      <c r="B116">
        <v>52</v>
      </c>
      <c r="C116" t="s">
        <v>55</v>
      </c>
      <c r="D116" t="s">
        <v>56</v>
      </c>
      <c r="E116" t="s">
        <v>55</v>
      </c>
      <c r="F116">
        <v>61</v>
      </c>
      <c r="G116" t="s">
        <v>55</v>
      </c>
      <c r="H116" t="s">
        <v>60</v>
      </c>
      <c r="I116" t="s">
        <v>30</v>
      </c>
      <c r="J116" t="s">
        <v>14</v>
      </c>
      <c r="K116" t="s">
        <v>55</v>
      </c>
      <c r="L116" t="s">
        <v>1066</v>
      </c>
      <c r="M116">
        <v>87.85</v>
      </c>
      <c r="N116">
        <v>5080.76</v>
      </c>
      <c r="O116" t="s">
        <v>69</v>
      </c>
      <c r="P116" t="s">
        <v>55</v>
      </c>
      <c r="Q116">
        <f t="shared" si="3"/>
        <v>0</v>
      </c>
      <c r="R116" t="str">
        <f t="shared" si="4"/>
        <v>49+ months</v>
      </c>
      <c r="S116" t="str">
        <f t="shared" si="5"/>
        <v>$76-$100</v>
      </c>
    </row>
    <row r="117" spans="1:19" x14ac:dyDescent="0.35">
      <c r="A117" t="s">
        <v>181</v>
      </c>
      <c r="B117">
        <v>58</v>
      </c>
      <c r="C117" t="s">
        <v>55</v>
      </c>
      <c r="D117" t="s">
        <v>56</v>
      </c>
      <c r="E117" t="s">
        <v>55</v>
      </c>
      <c r="F117">
        <v>18</v>
      </c>
      <c r="G117" t="s">
        <v>55</v>
      </c>
      <c r="H117" t="s">
        <v>60</v>
      </c>
      <c r="I117" t="s">
        <v>30</v>
      </c>
      <c r="J117" t="s">
        <v>14</v>
      </c>
      <c r="K117" t="s">
        <v>56</v>
      </c>
      <c r="L117" t="s">
        <v>1066</v>
      </c>
      <c r="M117">
        <v>104.23</v>
      </c>
      <c r="N117">
        <v>1984.39</v>
      </c>
      <c r="O117" t="s">
        <v>62</v>
      </c>
      <c r="P117" t="s">
        <v>55</v>
      </c>
      <c r="Q117">
        <f t="shared" si="3"/>
        <v>0</v>
      </c>
      <c r="R117" t="str">
        <f t="shared" si="4"/>
        <v>13-24 months</v>
      </c>
      <c r="S117" t="str">
        <f t="shared" si="5"/>
        <v>&gt; $100</v>
      </c>
    </row>
    <row r="118" spans="1:19" x14ac:dyDescent="0.35">
      <c r="A118" t="s">
        <v>182</v>
      </c>
      <c r="B118">
        <v>69</v>
      </c>
      <c r="C118" t="s">
        <v>56</v>
      </c>
      <c r="D118" t="s">
        <v>56</v>
      </c>
      <c r="E118" t="s">
        <v>56</v>
      </c>
      <c r="F118">
        <v>59</v>
      </c>
      <c r="G118" t="s">
        <v>56</v>
      </c>
      <c r="H118" t="s">
        <v>56</v>
      </c>
      <c r="I118" t="s">
        <v>30</v>
      </c>
      <c r="J118" t="s">
        <v>12</v>
      </c>
      <c r="K118" t="s">
        <v>56</v>
      </c>
      <c r="L118" t="s">
        <v>26</v>
      </c>
      <c r="M118">
        <v>85.5</v>
      </c>
      <c r="N118">
        <v>4982.8900000000003</v>
      </c>
      <c r="O118" t="s">
        <v>64</v>
      </c>
      <c r="P118" t="s">
        <v>55</v>
      </c>
      <c r="Q118">
        <f t="shared" si="3"/>
        <v>0</v>
      </c>
      <c r="R118" t="str">
        <f t="shared" si="4"/>
        <v>49+ months</v>
      </c>
      <c r="S118" t="str">
        <f t="shared" si="5"/>
        <v>$76-$100</v>
      </c>
    </row>
    <row r="119" spans="1:19" x14ac:dyDescent="0.35">
      <c r="A119" t="s">
        <v>183</v>
      </c>
      <c r="B119">
        <v>34</v>
      </c>
      <c r="C119" t="s">
        <v>55</v>
      </c>
      <c r="D119" t="s">
        <v>56</v>
      </c>
      <c r="E119" t="s">
        <v>56</v>
      </c>
      <c r="F119">
        <v>37</v>
      </c>
      <c r="G119" t="s">
        <v>56</v>
      </c>
      <c r="H119" t="s">
        <v>55</v>
      </c>
      <c r="I119" t="s">
        <v>30</v>
      </c>
      <c r="J119" t="s">
        <v>12</v>
      </c>
      <c r="K119" t="s">
        <v>56</v>
      </c>
      <c r="L119" t="s">
        <v>1066</v>
      </c>
      <c r="M119">
        <v>91.85</v>
      </c>
      <c r="N119">
        <v>3357.68</v>
      </c>
      <c r="O119" t="s">
        <v>64</v>
      </c>
      <c r="P119" t="s">
        <v>55</v>
      </c>
      <c r="Q119">
        <f t="shared" si="3"/>
        <v>0</v>
      </c>
      <c r="R119" t="str">
        <f t="shared" si="4"/>
        <v>25-48 months</v>
      </c>
      <c r="S119" t="str">
        <f t="shared" si="5"/>
        <v>$76-$100</v>
      </c>
    </row>
    <row r="120" spans="1:19" x14ac:dyDescent="0.35">
      <c r="A120" t="s">
        <v>184</v>
      </c>
      <c r="B120">
        <v>39</v>
      </c>
      <c r="C120" t="s">
        <v>55</v>
      </c>
      <c r="D120" t="s">
        <v>56</v>
      </c>
      <c r="E120" t="s">
        <v>55</v>
      </c>
      <c r="F120">
        <v>64</v>
      </c>
      <c r="G120" t="s">
        <v>55</v>
      </c>
      <c r="H120" t="s">
        <v>60</v>
      </c>
      <c r="I120" t="s">
        <v>30</v>
      </c>
      <c r="J120" t="s">
        <v>14</v>
      </c>
      <c r="K120" t="s">
        <v>55</v>
      </c>
      <c r="L120" t="s">
        <v>26</v>
      </c>
      <c r="M120">
        <v>100.12</v>
      </c>
      <c r="N120">
        <v>6655.54</v>
      </c>
      <c r="O120" t="s">
        <v>76</v>
      </c>
      <c r="P120" t="s">
        <v>55</v>
      </c>
      <c r="Q120">
        <f t="shared" si="3"/>
        <v>0</v>
      </c>
      <c r="R120" t="str">
        <f t="shared" si="4"/>
        <v>49+ months</v>
      </c>
      <c r="S120" t="str">
        <f t="shared" si="5"/>
        <v>&gt; $100</v>
      </c>
    </row>
    <row r="121" spans="1:19" x14ac:dyDescent="0.35">
      <c r="A121" t="s">
        <v>185</v>
      </c>
      <c r="B121">
        <v>24</v>
      </c>
      <c r="C121" t="s">
        <v>55</v>
      </c>
      <c r="D121" t="s">
        <v>56</v>
      </c>
      <c r="E121" t="s">
        <v>55</v>
      </c>
      <c r="F121">
        <v>38</v>
      </c>
      <c r="G121" t="s">
        <v>55</v>
      </c>
      <c r="H121" t="s">
        <v>60</v>
      </c>
      <c r="I121" t="s">
        <v>30</v>
      </c>
      <c r="J121" t="s">
        <v>12</v>
      </c>
      <c r="K121" t="s">
        <v>55</v>
      </c>
      <c r="L121" t="s">
        <v>24</v>
      </c>
      <c r="M121">
        <v>72.12</v>
      </c>
      <c r="N121">
        <v>2862.25</v>
      </c>
      <c r="O121" t="s">
        <v>64</v>
      </c>
      <c r="P121" t="s">
        <v>56</v>
      </c>
      <c r="Q121">
        <f t="shared" si="3"/>
        <v>1</v>
      </c>
      <c r="R121" t="str">
        <f t="shared" si="4"/>
        <v>25-48 months</v>
      </c>
      <c r="S121" t="str">
        <f t="shared" si="5"/>
        <v>$50-$75</v>
      </c>
    </row>
    <row r="122" spans="1:19" x14ac:dyDescent="0.35">
      <c r="A122" t="s">
        <v>186</v>
      </c>
      <c r="B122">
        <v>35</v>
      </c>
      <c r="C122" t="s">
        <v>55</v>
      </c>
      <c r="D122" t="s">
        <v>56</v>
      </c>
      <c r="E122" t="s">
        <v>56</v>
      </c>
      <c r="F122">
        <v>52</v>
      </c>
      <c r="G122" t="s">
        <v>56</v>
      </c>
      <c r="H122" t="s">
        <v>55</v>
      </c>
      <c r="I122" t="s">
        <v>30</v>
      </c>
      <c r="J122" t="s">
        <v>12</v>
      </c>
      <c r="K122" t="s">
        <v>55</v>
      </c>
      <c r="L122" t="s">
        <v>26</v>
      </c>
      <c r="M122">
        <v>73.36</v>
      </c>
      <c r="N122">
        <v>3942.21</v>
      </c>
      <c r="O122" t="s">
        <v>64</v>
      </c>
      <c r="P122" t="s">
        <v>56</v>
      </c>
      <c r="Q122">
        <f t="shared" si="3"/>
        <v>1</v>
      </c>
      <c r="R122" t="str">
        <f t="shared" si="4"/>
        <v>49+ months</v>
      </c>
      <c r="S122" t="str">
        <f t="shared" si="5"/>
        <v>$50-$75</v>
      </c>
    </row>
    <row r="123" spans="1:19" x14ac:dyDescent="0.35">
      <c r="A123" t="s">
        <v>187</v>
      </c>
      <c r="B123">
        <v>54</v>
      </c>
      <c r="C123" t="s">
        <v>55</v>
      </c>
      <c r="D123" t="s">
        <v>56</v>
      </c>
      <c r="E123" t="s">
        <v>56</v>
      </c>
      <c r="F123">
        <v>58</v>
      </c>
      <c r="G123" t="s">
        <v>55</v>
      </c>
      <c r="H123" t="s">
        <v>60</v>
      </c>
      <c r="I123" t="s">
        <v>31</v>
      </c>
      <c r="J123" t="s">
        <v>12</v>
      </c>
      <c r="K123" t="s">
        <v>56</v>
      </c>
      <c r="L123" t="s">
        <v>24</v>
      </c>
      <c r="M123">
        <v>24.35</v>
      </c>
      <c r="N123">
        <v>1395.02</v>
      </c>
      <c r="O123" t="s">
        <v>62</v>
      </c>
      <c r="P123" t="s">
        <v>55</v>
      </c>
      <c r="Q123">
        <f t="shared" si="3"/>
        <v>0</v>
      </c>
      <c r="R123" t="str">
        <f t="shared" si="4"/>
        <v>49+ months</v>
      </c>
      <c r="S123" t="str">
        <f t="shared" si="5"/>
        <v>&lt; $50</v>
      </c>
    </row>
    <row r="124" spans="1:19" x14ac:dyDescent="0.35">
      <c r="A124" t="s">
        <v>188</v>
      </c>
      <c r="B124">
        <v>25</v>
      </c>
      <c r="C124" t="s">
        <v>55</v>
      </c>
      <c r="D124" t="s">
        <v>56</v>
      </c>
      <c r="E124" t="s">
        <v>56</v>
      </c>
      <c r="F124">
        <v>64</v>
      </c>
      <c r="G124" t="s">
        <v>56</v>
      </c>
      <c r="H124" t="s">
        <v>56</v>
      </c>
      <c r="I124" t="s">
        <v>29</v>
      </c>
      <c r="J124" t="s">
        <v>12</v>
      </c>
      <c r="K124" t="s">
        <v>55</v>
      </c>
      <c r="L124" t="s">
        <v>26</v>
      </c>
      <c r="M124">
        <v>64.48</v>
      </c>
      <c r="N124">
        <v>4222.78</v>
      </c>
      <c r="O124" t="s">
        <v>62</v>
      </c>
      <c r="P124" t="s">
        <v>55</v>
      </c>
      <c r="Q124">
        <f t="shared" si="3"/>
        <v>0</v>
      </c>
      <c r="R124" t="str">
        <f t="shared" si="4"/>
        <v>49+ months</v>
      </c>
      <c r="S124" t="str">
        <f t="shared" si="5"/>
        <v>$50-$75</v>
      </c>
    </row>
    <row r="125" spans="1:19" x14ac:dyDescent="0.35">
      <c r="A125" t="s">
        <v>189</v>
      </c>
      <c r="B125">
        <v>25</v>
      </c>
      <c r="C125" t="s">
        <v>55</v>
      </c>
      <c r="D125" t="s">
        <v>56</v>
      </c>
      <c r="E125" t="s">
        <v>56</v>
      </c>
      <c r="F125">
        <v>58</v>
      </c>
      <c r="G125" t="s">
        <v>55</v>
      </c>
      <c r="H125" t="s">
        <v>60</v>
      </c>
      <c r="I125" t="s">
        <v>30</v>
      </c>
      <c r="J125" t="s">
        <v>14</v>
      </c>
      <c r="K125" t="s">
        <v>55</v>
      </c>
      <c r="L125" t="s">
        <v>1066</v>
      </c>
      <c r="M125">
        <v>105.48</v>
      </c>
      <c r="N125">
        <v>6154.54</v>
      </c>
      <c r="O125" t="s">
        <v>76</v>
      </c>
      <c r="P125" t="s">
        <v>55</v>
      </c>
      <c r="Q125">
        <f t="shared" si="3"/>
        <v>0</v>
      </c>
      <c r="R125" t="str">
        <f t="shared" si="4"/>
        <v>49+ months</v>
      </c>
      <c r="S125" t="str">
        <f t="shared" si="5"/>
        <v>&gt; $100</v>
      </c>
    </row>
    <row r="126" spans="1:19" x14ac:dyDescent="0.35">
      <c r="A126" t="s">
        <v>190</v>
      </c>
      <c r="B126">
        <v>72</v>
      </c>
      <c r="C126" t="s">
        <v>56</v>
      </c>
      <c r="D126" t="s">
        <v>56</v>
      </c>
      <c r="E126" t="s">
        <v>56</v>
      </c>
      <c r="F126">
        <v>47</v>
      </c>
      <c r="G126" t="s">
        <v>56</v>
      </c>
      <c r="H126" t="s">
        <v>55</v>
      </c>
      <c r="I126" t="s">
        <v>29</v>
      </c>
      <c r="J126" t="s">
        <v>13</v>
      </c>
      <c r="K126" t="s">
        <v>56</v>
      </c>
      <c r="L126" t="s">
        <v>1066</v>
      </c>
      <c r="M126">
        <v>41.05</v>
      </c>
      <c r="N126">
        <v>1941.86</v>
      </c>
      <c r="O126" t="s">
        <v>66</v>
      </c>
      <c r="P126" t="s">
        <v>55</v>
      </c>
      <c r="Q126">
        <f t="shared" si="3"/>
        <v>0</v>
      </c>
      <c r="R126" t="str">
        <f t="shared" si="4"/>
        <v>25-48 months</v>
      </c>
      <c r="S126" t="str">
        <f t="shared" si="5"/>
        <v>&lt; $50</v>
      </c>
    </row>
    <row r="127" spans="1:19" x14ac:dyDescent="0.35">
      <c r="A127" t="s">
        <v>191</v>
      </c>
      <c r="B127">
        <v>53</v>
      </c>
      <c r="C127" t="s">
        <v>55</v>
      </c>
      <c r="D127" t="s">
        <v>56</v>
      </c>
      <c r="E127" t="s">
        <v>56</v>
      </c>
      <c r="F127">
        <v>9</v>
      </c>
      <c r="G127" t="s">
        <v>55</v>
      </c>
      <c r="H127" t="s">
        <v>60</v>
      </c>
      <c r="I127" t="s">
        <v>30</v>
      </c>
      <c r="J127" t="s">
        <v>12</v>
      </c>
      <c r="K127" t="s">
        <v>55</v>
      </c>
      <c r="L127" t="s">
        <v>1066</v>
      </c>
      <c r="M127">
        <v>73.69</v>
      </c>
      <c r="N127">
        <v>700.8</v>
      </c>
      <c r="O127" t="s">
        <v>64</v>
      </c>
      <c r="P127" t="s">
        <v>55</v>
      </c>
      <c r="Q127">
        <f t="shared" si="3"/>
        <v>0</v>
      </c>
      <c r="R127" t="str">
        <f t="shared" si="4"/>
        <v>0-12 months</v>
      </c>
      <c r="S127" t="str">
        <f t="shared" si="5"/>
        <v>$50-$75</v>
      </c>
    </row>
    <row r="128" spans="1:19" x14ac:dyDescent="0.35">
      <c r="A128" t="s">
        <v>192</v>
      </c>
      <c r="B128">
        <v>47</v>
      </c>
      <c r="C128" t="s">
        <v>55</v>
      </c>
      <c r="D128" t="s">
        <v>55</v>
      </c>
      <c r="E128" t="s">
        <v>56</v>
      </c>
      <c r="F128">
        <v>71</v>
      </c>
      <c r="G128" t="s">
        <v>56</v>
      </c>
      <c r="H128" t="s">
        <v>55</v>
      </c>
      <c r="I128" t="s">
        <v>29</v>
      </c>
      <c r="J128" t="s">
        <v>12</v>
      </c>
      <c r="K128" t="s">
        <v>56</v>
      </c>
      <c r="L128" t="s">
        <v>1066</v>
      </c>
      <c r="M128">
        <v>60.72</v>
      </c>
      <c r="N128">
        <v>4209.79</v>
      </c>
      <c r="O128" t="s">
        <v>69</v>
      </c>
      <c r="P128" t="s">
        <v>56</v>
      </c>
      <c r="Q128">
        <f t="shared" si="3"/>
        <v>1</v>
      </c>
      <c r="R128" t="str">
        <f t="shared" si="4"/>
        <v>49+ months</v>
      </c>
      <c r="S128" t="str">
        <f t="shared" si="5"/>
        <v>$50-$75</v>
      </c>
    </row>
    <row r="129" spans="1:19" x14ac:dyDescent="0.35">
      <c r="A129" t="s">
        <v>193</v>
      </c>
      <c r="B129">
        <v>32</v>
      </c>
      <c r="C129" t="s">
        <v>55</v>
      </c>
      <c r="D129" t="s">
        <v>55</v>
      </c>
      <c r="E129" t="s">
        <v>55</v>
      </c>
      <c r="F129">
        <v>11</v>
      </c>
      <c r="G129" t="s">
        <v>55</v>
      </c>
      <c r="H129" t="s">
        <v>60</v>
      </c>
      <c r="I129" t="s">
        <v>30</v>
      </c>
      <c r="J129" t="s">
        <v>12</v>
      </c>
      <c r="K129" t="s">
        <v>55</v>
      </c>
      <c r="L129" t="s">
        <v>1066</v>
      </c>
      <c r="M129">
        <v>74.67</v>
      </c>
      <c r="N129">
        <v>835.27</v>
      </c>
      <c r="O129" t="s">
        <v>58</v>
      </c>
      <c r="P129" t="s">
        <v>55</v>
      </c>
      <c r="Q129">
        <f t="shared" si="3"/>
        <v>0</v>
      </c>
      <c r="R129" t="str">
        <f t="shared" si="4"/>
        <v>0-12 months</v>
      </c>
      <c r="S129" t="str">
        <f t="shared" si="5"/>
        <v>$50-$75</v>
      </c>
    </row>
    <row r="130" spans="1:19" x14ac:dyDescent="0.35">
      <c r="A130" t="s">
        <v>194</v>
      </c>
      <c r="B130">
        <v>27</v>
      </c>
      <c r="C130" t="s">
        <v>55</v>
      </c>
      <c r="D130" t="s">
        <v>56</v>
      </c>
      <c r="E130" t="s">
        <v>55</v>
      </c>
      <c r="F130">
        <v>6</v>
      </c>
      <c r="G130" t="s">
        <v>56</v>
      </c>
      <c r="H130" t="s">
        <v>56</v>
      </c>
      <c r="I130" t="s">
        <v>31</v>
      </c>
      <c r="J130" t="s">
        <v>14</v>
      </c>
      <c r="K130" t="s">
        <v>55</v>
      </c>
      <c r="L130" t="s">
        <v>1066</v>
      </c>
      <c r="M130">
        <v>27.2</v>
      </c>
      <c r="N130">
        <v>161.57</v>
      </c>
      <c r="O130" t="s">
        <v>64</v>
      </c>
      <c r="P130" t="s">
        <v>55</v>
      </c>
      <c r="Q130">
        <f t="shared" si="3"/>
        <v>0</v>
      </c>
      <c r="R130" t="str">
        <f t="shared" si="4"/>
        <v>0-12 months</v>
      </c>
      <c r="S130" t="str">
        <f t="shared" si="5"/>
        <v>&lt; $50</v>
      </c>
    </row>
    <row r="131" spans="1:19" x14ac:dyDescent="0.35">
      <c r="A131" t="s">
        <v>195</v>
      </c>
      <c r="B131">
        <v>74</v>
      </c>
      <c r="C131" t="s">
        <v>56</v>
      </c>
      <c r="D131" t="s">
        <v>55</v>
      </c>
      <c r="E131" t="s">
        <v>55</v>
      </c>
      <c r="F131">
        <v>62</v>
      </c>
      <c r="G131" t="s">
        <v>55</v>
      </c>
      <c r="H131" t="s">
        <v>60</v>
      </c>
      <c r="I131" t="s">
        <v>30</v>
      </c>
      <c r="J131" t="s">
        <v>12</v>
      </c>
      <c r="K131" t="s">
        <v>56</v>
      </c>
      <c r="L131" t="s">
        <v>1066</v>
      </c>
      <c r="M131">
        <v>77.900000000000006</v>
      </c>
      <c r="N131">
        <v>4780.8999999999996</v>
      </c>
      <c r="O131" t="s">
        <v>76</v>
      </c>
      <c r="P131" t="s">
        <v>55</v>
      </c>
      <c r="Q131">
        <f t="shared" ref="Q131:Q194" si="6">IF(P131="Yes",1,0)</f>
        <v>0</v>
      </c>
      <c r="R131" t="str">
        <f t="shared" ref="R131:R194" si="7">IF(F131&lt;=12,"0-12 months",IF(F131&lt;=24,"13-24 months",IF(F131&lt;=48,"25-48 months","49+ months")))</f>
        <v>49+ months</v>
      </c>
      <c r="S131" t="str">
        <f t="shared" ref="S131:S194" si="8">IF(M131&lt;50,"&lt; $50",IF(M131&lt;=75,"$50-$75",IF(M131&lt;=100,"$76-$100","&gt; $100")))</f>
        <v>$76-$100</v>
      </c>
    </row>
    <row r="132" spans="1:19" x14ac:dyDescent="0.35">
      <c r="A132" t="s">
        <v>196</v>
      </c>
      <c r="B132">
        <v>56</v>
      </c>
      <c r="C132" t="s">
        <v>55</v>
      </c>
      <c r="D132" t="s">
        <v>56</v>
      </c>
      <c r="E132" t="s">
        <v>55</v>
      </c>
      <c r="F132">
        <v>41</v>
      </c>
      <c r="G132" t="s">
        <v>55</v>
      </c>
      <c r="H132" t="s">
        <v>60</v>
      </c>
      <c r="I132" t="s">
        <v>29</v>
      </c>
      <c r="J132" t="s">
        <v>14</v>
      </c>
      <c r="K132" t="s">
        <v>56</v>
      </c>
      <c r="L132" t="s">
        <v>1066</v>
      </c>
      <c r="M132">
        <v>60.6</v>
      </c>
      <c r="N132">
        <v>2367.1799999999998</v>
      </c>
      <c r="O132" t="s">
        <v>80</v>
      </c>
      <c r="P132" t="s">
        <v>55</v>
      </c>
      <c r="Q132">
        <f t="shared" si="6"/>
        <v>0</v>
      </c>
      <c r="R132" t="str">
        <f t="shared" si="7"/>
        <v>25-48 months</v>
      </c>
      <c r="S132" t="str">
        <f t="shared" si="8"/>
        <v>$50-$75</v>
      </c>
    </row>
    <row r="133" spans="1:19" x14ac:dyDescent="0.35">
      <c r="A133" t="s">
        <v>197</v>
      </c>
      <c r="B133">
        <v>35</v>
      </c>
      <c r="C133" t="s">
        <v>55</v>
      </c>
      <c r="D133" t="s">
        <v>55</v>
      </c>
      <c r="E133" t="s">
        <v>56</v>
      </c>
      <c r="F133">
        <v>19</v>
      </c>
      <c r="G133" t="s">
        <v>55</v>
      </c>
      <c r="H133" t="s">
        <v>60</v>
      </c>
      <c r="I133" t="s">
        <v>30</v>
      </c>
      <c r="J133" t="s">
        <v>14</v>
      </c>
      <c r="K133" t="s">
        <v>55</v>
      </c>
      <c r="L133" t="s">
        <v>26</v>
      </c>
      <c r="M133">
        <v>113.27</v>
      </c>
      <c r="N133">
        <v>2064.25</v>
      </c>
      <c r="O133" t="s">
        <v>58</v>
      </c>
      <c r="P133" t="s">
        <v>55</v>
      </c>
      <c r="Q133">
        <f t="shared" si="6"/>
        <v>0</v>
      </c>
      <c r="R133" t="str">
        <f t="shared" si="7"/>
        <v>13-24 months</v>
      </c>
      <c r="S133" t="str">
        <f t="shared" si="8"/>
        <v>&gt; $100</v>
      </c>
    </row>
    <row r="134" spans="1:19" x14ac:dyDescent="0.35">
      <c r="A134" t="s">
        <v>198</v>
      </c>
      <c r="B134">
        <v>64</v>
      </c>
      <c r="C134" t="s">
        <v>56</v>
      </c>
      <c r="D134" t="s">
        <v>55</v>
      </c>
      <c r="E134" t="s">
        <v>56</v>
      </c>
      <c r="F134">
        <v>21</v>
      </c>
      <c r="G134" t="s">
        <v>55</v>
      </c>
      <c r="H134" t="s">
        <v>60</v>
      </c>
      <c r="I134" t="s">
        <v>29</v>
      </c>
      <c r="J134" t="s">
        <v>12</v>
      </c>
      <c r="K134" t="s">
        <v>55</v>
      </c>
      <c r="L134" t="s">
        <v>24</v>
      </c>
      <c r="M134">
        <v>43.6</v>
      </c>
      <c r="N134">
        <v>903.87</v>
      </c>
      <c r="O134" t="s">
        <v>62</v>
      </c>
      <c r="P134" t="s">
        <v>55</v>
      </c>
      <c r="Q134">
        <f t="shared" si="6"/>
        <v>0</v>
      </c>
      <c r="R134" t="str">
        <f t="shared" si="7"/>
        <v>13-24 months</v>
      </c>
      <c r="S134" t="str">
        <f t="shared" si="8"/>
        <v>&lt; $50</v>
      </c>
    </row>
    <row r="135" spans="1:19" x14ac:dyDescent="0.35">
      <c r="A135" t="s">
        <v>199</v>
      </c>
      <c r="B135">
        <v>31</v>
      </c>
      <c r="C135" t="s">
        <v>55</v>
      </c>
      <c r="D135" t="s">
        <v>55</v>
      </c>
      <c r="E135" t="s">
        <v>56</v>
      </c>
      <c r="F135">
        <v>7</v>
      </c>
      <c r="G135" t="s">
        <v>55</v>
      </c>
      <c r="H135" t="s">
        <v>60</v>
      </c>
      <c r="I135" t="s">
        <v>30</v>
      </c>
      <c r="J135" t="s">
        <v>12</v>
      </c>
      <c r="K135" t="s">
        <v>56</v>
      </c>
      <c r="L135" t="s">
        <v>1066</v>
      </c>
      <c r="M135">
        <v>91.55</v>
      </c>
      <c r="N135">
        <v>670.26</v>
      </c>
      <c r="O135" t="s">
        <v>66</v>
      </c>
      <c r="P135" t="s">
        <v>55</v>
      </c>
      <c r="Q135">
        <f t="shared" si="6"/>
        <v>0</v>
      </c>
      <c r="R135" t="str">
        <f t="shared" si="7"/>
        <v>0-12 months</v>
      </c>
      <c r="S135" t="str">
        <f t="shared" si="8"/>
        <v>$76-$100</v>
      </c>
    </row>
    <row r="136" spans="1:19" x14ac:dyDescent="0.35">
      <c r="A136" t="s">
        <v>200</v>
      </c>
      <c r="B136">
        <v>43</v>
      </c>
      <c r="C136" t="s">
        <v>55</v>
      </c>
      <c r="D136" t="s">
        <v>55</v>
      </c>
      <c r="E136" t="s">
        <v>56</v>
      </c>
      <c r="F136">
        <v>52</v>
      </c>
      <c r="G136" t="s">
        <v>56</v>
      </c>
      <c r="H136" t="s">
        <v>55</v>
      </c>
      <c r="I136" t="s">
        <v>30</v>
      </c>
      <c r="J136" t="s">
        <v>12</v>
      </c>
      <c r="K136" t="s">
        <v>55</v>
      </c>
      <c r="L136" t="s">
        <v>24</v>
      </c>
      <c r="M136">
        <v>108.22</v>
      </c>
      <c r="N136">
        <v>5478.69</v>
      </c>
      <c r="O136" t="s">
        <v>69</v>
      </c>
      <c r="P136" t="s">
        <v>55</v>
      </c>
      <c r="Q136">
        <f t="shared" si="6"/>
        <v>0</v>
      </c>
      <c r="R136" t="str">
        <f t="shared" si="7"/>
        <v>49+ months</v>
      </c>
      <c r="S136" t="str">
        <f t="shared" si="8"/>
        <v>&gt; $100</v>
      </c>
    </row>
    <row r="137" spans="1:19" x14ac:dyDescent="0.35">
      <c r="A137" t="s">
        <v>201</v>
      </c>
      <c r="B137">
        <v>57</v>
      </c>
      <c r="C137" t="s">
        <v>55</v>
      </c>
      <c r="D137" t="s">
        <v>56</v>
      </c>
      <c r="E137" t="s">
        <v>56</v>
      </c>
      <c r="F137">
        <v>13</v>
      </c>
      <c r="G137" t="s">
        <v>55</v>
      </c>
      <c r="H137" t="s">
        <v>60</v>
      </c>
      <c r="I137" t="s">
        <v>30</v>
      </c>
      <c r="J137" t="s">
        <v>13</v>
      </c>
      <c r="K137" t="s">
        <v>55</v>
      </c>
      <c r="L137" t="s">
        <v>1066</v>
      </c>
      <c r="M137">
        <v>79.95</v>
      </c>
      <c r="N137">
        <v>1040.49</v>
      </c>
      <c r="O137" t="s">
        <v>80</v>
      </c>
      <c r="P137" t="s">
        <v>55</v>
      </c>
      <c r="Q137">
        <f t="shared" si="6"/>
        <v>0</v>
      </c>
      <c r="R137" t="str">
        <f t="shared" si="7"/>
        <v>13-24 months</v>
      </c>
      <c r="S137" t="str">
        <f t="shared" si="8"/>
        <v>$76-$100</v>
      </c>
    </row>
    <row r="138" spans="1:19" x14ac:dyDescent="0.35">
      <c r="A138" t="s">
        <v>202</v>
      </c>
      <c r="B138">
        <v>20</v>
      </c>
      <c r="C138" t="s">
        <v>55</v>
      </c>
      <c r="D138" t="s">
        <v>56</v>
      </c>
      <c r="E138" t="s">
        <v>55</v>
      </c>
      <c r="F138">
        <v>61</v>
      </c>
      <c r="G138" t="s">
        <v>56</v>
      </c>
      <c r="H138" t="s">
        <v>55</v>
      </c>
      <c r="I138" t="s">
        <v>29</v>
      </c>
      <c r="J138" t="s">
        <v>12</v>
      </c>
      <c r="K138" t="s">
        <v>55</v>
      </c>
      <c r="L138" t="s">
        <v>25</v>
      </c>
      <c r="M138">
        <v>52.74</v>
      </c>
      <c r="N138">
        <v>3175.81</v>
      </c>
      <c r="O138" t="s">
        <v>66</v>
      </c>
      <c r="P138" t="s">
        <v>55</v>
      </c>
      <c r="Q138">
        <f t="shared" si="6"/>
        <v>0</v>
      </c>
      <c r="R138" t="str">
        <f t="shared" si="7"/>
        <v>49+ months</v>
      </c>
      <c r="S138" t="str">
        <f t="shared" si="8"/>
        <v>$50-$75</v>
      </c>
    </row>
    <row r="139" spans="1:19" x14ac:dyDescent="0.35">
      <c r="A139" t="s">
        <v>203</v>
      </c>
      <c r="B139">
        <v>37</v>
      </c>
      <c r="C139" t="s">
        <v>55</v>
      </c>
      <c r="D139" t="s">
        <v>55</v>
      </c>
      <c r="E139" t="s">
        <v>55</v>
      </c>
      <c r="F139">
        <v>39</v>
      </c>
      <c r="G139" t="s">
        <v>56</v>
      </c>
      <c r="H139" t="s">
        <v>55</v>
      </c>
      <c r="I139" t="s">
        <v>29</v>
      </c>
      <c r="J139" t="s">
        <v>13</v>
      </c>
      <c r="K139" t="s">
        <v>55</v>
      </c>
      <c r="L139" t="s">
        <v>24</v>
      </c>
      <c r="M139">
        <v>71.87</v>
      </c>
      <c r="N139">
        <v>2878.72</v>
      </c>
      <c r="O139" t="s">
        <v>80</v>
      </c>
      <c r="P139" t="s">
        <v>55</v>
      </c>
      <c r="Q139">
        <f t="shared" si="6"/>
        <v>0</v>
      </c>
      <c r="R139" t="str">
        <f t="shared" si="7"/>
        <v>25-48 months</v>
      </c>
      <c r="S139" t="str">
        <f t="shared" si="8"/>
        <v>$50-$75</v>
      </c>
    </row>
    <row r="140" spans="1:19" x14ac:dyDescent="0.35">
      <c r="A140" t="s">
        <v>204</v>
      </c>
      <c r="B140">
        <v>56</v>
      </c>
      <c r="C140" t="s">
        <v>55</v>
      </c>
      <c r="D140" t="s">
        <v>55</v>
      </c>
      <c r="E140" t="s">
        <v>55</v>
      </c>
      <c r="F140">
        <v>30</v>
      </c>
      <c r="G140" t="s">
        <v>55</v>
      </c>
      <c r="H140" t="s">
        <v>60</v>
      </c>
      <c r="I140" t="s">
        <v>29</v>
      </c>
      <c r="J140" t="s">
        <v>12</v>
      </c>
      <c r="K140" t="s">
        <v>55</v>
      </c>
      <c r="L140" t="s">
        <v>26</v>
      </c>
      <c r="M140">
        <v>67.23</v>
      </c>
      <c r="N140">
        <v>1903.53</v>
      </c>
      <c r="O140" t="s">
        <v>80</v>
      </c>
      <c r="P140" t="s">
        <v>55</v>
      </c>
      <c r="Q140">
        <f t="shared" si="6"/>
        <v>0</v>
      </c>
      <c r="R140" t="str">
        <f t="shared" si="7"/>
        <v>25-48 months</v>
      </c>
      <c r="S140" t="str">
        <f t="shared" si="8"/>
        <v>$50-$75</v>
      </c>
    </row>
    <row r="141" spans="1:19" x14ac:dyDescent="0.35">
      <c r="A141" t="s">
        <v>205</v>
      </c>
      <c r="B141">
        <v>30</v>
      </c>
      <c r="C141" t="s">
        <v>55</v>
      </c>
      <c r="D141" t="s">
        <v>56</v>
      </c>
      <c r="E141" t="s">
        <v>55</v>
      </c>
      <c r="F141">
        <v>41</v>
      </c>
      <c r="G141" t="s">
        <v>55</v>
      </c>
      <c r="H141" t="s">
        <v>60</v>
      </c>
      <c r="I141" t="s">
        <v>30</v>
      </c>
      <c r="J141" t="s">
        <v>13</v>
      </c>
      <c r="K141" t="s">
        <v>55</v>
      </c>
      <c r="L141" t="s">
        <v>24</v>
      </c>
      <c r="M141">
        <v>100.57</v>
      </c>
      <c r="N141">
        <v>4109.32</v>
      </c>
      <c r="O141" t="s">
        <v>69</v>
      </c>
      <c r="P141" t="s">
        <v>55</v>
      </c>
      <c r="Q141">
        <f t="shared" si="6"/>
        <v>0</v>
      </c>
      <c r="R141" t="str">
        <f t="shared" si="7"/>
        <v>25-48 months</v>
      </c>
      <c r="S141" t="str">
        <f t="shared" si="8"/>
        <v>&gt; $100</v>
      </c>
    </row>
    <row r="142" spans="1:19" x14ac:dyDescent="0.35">
      <c r="A142" t="s">
        <v>206</v>
      </c>
      <c r="B142">
        <v>21</v>
      </c>
      <c r="C142" t="s">
        <v>55</v>
      </c>
      <c r="D142" t="s">
        <v>56</v>
      </c>
      <c r="E142" t="s">
        <v>56</v>
      </c>
      <c r="F142">
        <v>72</v>
      </c>
      <c r="G142" t="s">
        <v>55</v>
      </c>
      <c r="H142" t="s">
        <v>60</v>
      </c>
      <c r="I142" t="s">
        <v>30</v>
      </c>
      <c r="J142" t="s">
        <v>12</v>
      </c>
      <c r="K142" t="s">
        <v>55</v>
      </c>
      <c r="L142" t="s">
        <v>25</v>
      </c>
      <c r="M142">
        <v>92.98</v>
      </c>
      <c r="N142">
        <v>6721.17</v>
      </c>
      <c r="O142" t="s">
        <v>69</v>
      </c>
      <c r="P142" t="s">
        <v>55</v>
      </c>
      <c r="Q142">
        <f t="shared" si="6"/>
        <v>0</v>
      </c>
      <c r="R142" t="str">
        <f t="shared" si="7"/>
        <v>49+ months</v>
      </c>
      <c r="S142" t="str">
        <f t="shared" si="8"/>
        <v>$76-$100</v>
      </c>
    </row>
    <row r="143" spans="1:19" x14ac:dyDescent="0.35">
      <c r="A143" t="s">
        <v>207</v>
      </c>
      <c r="B143">
        <v>67</v>
      </c>
      <c r="C143" t="s">
        <v>56</v>
      </c>
      <c r="D143" t="s">
        <v>55</v>
      </c>
      <c r="E143" t="s">
        <v>55</v>
      </c>
      <c r="F143">
        <v>25</v>
      </c>
      <c r="G143" t="s">
        <v>55</v>
      </c>
      <c r="H143" t="s">
        <v>60</v>
      </c>
      <c r="I143" t="s">
        <v>31</v>
      </c>
      <c r="J143" t="s">
        <v>13</v>
      </c>
      <c r="K143" t="s">
        <v>56</v>
      </c>
      <c r="L143" t="s">
        <v>25</v>
      </c>
      <c r="M143">
        <v>29.79</v>
      </c>
      <c r="N143">
        <v>768.98</v>
      </c>
      <c r="O143" t="s">
        <v>69</v>
      </c>
      <c r="P143" t="s">
        <v>55</v>
      </c>
      <c r="Q143">
        <f t="shared" si="6"/>
        <v>0</v>
      </c>
      <c r="R143" t="str">
        <f t="shared" si="7"/>
        <v>25-48 months</v>
      </c>
      <c r="S143" t="str">
        <f t="shared" si="8"/>
        <v>&lt; $50</v>
      </c>
    </row>
    <row r="144" spans="1:19" x14ac:dyDescent="0.35">
      <c r="A144" t="s">
        <v>208</v>
      </c>
      <c r="B144">
        <v>63</v>
      </c>
      <c r="C144" t="s">
        <v>56</v>
      </c>
      <c r="D144" t="s">
        <v>55</v>
      </c>
      <c r="E144" t="s">
        <v>55</v>
      </c>
      <c r="F144">
        <v>62</v>
      </c>
      <c r="G144" t="s">
        <v>55</v>
      </c>
      <c r="H144" t="s">
        <v>60</v>
      </c>
      <c r="I144" t="s">
        <v>30</v>
      </c>
      <c r="J144" t="s">
        <v>12</v>
      </c>
      <c r="K144" t="s">
        <v>55</v>
      </c>
      <c r="L144" t="s">
        <v>25</v>
      </c>
      <c r="M144">
        <v>89.73</v>
      </c>
      <c r="N144">
        <v>5459.87</v>
      </c>
      <c r="O144" t="s">
        <v>62</v>
      </c>
      <c r="P144" t="s">
        <v>55</v>
      </c>
      <c r="Q144">
        <f t="shared" si="6"/>
        <v>0</v>
      </c>
      <c r="R144" t="str">
        <f t="shared" si="7"/>
        <v>49+ months</v>
      </c>
      <c r="S144" t="str">
        <f t="shared" si="8"/>
        <v>$76-$100</v>
      </c>
    </row>
    <row r="145" spans="1:19" x14ac:dyDescent="0.35">
      <c r="A145" t="s">
        <v>209</v>
      </c>
      <c r="B145">
        <v>36</v>
      </c>
      <c r="C145" t="s">
        <v>55</v>
      </c>
      <c r="D145" t="s">
        <v>56</v>
      </c>
      <c r="E145" t="s">
        <v>55</v>
      </c>
      <c r="F145">
        <v>11</v>
      </c>
      <c r="G145" t="s">
        <v>55</v>
      </c>
      <c r="H145" t="s">
        <v>60</v>
      </c>
      <c r="I145" t="s">
        <v>30</v>
      </c>
      <c r="J145" t="s">
        <v>13</v>
      </c>
      <c r="K145" t="s">
        <v>55</v>
      </c>
      <c r="L145" t="s">
        <v>26</v>
      </c>
      <c r="M145">
        <v>111.4</v>
      </c>
      <c r="N145">
        <v>1191.75</v>
      </c>
      <c r="O145" t="s">
        <v>76</v>
      </c>
      <c r="P145" t="s">
        <v>55</v>
      </c>
      <c r="Q145">
        <f t="shared" si="6"/>
        <v>0</v>
      </c>
      <c r="R145" t="str">
        <f t="shared" si="7"/>
        <v>0-12 months</v>
      </c>
      <c r="S145" t="str">
        <f t="shared" si="8"/>
        <v>&gt; $100</v>
      </c>
    </row>
    <row r="146" spans="1:19" x14ac:dyDescent="0.35">
      <c r="A146" t="s">
        <v>210</v>
      </c>
      <c r="B146">
        <v>26</v>
      </c>
      <c r="C146" t="s">
        <v>55</v>
      </c>
      <c r="D146" t="s">
        <v>56</v>
      </c>
      <c r="E146" t="s">
        <v>56</v>
      </c>
      <c r="F146">
        <v>32</v>
      </c>
      <c r="G146" t="s">
        <v>56</v>
      </c>
      <c r="H146" t="s">
        <v>55</v>
      </c>
      <c r="I146" t="s">
        <v>30</v>
      </c>
      <c r="J146" t="s">
        <v>12</v>
      </c>
      <c r="K146" t="s">
        <v>55</v>
      </c>
      <c r="L146" t="s">
        <v>26</v>
      </c>
      <c r="M146">
        <v>93.62</v>
      </c>
      <c r="N146">
        <v>3060.98</v>
      </c>
      <c r="O146" t="s">
        <v>58</v>
      </c>
      <c r="P146" t="s">
        <v>56</v>
      </c>
      <c r="Q146">
        <f t="shared" si="6"/>
        <v>1</v>
      </c>
      <c r="R146" t="str">
        <f t="shared" si="7"/>
        <v>25-48 months</v>
      </c>
      <c r="S146" t="str">
        <f t="shared" si="8"/>
        <v>$76-$100</v>
      </c>
    </row>
    <row r="147" spans="1:19" x14ac:dyDescent="0.35">
      <c r="A147" t="s">
        <v>211</v>
      </c>
      <c r="B147">
        <v>28</v>
      </c>
      <c r="C147" t="s">
        <v>55</v>
      </c>
      <c r="D147" t="s">
        <v>55</v>
      </c>
      <c r="E147" t="s">
        <v>55</v>
      </c>
      <c r="F147">
        <v>62</v>
      </c>
      <c r="G147" t="s">
        <v>55</v>
      </c>
      <c r="H147" t="s">
        <v>60</v>
      </c>
      <c r="I147" t="s">
        <v>29</v>
      </c>
      <c r="J147" t="s">
        <v>12</v>
      </c>
      <c r="K147" t="s">
        <v>56</v>
      </c>
      <c r="L147" t="s">
        <v>25</v>
      </c>
      <c r="M147">
        <v>43.58</v>
      </c>
      <c r="N147">
        <v>2726</v>
      </c>
      <c r="O147" t="s">
        <v>69</v>
      </c>
      <c r="P147" t="s">
        <v>55</v>
      </c>
      <c r="Q147">
        <f t="shared" si="6"/>
        <v>0</v>
      </c>
      <c r="R147" t="str">
        <f t="shared" si="7"/>
        <v>49+ months</v>
      </c>
      <c r="S147" t="str">
        <f t="shared" si="8"/>
        <v>&lt; $50</v>
      </c>
    </row>
    <row r="148" spans="1:19" x14ac:dyDescent="0.35">
      <c r="A148" t="s">
        <v>212</v>
      </c>
      <c r="B148">
        <v>72</v>
      </c>
      <c r="C148" t="s">
        <v>56</v>
      </c>
      <c r="D148" t="s">
        <v>56</v>
      </c>
      <c r="E148" t="s">
        <v>56</v>
      </c>
      <c r="F148">
        <v>54</v>
      </c>
      <c r="G148" t="s">
        <v>56</v>
      </c>
      <c r="H148" t="s">
        <v>55</v>
      </c>
      <c r="I148" t="s">
        <v>31</v>
      </c>
      <c r="J148" t="s">
        <v>12</v>
      </c>
      <c r="K148" t="s">
        <v>55</v>
      </c>
      <c r="L148" t="s">
        <v>1066</v>
      </c>
      <c r="M148">
        <v>20.239999999999998</v>
      </c>
      <c r="N148">
        <v>1125.6199999999999</v>
      </c>
      <c r="O148" t="s">
        <v>76</v>
      </c>
      <c r="P148" t="s">
        <v>55</v>
      </c>
      <c r="Q148">
        <f t="shared" si="6"/>
        <v>0</v>
      </c>
      <c r="R148" t="str">
        <f t="shared" si="7"/>
        <v>49+ months</v>
      </c>
      <c r="S148" t="str">
        <f t="shared" si="8"/>
        <v>&lt; $50</v>
      </c>
    </row>
    <row r="149" spans="1:19" x14ac:dyDescent="0.35">
      <c r="A149" t="s">
        <v>213</v>
      </c>
      <c r="B149">
        <v>74</v>
      </c>
      <c r="C149" t="s">
        <v>56</v>
      </c>
      <c r="D149" t="s">
        <v>56</v>
      </c>
      <c r="E149" t="s">
        <v>56</v>
      </c>
      <c r="F149">
        <v>39</v>
      </c>
      <c r="G149" t="s">
        <v>56</v>
      </c>
      <c r="H149" t="s">
        <v>55</v>
      </c>
      <c r="I149" t="s">
        <v>29</v>
      </c>
      <c r="J149" t="s">
        <v>12</v>
      </c>
      <c r="K149" t="s">
        <v>55</v>
      </c>
      <c r="L149" t="s">
        <v>25</v>
      </c>
      <c r="M149">
        <v>61.73</v>
      </c>
      <c r="N149">
        <v>2405.71</v>
      </c>
      <c r="O149" t="s">
        <v>66</v>
      </c>
      <c r="P149" t="s">
        <v>55</v>
      </c>
      <c r="Q149">
        <f t="shared" si="6"/>
        <v>0</v>
      </c>
      <c r="R149" t="str">
        <f t="shared" si="7"/>
        <v>25-48 months</v>
      </c>
      <c r="S149" t="str">
        <f t="shared" si="8"/>
        <v>$50-$75</v>
      </c>
    </row>
    <row r="150" spans="1:19" x14ac:dyDescent="0.35">
      <c r="A150" t="s">
        <v>214</v>
      </c>
      <c r="B150">
        <v>50</v>
      </c>
      <c r="C150" t="s">
        <v>55</v>
      </c>
      <c r="D150" t="s">
        <v>55</v>
      </c>
      <c r="E150" t="s">
        <v>55</v>
      </c>
      <c r="F150">
        <v>25</v>
      </c>
      <c r="G150" t="s">
        <v>55</v>
      </c>
      <c r="H150" t="s">
        <v>60</v>
      </c>
      <c r="I150" t="s">
        <v>31</v>
      </c>
      <c r="J150" t="s">
        <v>12</v>
      </c>
      <c r="K150" t="s">
        <v>55</v>
      </c>
      <c r="L150" t="s">
        <v>1066</v>
      </c>
      <c r="M150">
        <v>26.62</v>
      </c>
      <c r="N150">
        <v>626.69000000000005</v>
      </c>
      <c r="O150" t="s">
        <v>76</v>
      </c>
      <c r="P150" t="s">
        <v>55</v>
      </c>
      <c r="Q150">
        <f t="shared" si="6"/>
        <v>0</v>
      </c>
      <c r="R150" t="str">
        <f t="shared" si="7"/>
        <v>25-48 months</v>
      </c>
      <c r="S150" t="str">
        <f t="shared" si="8"/>
        <v>&lt; $50</v>
      </c>
    </row>
    <row r="151" spans="1:19" x14ac:dyDescent="0.35">
      <c r="A151" t="s">
        <v>215</v>
      </c>
      <c r="B151">
        <v>54</v>
      </c>
      <c r="C151" t="s">
        <v>55</v>
      </c>
      <c r="D151" t="s">
        <v>56</v>
      </c>
      <c r="E151" t="s">
        <v>56</v>
      </c>
      <c r="F151">
        <v>52</v>
      </c>
      <c r="G151" t="s">
        <v>55</v>
      </c>
      <c r="H151" t="s">
        <v>60</v>
      </c>
      <c r="I151" t="s">
        <v>31</v>
      </c>
      <c r="J151" t="s">
        <v>12</v>
      </c>
      <c r="K151" t="s">
        <v>56</v>
      </c>
      <c r="L151" t="s">
        <v>26</v>
      </c>
      <c r="M151">
        <v>19.690000000000001</v>
      </c>
      <c r="N151">
        <v>1002.21</v>
      </c>
      <c r="O151" t="s">
        <v>76</v>
      </c>
      <c r="P151" t="s">
        <v>56</v>
      </c>
      <c r="Q151">
        <f t="shared" si="6"/>
        <v>1</v>
      </c>
      <c r="R151" t="str">
        <f t="shared" si="7"/>
        <v>49+ months</v>
      </c>
      <c r="S151" t="str">
        <f t="shared" si="8"/>
        <v>&lt; $50</v>
      </c>
    </row>
    <row r="152" spans="1:19" x14ac:dyDescent="0.35">
      <c r="A152" t="s">
        <v>216</v>
      </c>
      <c r="B152">
        <v>42</v>
      </c>
      <c r="C152" t="s">
        <v>55</v>
      </c>
      <c r="D152" t="s">
        <v>56</v>
      </c>
      <c r="E152" t="s">
        <v>55</v>
      </c>
      <c r="F152">
        <v>35</v>
      </c>
      <c r="G152" t="s">
        <v>55</v>
      </c>
      <c r="H152" t="s">
        <v>60</v>
      </c>
      <c r="I152" t="s">
        <v>31</v>
      </c>
      <c r="J152" t="s">
        <v>13</v>
      </c>
      <c r="K152" t="s">
        <v>56</v>
      </c>
      <c r="L152" t="s">
        <v>26</v>
      </c>
      <c r="M152">
        <v>22.31</v>
      </c>
      <c r="N152">
        <v>756.14</v>
      </c>
      <c r="O152" t="s">
        <v>64</v>
      </c>
      <c r="P152" t="s">
        <v>55</v>
      </c>
      <c r="Q152">
        <f t="shared" si="6"/>
        <v>0</v>
      </c>
      <c r="R152" t="str">
        <f t="shared" si="7"/>
        <v>25-48 months</v>
      </c>
      <c r="S152" t="str">
        <f t="shared" si="8"/>
        <v>&lt; $50</v>
      </c>
    </row>
    <row r="153" spans="1:19" x14ac:dyDescent="0.35">
      <c r="A153" t="s">
        <v>217</v>
      </c>
      <c r="B153">
        <v>37</v>
      </c>
      <c r="C153" t="s">
        <v>55</v>
      </c>
      <c r="D153" t="s">
        <v>56</v>
      </c>
      <c r="E153" t="s">
        <v>55</v>
      </c>
      <c r="F153">
        <v>65</v>
      </c>
      <c r="G153" t="s">
        <v>55</v>
      </c>
      <c r="H153" t="s">
        <v>60</v>
      </c>
      <c r="I153" t="s">
        <v>31</v>
      </c>
      <c r="J153" t="s">
        <v>13</v>
      </c>
      <c r="K153" t="s">
        <v>55</v>
      </c>
      <c r="L153" t="s">
        <v>24</v>
      </c>
      <c r="M153">
        <v>20.65</v>
      </c>
      <c r="N153">
        <v>1415.92</v>
      </c>
      <c r="O153" t="s">
        <v>64</v>
      </c>
      <c r="P153" t="s">
        <v>55</v>
      </c>
      <c r="Q153">
        <f t="shared" si="6"/>
        <v>0</v>
      </c>
      <c r="R153" t="str">
        <f t="shared" si="7"/>
        <v>49+ months</v>
      </c>
      <c r="S153" t="str">
        <f t="shared" si="8"/>
        <v>&lt; $50</v>
      </c>
    </row>
    <row r="154" spans="1:19" x14ac:dyDescent="0.35">
      <c r="A154" t="s">
        <v>218</v>
      </c>
      <c r="B154">
        <v>65</v>
      </c>
      <c r="C154" t="s">
        <v>56</v>
      </c>
      <c r="D154" t="s">
        <v>55</v>
      </c>
      <c r="E154" t="s">
        <v>55</v>
      </c>
      <c r="F154">
        <v>71</v>
      </c>
      <c r="G154" t="s">
        <v>56</v>
      </c>
      <c r="H154" t="s">
        <v>55</v>
      </c>
      <c r="I154" t="s">
        <v>31</v>
      </c>
      <c r="J154" t="s">
        <v>13</v>
      </c>
      <c r="K154" t="s">
        <v>56</v>
      </c>
      <c r="L154" t="s">
        <v>24</v>
      </c>
      <c r="M154">
        <v>24.34</v>
      </c>
      <c r="N154">
        <v>1699.48</v>
      </c>
      <c r="O154" t="s">
        <v>80</v>
      </c>
      <c r="P154" t="s">
        <v>55</v>
      </c>
      <c r="Q154">
        <f t="shared" si="6"/>
        <v>0</v>
      </c>
      <c r="R154" t="str">
        <f t="shared" si="7"/>
        <v>49+ months</v>
      </c>
      <c r="S154" t="str">
        <f t="shared" si="8"/>
        <v>&lt; $50</v>
      </c>
    </row>
    <row r="155" spans="1:19" x14ac:dyDescent="0.35">
      <c r="A155" t="s">
        <v>219</v>
      </c>
      <c r="B155">
        <v>21</v>
      </c>
      <c r="C155" t="s">
        <v>55</v>
      </c>
      <c r="D155" t="s">
        <v>56</v>
      </c>
      <c r="E155" t="s">
        <v>56</v>
      </c>
      <c r="F155">
        <v>22</v>
      </c>
      <c r="G155" t="s">
        <v>55</v>
      </c>
      <c r="H155" t="s">
        <v>60</v>
      </c>
      <c r="I155" t="s">
        <v>30</v>
      </c>
      <c r="J155" t="s">
        <v>12</v>
      </c>
      <c r="K155" t="s">
        <v>56</v>
      </c>
      <c r="L155" t="s">
        <v>1066</v>
      </c>
      <c r="M155">
        <v>94.44</v>
      </c>
      <c r="N155">
        <v>2177.13</v>
      </c>
      <c r="O155" t="s">
        <v>80</v>
      </c>
      <c r="P155" t="s">
        <v>55</v>
      </c>
      <c r="Q155">
        <f t="shared" si="6"/>
        <v>0</v>
      </c>
      <c r="R155" t="str">
        <f t="shared" si="7"/>
        <v>13-24 months</v>
      </c>
      <c r="S155" t="str">
        <f t="shared" si="8"/>
        <v>$76-$100</v>
      </c>
    </row>
    <row r="156" spans="1:19" x14ac:dyDescent="0.35">
      <c r="A156" t="s">
        <v>220</v>
      </c>
      <c r="B156">
        <v>47</v>
      </c>
      <c r="C156" t="s">
        <v>55</v>
      </c>
      <c r="D156" t="s">
        <v>56</v>
      </c>
      <c r="E156" t="s">
        <v>55</v>
      </c>
      <c r="F156">
        <v>59</v>
      </c>
      <c r="G156" t="s">
        <v>55</v>
      </c>
      <c r="H156" t="s">
        <v>60</v>
      </c>
      <c r="I156" t="s">
        <v>29</v>
      </c>
      <c r="J156" t="s">
        <v>13</v>
      </c>
      <c r="K156" t="s">
        <v>55</v>
      </c>
      <c r="L156" t="s">
        <v>1066</v>
      </c>
      <c r="M156">
        <v>55.84</v>
      </c>
      <c r="N156">
        <v>3419.67</v>
      </c>
      <c r="O156" t="s">
        <v>58</v>
      </c>
      <c r="P156" t="s">
        <v>55</v>
      </c>
      <c r="Q156">
        <f t="shared" si="6"/>
        <v>0</v>
      </c>
      <c r="R156" t="str">
        <f t="shared" si="7"/>
        <v>49+ months</v>
      </c>
      <c r="S156" t="str">
        <f t="shared" si="8"/>
        <v>$50-$75</v>
      </c>
    </row>
    <row r="157" spans="1:19" x14ac:dyDescent="0.35">
      <c r="A157" t="s">
        <v>221</v>
      </c>
      <c r="B157">
        <v>22</v>
      </c>
      <c r="C157" t="s">
        <v>55</v>
      </c>
      <c r="D157" t="s">
        <v>56</v>
      </c>
      <c r="E157" t="s">
        <v>55</v>
      </c>
      <c r="F157">
        <v>45</v>
      </c>
      <c r="G157" t="s">
        <v>56</v>
      </c>
      <c r="H157" t="s">
        <v>55</v>
      </c>
      <c r="I157" t="s">
        <v>29</v>
      </c>
      <c r="J157" t="s">
        <v>12</v>
      </c>
      <c r="K157" t="s">
        <v>55</v>
      </c>
      <c r="L157" t="s">
        <v>26</v>
      </c>
      <c r="M157">
        <v>56.35</v>
      </c>
      <c r="N157">
        <v>2617.6</v>
      </c>
      <c r="O157" t="s">
        <v>69</v>
      </c>
      <c r="P157" t="s">
        <v>55</v>
      </c>
      <c r="Q157">
        <f t="shared" si="6"/>
        <v>0</v>
      </c>
      <c r="R157" t="str">
        <f t="shared" si="7"/>
        <v>25-48 months</v>
      </c>
      <c r="S157" t="str">
        <f t="shared" si="8"/>
        <v>$50-$75</v>
      </c>
    </row>
    <row r="158" spans="1:19" x14ac:dyDescent="0.35">
      <c r="A158" t="s">
        <v>222</v>
      </c>
      <c r="B158">
        <v>59</v>
      </c>
      <c r="C158" t="s">
        <v>55</v>
      </c>
      <c r="D158" t="s">
        <v>55</v>
      </c>
      <c r="E158" t="s">
        <v>55</v>
      </c>
      <c r="F158">
        <v>49</v>
      </c>
      <c r="G158" t="s">
        <v>55</v>
      </c>
      <c r="H158" t="s">
        <v>60</v>
      </c>
      <c r="I158" t="s">
        <v>30</v>
      </c>
      <c r="J158" t="s">
        <v>12</v>
      </c>
      <c r="K158" t="s">
        <v>56</v>
      </c>
      <c r="L158" t="s">
        <v>1066</v>
      </c>
      <c r="M158">
        <v>87.39</v>
      </c>
      <c r="N158">
        <v>4116.8900000000003</v>
      </c>
      <c r="O158" t="s">
        <v>58</v>
      </c>
      <c r="P158" t="s">
        <v>55</v>
      </c>
      <c r="Q158">
        <f t="shared" si="6"/>
        <v>0</v>
      </c>
      <c r="R158" t="str">
        <f t="shared" si="7"/>
        <v>49+ months</v>
      </c>
      <c r="S158" t="str">
        <f t="shared" si="8"/>
        <v>$76-$100</v>
      </c>
    </row>
    <row r="159" spans="1:19" x14ac:dyDescent="0.35">
      <c r="A159" t="s">
        <v>223</v>
      </c>
      <c r="B159">
        <v>26</v>
      </c>
      <c r="C159" t="s">
        <v>55</v>
      </c>
      <c r="D159" t="s">
        <v>56</v>
      </c>
      <c r="E159" t="s">
        <v>56</v>
      </c>
      <c r="F159">
        <v>3</v>
      </c>
      <c r="G159" t="s">
        <v>55</v>
      </c>
      <c r="H159" t="s">
        <v>60</v>
      </c>
      <c r="I159" t="s">
        <v>31</v>
      </c>
      <c r="J159" t="s">
        <v>13</v>
      </c>
      <c r="K159" t="s">
        <v>55</v>
      </c>
      <c r="L159" t="s">
        <v>24</v>
      </c>
      <c r="M159">
        <v>27.88</v>
      </c>
      <c r="N159">
        <v>81.11</v>
      </c>
      <c r="O159" t="s">
        <v>76</v>
      </c>
      <c r="P159" t="s">
        <v>55</v>
      </c>
      <c r="Q159">
        <f t="shared" si="6"/>
        <v>0</v>
      </c>
      <c r="R159" t="str">
        <f t="shared" si="7"/>
        <v>0-12 months</v>
      </c>
      <c r="S159" t="str">
        <f t="shared" si="8"/>
        <v>&lt; $50</v>
      </c>
    </row>
    <row r="160" spans="1:19" x14ac:dyDescent="0.35">
      <c r="A160" t="s">
        <v>224</v>
      </c>
      <c r="B160">
        <v>30</v>
      </c>
      <c r="C160" t="s">
        <v>55</v>
      </c>
      <c r="D160" t="s">
        <v>56</v>
      </c>
      <c r="E160" t="s">
        <v>56</v>
      </c>
      <c r="F160">
        <v>54</v>
      </c>
      <c r="G160" t="s">
        <v>56</v>
      </c>
      <c r="H160" t="s">
        <v>56</v>
      </c>
      <c r="I160" t="s">
        <v>29</v>
      </c>
      <c r="J160" t="s">
        <v>12</v>
      </c>
      <c r="K160" t="s">
        <v>56</v>
      </c>
      <c r="L160" t="s">
        <v>24</v>
      </c>
      <c r="M160">
        <v>66.88</v>
      </c>
      <c r="N160">
        <v>3772.83</v>
      </c>
      <c r="O160" t="s">
        <v>80</v>
      </c>
      <c r="P160" t="s">
        <v>56</v>
      </c>
      <c r="Q160">
        <f t="shared" si="6"/>
        <v>1</v>
      </c>
      <c r="R160" t="str">
        <f t="shared" si="7"/>
        <v>49+ months</v>
      </c>
      <c r="S160" t="str">
        <f t="shared" si="8"/>
        <v>$50-$75</v>
      </c>
    </row>
    <row r="161" spans="1:19" x14ac:dyDescent="0.35">
      <c r="A161" t="s">
        <v>225</v>
      </c>
      <c r="B161">
        <v>43</v>
      </c>
      <c r="C161" t="s">
        <v>55</v>
      </c>
      <c r="D161" t="s">
        <v>55</v>
      </c>
      <c r="E161" t="s">
        <v>56</v>
      </c>
      <c r="F161">
        <v>70</v>
      </c>
      <c r="G161" t="s">
        <v>56</v>
      </c>
      <c r="H161" t="s">
        <v>56</v>
      </c>
      <c r="I161" t="s">
        <v>30</v>
      </c>
      <c r="J161" t="s">
        <v>14</v>
      </c>
      <c r="K161" t="s">
        <v>56</v>
      </c>
      <c r="L161" t="s">
        <v>1066</v>
      </c>
      <c r="M161">
        <v>106.58</v>
      </c>
      <c r="N161">
        <v>7298.47</v>
      </c>
      <c r="O161" t="s">
        <v>69</v>
      </c>
      <c r="P161" t="s">
        <v>55</v>
      </c>
      <c r="Q161">
        <f t="shared" si="6"/>
        <v>0</v>
      </c>
      <c r="R161" t="str">
        <f t="shared" si="7"/>
        <v>49+ months</v>
      </c>
      <c r="S161" t="str">
        <f t="shared" si="8"/>
        <v>&gt; $100</v>
      </c>
    </row>
    <row r="162" spans="1:19" x14ac:dyDescent="0.35">
      <c r="A162" t="s">
        <v>226</v>
      </c>
      <c r="B162">
        <v>70</v>
      </c>
      <c r="C162" t="s">
        <v>56</v>
      </c>
      <c r="D162" t="s">
        <v>55</v>
      </c>
      <c r="E162" t="s">
        <v>56</v>
      </c>
      <c r="F162">
        <v>39</v>
      </c>
      <c r="G162" t="s">
        <v>56</v>
      </c>
      <c r="H162" t="s">
        <v>55</v>
      </c>
      <c r="I162" t="s">
        <v>31</v>
      </c>
      <c r="J162" t="s">
        <v>12</v>
      </c>
      <c r="K162" t="s">
        <v>56</v>
      </c>
      <c r="L162" t="s">
        <v>1066</v>
      </c>
      <c r="M162">
        <v>23.13</v>
      </c>
      <c r="N162">
        <v>901.6</v>
      </c>
      <c r="O162" t="s">
        <v>69</v>
      </c>
      <c r="P162" t="s">
        <v>55</v>
      </c>
      <c r="Q162">
        <f t="shared" si="6"/>
        <v>0</v>
      </c>
      <c r="R162" t="str">
        <f t="shared" si="7"/>
        <v>25-48 months</v>
      </c>
      <c r="S162" t="str">
        <f t="shared" si="8"/>
        <v>&lt; $50</v>
      </c>
    </row>
    <row r="163" spans="1:19" x14ac:dyDescent="0.35">
      <c r="A163" t="s">
        <v>227</v>
      </c>
      <c r="B163">
        <v>60</v>
      </c>
      <c r="C163" t="s">
        <v>56</v>
      </c>
      <c r="D163" t="s">
        <v>55</v>
      </c>
      <c r="E163" t="s">
        <v>55</v>
      </c>
      <c r="F163">
        <v>54</v>
      </c>
      <c r="G163" t="s">
        <v>55</v>
      </c>
      <c r="H163" t="s">
        <v>60</v>
      </c>
      <c r="I163" t="s">
        <v>30</v>
      </c>
      <c r="J163" t="s">
        <v>12</v>
      </c>
      <c r="K163" t="s">
        <v>55</v>
      </c>
      <c r="L163" t="s">
        <v>26</v>
      </c>
      <c r="M163">
        <v>81.27</v>
      </c>
      <c r="N163">
        <v>4576.87</v>
      </c>
      <c r="O163" t="s">
        <v>64</v>
      </c>
      <c r="P163" t="s">
        <v>56</v>
      </c>
      <c r="Q163">
        <f t="shared" si="6"/>
        <v>1</v>
      </c>
      <c r="R163" t="str">
        <f t="shared" si="7"/>
        <v>49+ months</v>
      </c>
      <c r="S163" t="str">
        <f t="shared" si="8"/>
        <v>$76-$100</v>
      </c>
    </row>
    <row r="164" spans="1:19" x14ac:dyDescent="0.35">
      <c r="A164" t="s">
        <v>228</v>
      </c>
      <c r="B164">
        <v>21</v>
      </c>
      <c r="C164" t="s">
        <v>55</v>
      </c>
      <c r="D164" t="s">
        <v>55</v>
      </c>
      <c r="E164" t="s">
        <v>55</v>
      </c>
      <c r="F164">
        <v>72</v>
      </c>
      <c r="G164" t="s">
        <v>55</v>
      </c>
      <c r="H164" t="s">
        <v>60</v>
      </c>
      <c r="I164" t="s">
        <v>29</v>
      </c>
      <c r="J164" t="s">
        <v>12</v>
      </c>
      <c r="K164" t="s">
        <v>56</v>
      </c>
      <c r="L164" t="s">
        <v>26</v>
      </c>
      <c r="M164">
        <v>43.16</v>
      </c>
      <c r="N164">
        <v>3088.8</v>
      </c>
      <c r="O164" t="s">
        <v>58</v>
      </c>
      <c r="P164" t="s">
        <v>56</v>
      </c>
      <c r="Q164">
        <f t="shared" si="6"/>
        <v>1</v>
      </c>
      <c r="R164" t="str">
        <f t="shared" si="7"/>
        <v>49+ months</v>
      </c>
      <c r="S164" t="str">
        <f t="shared" si="8"/>
        <v>&lt; $50</v>
      </c>
    </row>
    <row r="165" spans="1:19" x14ac:dyDescent="0.35">
      <c r="A165" t="s">
        <v>229</v>
      </c>
      <c r="B165">
        <v>64</v>
      </c>
      <c r="C165" t="s">
        <v>56</v>
      </c>
      <c r="D165" t="s">
        <v>56</v>
      </c>
      <c r="E165" t="s">
        <v>56</v>
      </c>
      <c r="F165">
        <v>35</v>
      </c>
      <c r="G165" t="s">
        <v>56</v>
      </c>
      <c r="H165" t="s">
        <v>55</v>
      </c>
      <c r="I165" t="s">
        <v>30</v>
      </c>
      <c r="J165" t="s">
        <v>12</v>
      </c>
      <c r="K165" t="s">
        <v>56</v>
      </c>
      <c r="L165" t="s">
        <v>24</v>
      </c>
      <c r="M165">
        <v>113.47</v>
      </c>
      <c r="N165">
        <v>3891.85</v>
      </c>
      <c r="O165" t="s">
        <v>80</v>
      </c>
      <c r="P165" t="s">
        <v>55</v>
      </c>
      <c r="Q165">
        <f t="shared" si="6"/>
        <v>0</v>
      </c>
      <c r="R165" t="str">
        <f t="shared" si="7"/>
        <v>25-48 months</v>
      </c>
      <c r="S165" t="str">
        <f t="shared" si="8"/>
        <v>&gt; $100</v>
      </c>
    </row>
    <row r="166" spans="1:19" x14ac:dyDescent="0.35">
      <c r="A166" t="s">
        <v>230</v>
      </c>
      <c r="B166">
        <v>31</v>
      </c>
      <c r="C166" t="s">
        <v>55</v>
      </c>
      <c r="D166" t="s">
        <v>56</v>
      </c>
      <c r="E166" t="s">
        <v>56</v>
      </c>
      <c r="F166">
        <v>62</v>
      </c>
      <c r="G166" t="s">
        <v>56</v>
      </c>
      <c r="H166" t="s">
        <v>55</v>
      </c>
      <c r="I166" t="s">
        <v>31</v>
      </c>
      <c r="J166" t="s">
        <v>12</v>
      </c>
      <c r="K166" t="s">
        <v>55</v>
      </c>
      <c r="L166" t="s">
        <v>1066</v>
      </c>
      <c r="M166">
        <v>22.57</v>
      </c>
      <c r="N166">
        <v>1404.99</v>
      </c>
      <c r="O166" t="s">
        <v>76</v>
      </c>
      <c r="P166" t="s">
        <v>55</v>
      </c>
      <c r="Q166">
        <f t="shared" si="6"/>
        <v>0</v>
      </c>
      <c r="R166" t="str">
        <f t="shared" si="7"/>
        <v>49+ months</v>
      </c>
      <c r="S166" t="str">
        <f t="shared" si="8"/>
        <v>&lt; $50</v>
      </c>
    </row>
    <row r="167" spans="1:19" x14ac:dyDescent="0.35">
      <c r="A167" t="s">
        <v>231</v>
      </c>
      <c r="B167">
        <v>41</v>
      </c>
      <c r="C167" t="s">
        <v>55</v>
      </c>
      <c r="D167" t="s">
        <v>55</v>
      </c>
      <c r="E167" t="s">
        <v>55</v>
      </c>
      <c r="F167">
        <v>13</v>
      </c>
      <c r="G167" t="s">
        <v>55</v>
      </c>
      <c r="H167" t="s">
        <v>60</v>
      </c>
      <c r="I167" t="s">
        <v>31</v>
      </c>
      <c r="J167" t="s">
        <v>13</v>
      </c>
      <c r="K167" t="s">
        <v>55</v>
      </c>
      <c r="L167" t="s">
        <v>25</v>
      </c>
      <c r="M167">
        <v>22.45</v>
      </c>
      <c r="N167">
        <v>288.83999999999997</v>
      </c>
      <c r="O167" t="s">
        <v>62</v>
      </c>
      <c r="P167" t="s">
        <v>55</v>
      </c>
      <c r="Q167">
        <f t="shared" si="6"/>
        <v>0</v>
      </c>
      <c r="R167" t="str">
        <f t="shared" si="7"/>
        <v>13-24 months</v>
      </c>
      <c r="S167" t="str">
        <f t="shared" si="8"/>
        <v>&lt; $50</v>
      </c>
    </row>
    <row r="168" spans="1:19" x14ac:dyDescent="0.35">
      <c r="A168" t="s">
        <v>232</v>
      </c>
      <c r="B168">
        <v>65</v>
      </c>
      <c r="C168" t="s">
        <v>56</v>
      </c>
      <c r="D168" t="s">
        <v>56</v>
      </c>
      <c r="E168" t="s">
        <v>56</v>
      </c>
      <c r="F168">
        <v>34</v>
      </c>
      <c r="G168" t="s">
        <v>55</v>
      </c>
      <c r="H168" t="s">
        <v>60</v>
      </c>
      <c r="I168" t="s">
        <v>29</v>
      </c>
      <c r="J168" t="s">
        <v>12</v>
      </c>
      <c r="K168" t="s">
        <v>56</v>
      </c>
      <c r="L168" t="s">
        <v>26</v>
      </c>
      <c r="M168">
        <v>55.19</v>
      </c>
      <c r="N168">
        <v>1951.53</v>
      </c>
      <c r="O168" t="s">
        <v>69</v>
      </c>
      <c r="P168" t="s">
        <v>55</v>
      </c>
      <c r="Q168">
        <f t="shared" si="6"/>
        <v>0</v>
      </c>
      <c r="R168" t="str">
        <f t="shared" si="7"/>
        <v>25-48 months</v>
      </c>
      <c r="S168" t="str">
        <f t="shared" si="8"/>
        <v>$50-$75</v>
      </c>
    </row>
    <row r="169" spans="1:19" x14ac:dyDescent="0.35">
      <c r="A169" t="s">
        <v>233</v>
      </c>
      <c r="B169">
        <v>61</v>
      </c>
      <c r="C169" t="s">
        <v>56</v>
      </c>
      <c r="D169" t="s">
        <v>55</v>
      </c>
      <c r="E169" t="s">
        <v>55</v>
      </c>
      <c r="F169">
        <v>63</v>
      </c>
      <c r="G169" t="s">
        <v>55</v>
      </c>
      <c r="H169" t="s">
        <v>60</v>
      </c>
      <c r="I169" t="s">
        <v>31</v>
      </c>
      <c r="J169" t="s">
        <v>12</v>
      </c>
      <c r="K169" t="s">
        <v>55</v>
      </c>
      <c r="L169" t="s">
        <v>26</v>
      </c>
      <c r="M169">
        <v>26.64</v>
      </c>
      <c r="N169">
        <v>1675.97</v>
      </c>
      <c r="O169" t="s">
        <v>58</v>
      </c>
      <c r="P169" t="s">
        <v>55</v>
      </c>
      <c r="Q169">
        <f t="shared" si="6"/>
        <v>0</v>
      </c>
      <c r="R169" t="str">
        <f t="shared" si="7"/>
        <v>49+ months</v>
      </c>
      <c r="S169" t="str">
        <f t="shared" si="8"/>
        <v>&lt; $50</v>
      </c>
    </row>
    <row r="170" spans="1:19" x14ac:dyDescent="0.35">
      <c r="A170" t="s">
        <v>234</v>
      </c>
      <c r="B170">
        <v>59</v>
      </c>
      <c r="C170" t="s">
        <v>55</v>
      </c>
      <c r="D170" t="s">
        <v>56</v>
      </c>
      <c r="E170" t="s">
        <v>56</v>
      </c>
      <c r="F170">
        <v>10</v>
      </c>
      <c r="G170" t="s">
        <v>56</v>
      </c>
      <c r="H170" t="s">
        <v>55</v>
      </c>
      <c r="I170" t="s">
        <v>31</v>
      </c>
      <c r="J170" t="s">
        <v>12</v>
      </c>
      <c r="K170" t="s">
        <v>56</v>
      </c>
      <c r="L170" t="s">
        <v>26</v>
      </c>
      <c r="M170">
        <v>19.809999999999999</v>
      </c>
      <c r="N170">
        <v>191.41</v>
      </c>
      <c r="O170" t="s">
        <v>80</v>
      </c>
      <c r="P170" t="s">
        <v>55</v>
      </c>
      <c r="Q170">
        <f t="shared" si="6"/>
        <v>0</v>
      </c>
      <c r="R170" t="str">
        <f t="shared" si="7"/>
        <v>0-12 months</v>
      </c>
      <c r="S170" t="str">
        <f t="shared" si="8"/>
        <v>&lt; $50</v>
      </c>
    </row>
    <row r="171" spans="1:19" x14ac:dyDescent="0.35">
      <c r="A171" t="s">
        <v>235</v>
      </c>
      <c r="B171">
        <v>57</v>
      </c>
      <c r="C171" t="s">
        <v>55</v>
      </c>
      <c r="D171" t="s">
        <v>55</v>
      </c>
      <c r="E171" t="s">
        <v>55</v>
      </c>
      <c r="F171">
        <v>3</v>
      </c>
      <c r="G171" t="s">
        <v>55</v>
      </c>
      <c r="H171" t="s">
        <v>60</v>
      </c>
      <c r="I171" t="s">
        <v>30</v>
      </c>
      <c r="J171" t="s">
        <v>12</v>
      </c>
      <c r="K171" t="s">
        <v>55</v>
      </c>
      <c r="L171" t="s">
        <v>24</v>
      </c>
      <c r="M171">
        <v>84.33</v>
      </c>
      <c r="N171">
        <v>253.06</v>
      </c>
      <c r="O171" t="s">
        <v>64</v>
      </c>
      <c r="P171" t="s">
        <v>55</v>
      </c>
      <c r="Q171">
        <f t="shared" si="6"/>
        <v>0</v>
      </c>
      <c r="R171" t="str">
        <f t="shared" si="7"/>
        <v>0-12 months</v>
      </c>
      <c r="S171" t="str">
        <f t="shared" si="8"/>
        <v>$76-$100</v>
      </c>
    </row>
    <row r="172" spans="1:19" x14ac:dyDescent="0.35">
      <c r="A172" t="s">
        <v>236</v>
      </c>
      <c r="B172">
        <v>69</v>
      </c>
      <c r="C172" t="s">
        <v>56</v>
      </c>
      <c r="D172" t="s">
        <v>56</v>
      </c>
      <c r="E172" t="s">
        <v>56</v>
      </c>
      <c r="F172">
        <v>13</v>
      </c>
      <c r="G172" t="s">
        <v>56</v>
      </c>
      <c r="H172" t="s">
        <v>56</v>
      </c>
      <c r="I172" t="s">
        <v>29</v>
      </c>
      <c r="J172" t="s">
        <v>12</v>
      </c>
      <c r="K172" t="s">
        <v>55</v>
      </c>
      <c r="L172" t="s">
        <v>26</v>
      </c>
      <c r="M172">
        <v>55.88</v>
      </c>
      <c r="N172">
        <v>715.37</v>
      </c>
      <c r="O172" t="s">
        <v>58</v>
      </c>
      <c r="P172" t="s">
        <v>55</v>
      </c>
      <c r="Q172">
        <f t="shared" si="6"/>
        <v>0</v>
      </c>
      <c r="R172" t="str">
        <f t="shared" si="7"/>
        <v>13-24 months</v>
      </c>
      <c r="S172" t="str">
        <f t="shared" si="8"/>
        <v>$50-$75</v>
      </c>
    </row>
    <row r="173" spans="1:19" x14ac:dyDescent="0.35">
      <c r="A173" t="s">
        <v>237</v>
      </c>
      <c r="B173">
        <v>33</v>
      </c>
      <c r="C173" t="s">
        <v>55</v>
      </c>
      <c r="D173" t="s">
        <v>56</v>
      </c>
      <c r="E173" t="s">
        <v>55</v>
      </c>
      <c r="F173">
        <v>11</v>
      </c>
      <c r="G173" t="s">
        <v>56</v>
      </c>
      <c r="H173" t="s">
        <v>56</v>
      </c>
      <c r="I173" t="s">
        <v>29</v>
      </c>
      <c r="J173" t="s">
        <v>12</v>
      </c>
      <c r="K173" t="s">
        <v>55</v>
      </c>
      <c r="L173" t="s">
        <v>26</v>
      </c>
      <c r="M173">
        <v>40.380000000000003</v>
      </c>
      <c r="N173">
        <v>426.66</v>
      </c>
      <c r="O173" t="s">
        <v>64</v>
      </c>
      <c r="P173" t="s">
        <v>55</v>
      </c>
      <c r="Q173">
        <f t="shared" si="6"/>
        <v>0</v>
      </c>
      <c r="R173" t="str">
        <f t="shared" si="7"/>
        <v>0-12 months</v>
      </c>
      <c r="S173" t="str">
        <f t="shared" si="8"/>
        <v>&lt; $50</v>
      </c>
    </row>
    <row r="174" spans="1:19" x14ac:dyDescent="0.35">
      <c r="A174" t="s">
        <v>238</v>
      </c>
      <c r="B174">
        <v>59</v>
      </c>
      <c r="C174" t="s">
        <v>55</v>
      </c>
      <c r="D174" t="s">
        <v>55</v>
      </c>
      <c r="E174" t="s">
        <v>56</v>
      </c>
      <c r="F174">
        <v>68</v>
      </c>
      <c r="G174" t="s">
        <v>56</v>
      </c>
      <c r="H174" t="s">
        <v>56</v>
      </c>
      <c r="I174" t="s">
        <v>31</v>
      </c>
      <c r="J174" t="s">
        <v>14</v>
      </c>
      <c r="K174" t="s">
        <v>55</v>
      </c>
      <c r="L174" t="s">
        <v>26</v>
      </c>
      <c r="M174">
        <v>29.09</v>
      </c>
      <c r="N174">
        <v>2021.9</v>
      </c>
      <c r="O174" t="s">
        <v>58</v>
      </c>
      <c r="P174" t="s">
        <v>55</v>
      </c>
      <c r="Q174">
        <f t="shared" si="6"/>
        <v>0</v>
      </c>
      <c r="R174" t="str">
        <f t="shared" si="7"/>
        <v>49+ months</v>
      </c>
      <c r="S174" t="str">
        <f t="shared" si="8"/>
        <v>&lt; $50</v>
      </c>
    </row>
    <row r="175" spans="1:19" x14ac:dyDescent="0.35">
      <c r="A175" t="s">
        <v>239</v>
      </c>
      <c r="B175">
        <v>54</v>
      </c>
      <c r="C175" t="s">
        <v>55</v>
      </c>
      <c r="D175" t="s">
        <v>56</v>
      </c>
      <c r="E175" t="s">
        <v>56</v>
      </c>
      <c r="F175">
        <v>41</v>
      </c>
      <c r="G175" t="s">
        <v>56</v>
      </c>
      <c r="H175" t="s">
        <v>55</v>
      </c>
      <c r="I175" t="s">
        <v>30</v>
      </c>
      <c r="J175" t="s">
        <v>13</v>
      </c>
      <c r="K175" t="s">
        <v>55</v>
      </c>
      <c r="L175" t="s">
        <v>25</v>
      </c>
      <c r="M175">
        <v>84.96</v>
      </c>
      <c r="N175">
        <v>3510.09</v>
      </c>
      <c r="O175" t="s">
        <v>66</v>
      </c>
      <c r="P175" t="s">
        <v>55</v>
      </c>
      <c r="Q175">
        <f t="shared" si="6"/>
        <v>0</v>
      </c>
      <c r="R175" t="str">
        <f t="shared" si="7"/>
        <v>25-48 months</v>
      </c>
      <c r="S175" t="str">
        <f t="shared" si="8"/>
        <v>$76-$100</v>
      </c>
    </row>
    <row r="176" spans="1:19" x14ac:dyDescent="0.35">
      <c r="A176" t="s">
        <v>240</v>
      </c>
      <c r="B176">
        <v>42</v>
      </c>
      <c r="C176" t="s">
        <v>55</v>
      </c>
      <c r="D176" t="s">
        <v>55</v>
      </c>
      <c r="E176" t="s">
        <v>55</v>
      </c>
      <c r="F176">
        <v>18</v>
      </c>
      <c r="G176" t="s">
        <v>56</v>
      </c>
      <c r="H176" t="s">
        <v>55</v>
      </c>
      <c r="I176" t="s">
        <v>29</v>
      </c>
      <c r="J176" t="s">
        <v>14</v>
      </c>
      <c r="K176" t="s">
        <v>56</v>
      </c>
      <c r="L176" t="s">
        <v>26</v>
      </c>
      <c r="M176">
        <v>49.29</v>
      </c>
      <c r="N176">
        <v>842.08</v>
      </c>
      <c r="O176" t="s">
        <v>58</v>
      </c>
      <c r="P176" t="s">
        <v>55</v>
      </c>
      <c r="Q176">
        <f t="shared" si="6"/>
        <v>0</v>
      </c>
      <c r="R176" t="str">
        <f t="shared" si="7"/>
        <v>13-24 months</v>
      </c>
      <c r="S176" t="str">
        <f t="shared" si="8"/>
        <v>&lt; $50</v>
      </c>
    </row>
    <row r="177" spans="1:19" x14ac:dyDescent="0.35">
      <c r="A177" t="s">
        <v>241</v>
      </c>
      <c r="B177">
        <v>56</v>
      </c>
      <c r="C177" t="s">
        <v>55</v>
      </c>
      <c r="D177" t="s">
        <v>55</v>
      </c>
      <c r="E177" t="s">
        <v>55</v>
      </c>
      <c r="F177">
        <v>4</v>
      </c>
      <c r="G177" t="s">
        <v>55</v>
      </c>
      <c r="H177" t="s">
        <v>60</v>
      </c>
      <c r="I177" t="s">
        <v>29</v>
      </c>
      <c r="J177" t="s">
        <v>12</v>
      </c>
      <c r="K177" t="s">
        <v>55</v>
      </c>
      <c r="L177" t="s">
        <v>24</v>
      </c>
      <c r="M177">
        <v>55.02</v>
      </c>
      <c r="N177">
        <v>211.78</v>
      </c>
      <c r="O177" t="s">
        <v>64</v>
      </c>
      <c r="P177" t="s">
        <v>55</v>
      </c>
      <c r="Q177">
        <f t="shared" si="6"/>
        <v>0</v>
      </c>
      <c r="R177" t="str">
        <f t="shared" si="7"/>
        <v>0-12 months</v>
      </c>
      <c r="S177" t="str">
        <f t="shared" si="8"/>
        <v>$50-$75</v>
      </c>
    </row>
    <row r="178" spans="1:19" x14ac:dyDescent="0.35">
      <c r="A178" t="s">
        <v>242</v>
      </c>
      <c r="B178">
        <v>23</v>
      </c>
      <c r="C178" t="s">
        <v>55</v>
      </c>
      <c r="D178" t="s">
        <v>55</v>
      </c>
      <c r="E178" t="s">
        <v>56</v>
      </c>
      <c r="F178">
        <v>10</v>
      </c>
      <c r="G178" t="s">
        <v>56</v>
      </c>
      <c r="H178" t="s">
        <v>55</v>
      </c>
      <c r="I178" t="s">
        <v>30</v>
      </c>
      <c r="J178" t="s">
        <v>13</v>
      </c>
      <c r="K178" t="s">
        <v>56</v>
      </c>
      <c r="L178" t="s">
        <v>1066</v>
      </c>
      <c r="M178">
        <v>85.83</v>
      </c>
      <c r="N178">
        <v>817.78</v>
      </c>
      <c r="O178" t="s">
        <v>76</v>
      </c>
      <c r="P178" t="s">
        <v>56</v>
      </c>
      <c r="Q178">
        <f t="shared" si="6"/>
        <v>1</v>
      </c>
      <c r="R178" t="str">
        <f t="shared" si="7"/>
        <v>0-12 months</v>
      </c>
      <c r="S178" t="str">
        <f t="shared" si="8"/>
        <v>$76-$100</v>
      </c>
    </row>
    <row r="179" spans="1:19" x14ac:dyDescent="0.35">
      <c r="A179" t="s">
        <v>243</v>
      </c>
      <c r="B179">
        <v>46</v>
      </c>
      <c r="C179" t="s">
        <v>55</v>
      </c>
      <c r="D179" t="s">
        <v>55</v>
      </c>
      <c r="E179" t="s">
        <v>55</v>
      </c>
      <c r="F179">
        <v>14</v>
      </c>
      <c r="G179" t="s">
        <v>56</v>
      </c>
      <c r="H179" t="s">
        <v>55</v>
      </c>
      <c r="I179" t="s">
        <v>30</v>
      </c>
      <c r="J179" t="s">
        <v>13</v>
      </c>
      <c r="K179" t="s">
        <v>55</v>
      </c>
      <c r="L179" t="s">
        <v>26</v>
      </c>
      <c r="M179">
        <v>74.48</v>
      </c>
      <c r="N179">
        <v>1049.5</v>
      </c>
      <c r="O179" t="s">
        <v>66</v>
      </c>
      <c r="P179" t="s">
        <v>55</v>
      </c>
      <c r="Q179">
        <f t="shared" si="6"/>
        <v>0</v>
      </c>
      <c r="R179" t="str">
        <f t="shared" si="7"/>
        <v>13-24 months</v>
      </c>
      <c r="S179" t="str">
        <f t="shared" si="8"/>
        <v>$50-$75</v>
      </c>
    </row>
    <row r="180" spans="1:19" x14ac:dyDescent="0.35">
      <c r="A180" t="s">
        <v>244</v>
      </c>
      <c r="B180">
        <v>38</v>
      </c>
      <c r="C180" t="s">
        <v>55</v>
      </c>
      <c r="D180" t="s">
        <v>55</v>
      </c>
      <c r="E180" t="s">
        <v>56</v>
      </c>
      <c r="F180">
        <v>38</v>
      </c>
      <c r="G180" t="s">
        <v>56</v>
      </c>
      <c r="H180" t="s">
        <v>55</v>
      </c>
      <c r="I180" t="s">
        <v>30</v>
      </c>
      <c r="J180" t="s">
        <v>13</v>
      </c>
      <c r="K180" t="s">
        <v>56</v>
      </c>
      <c r="L180" t="s">
        <v>24</v>
      </c>
      <c r="M180">
        <v>78.48</v>
      </c>
      <c r="N180">
        <v>2939.56</v>
      </c>
      <c r="O180" t="s">
        <v>76</v>
      </c>
      <c r="P180" t="s">
        <v>56</v>
      </c>
      <c r="Q180">
        <f t="shared" si="6"/>
        <v>1</v>
      </c>
      <c r="R180" t="str">
        <f t="shared" si="7"/>
        <v>25-48 months</v>
      </c>
      <c r="S180" t="str">
        <f t="shared" si="8"/>
        <v>$76-$100</v>
      </c>
    </row>
    <row r="181" spans="1:19" x14ac:dyDescent="0.35">
      <c r="A181" t="s">
        <v>245</v>
      </c>
      <c r="B181">
        <v>35</v>
      </c>
      <c r="C181" t="s">
        <v>55</v>
      </c>
      <c r="D181" t="s">
        <v>55</v>
      </c>
      <c r="E181" t="s">
        <v>56</v>
      </c>
      <c r="F181">
        <v>9</v>
      </c>
      <c r="G181" t="s">
        <v>55</v>
      </c>
      <c r="H181" t="s">
        <v>60</v>
      </c>
      <c r="I181" t="s">
        <v>30</v>
      </c>
      <c r="J181" t="s">
        <v>12</v>
      </c>
      <c r="K181" t="s">
        <v>55</v>
      </c>
      <c r="L181" t="s">
        <v>1066</v>
      </c>
      <c r="M181">
        <v>88.06</v>
      </c>
      <c r="N181">
        <v>834.79</v>
      </c>
      <c r="O181" t="s">
        <v>64</v>
      </c>
      <c r="P181" t="s">
        <v>55</v>
      </c>
      <c r="Q181">
        <f t="shared" si="6"/>
        <v>0</v>
      </c>
      <c r="R181" t="str">
        <f t="shared" si="7"/>
        <v>0-12 months</v>
      </c>
      <c r="S181" t="str">
        <f t="shared" si="8"/>
        <v>$76-$100</v>
      </c>
    </row>
    <row r="182" spans="1:19" x14ac:dyDescent="0.35">
      <c r="A182" t="s">
        <v>246</v>
      </c>
      <c r="B182">
        <v>56</v>
      </c>
      <c r="C182" t="s">
        <v>55</v>
      </c>
      <c r="D182" t="s">
        <v>56</v>
      </c>
      <c r="E182" t="s">
        <v>55</v>
      </c>
      <c r="F182">
        <v>14</v>
      </c>
      <c r="G182" t="s">
        <v>56</v>
      </c>
      <c r="H182" t="s">
        <v>55</v>
      </c>
      <c r="I182" t="s">
        <v>30</v>
      </c>
      <c r="J182" t="s">
        <v>12</v>
      </c>
      <c r="K182" t="s">
        <v>55</v>
      </c>
      <c r="L182" t="s">
        <v>1066</v>
      </c>
      <c r="M182">
        <v>86.48</v>
      </c>
      <c r="N182">
        <v>1186.71</v>
      </c>
      <c r="O182" t="s">
        <v>66</v>
      </c>
      <c r="P182" t="s">
        <v>55</v>
      </c>
      <c r="Q182">
        <f t="shared" si="6"/>
        <v>0</v>
      </c>
      <c r="R182" t="str">
        <f t="shared" si="7"/>
        <v>13-24 months</v>
      </c>
      <c r="S182" t="str">
        <f t="shared" si="8"/>
        <v>$76-$100</v>
      </c>
    </row>
    <row r="183" spans="1:19" x14ac:dyDescent="0.35">
      <c r="A183" t="s">
        <v>247</v>
      </c>
      <c r="B183">
        <v>59</v>
      </c>
      <c r="C183" t="s">
        <v>55</v>
      </c>
      <c r="D183" t="s">
        <v>56</v>
      </c>
      <c r="E183" t="s">
        <v>55</v>
      </c>
      <c r="F183">
        <v>42</v>
      </c>
      <c r="G183" t="s">
        <v>56</v>
      </c>
      <c r="H183" t="s">
        <v>55</v>
      </c>
      <c r="I183" t="s">
        <v>29</v>
      </c>
      <c r="J183" t="s">
        <v>12</v>
      </c>
      <c r="K183" t="s">
        <v>55</v>
      </c>
      <c r="L183" t="s">
        <v>25</v>
      </c>
      <c r="M183">
        <v>51.66</v>
      </c>
      <c r="N183">
        <v>2220.48</v>
      </c>
      <c r="O183" t="s">
        <v>58</v>
      </c>
      <c r="P183" t="s">
        <v>55</v>
      </c>
      <c r="Q183">
        <f t="shared" si="6"/>
        <v>0</v>
      </c>
      <c r="R183" t="str">
        <f t="shared" si="7"/>
        <v>25-48 months</v>
      </c>
      <c r="S183" t="str">
        <f t="shared" si="8"/>
        <v>$50-$75</v>
      </c>
    </row>
    <row r="184" spans="1:19" x14ac:dyDescent="0.35">
      <c r="A184" t="s">
        <v>248</v>
      </c>
      <c r="B184">
        <v>68</v>
      </c>
      <c r="C184" t="s">
        <v>56</v>
      </c>
      <c r="D184" t="s">
        <v>56</v>
      </c>
      <c r="E184" t="s">
        <v>55</v>
      </c>
      <c r="F184">
        <v>49</v>
      </c>
      <c r="G184" t="s">
        <v>55</v>
      </c>
      <c r="H184" t="s">
        <v>60</v>
      </c>
      <c r="I184" t="s">
        <v>30</v>
      </c>
      <c r="J184" t="s">
        <v>12</v>
      </c>
      <c r="K184" t="s">
        <v>56</v>
      </c>
      <c r="L184" t="s">
        <v>24</v>
      </c>
      <c r="M184">
        <v>97.28</v>
      </c>
      <c r="N184">
        <v>4870.66</v>
      </c>
      <c r="O184" t="s">
        <v>69</v>
      </c>
      <c r="P184" t="s">
        <v>55</v>
      </c>
      <c r="Q184">
        <f t="shared" si="6"/>
        <v>0</v>
      </c>
      <c r="R184" t="str">
        <f t="shared" si="7"/>
        <v>49+ months</v>
      </c>
      <c r="S184" t="str">
        <f t="shared" si="8"/>
        <v>$76-$100</v>
      </c>
    </row>
    <row r="185" spans="1:19" x14ac:dyDescent="0.35">
      <c r="A185" t="s">
        <v>249</v>
      </c>
      <c r="B185">
        <v>47</v>
      </c>
      <c r="C185" t="s">
        <v>55</v>
      </c>
      <c r="D185" t="s">
        <v>56</v>
      </c>
      <c r="E185" t="s">
        <v>55</v>
      </c>
      <c r="F185">
        <v>38</v>
      </c>
      <c r="G185" t="s">
        <v>56</v>
      </c>
      <c r="H185" t="s">
        <v>55</v>
      </c>
      <c r="I185" t="s">
        <v>31</v>
      </c>
      <c r="J185" t="s">
        <v>13</v>
      </c>
      <c r="K185" t="s">
        <v>55</v>
      </c>
      <c r="L185" t="s">
        <v>1066</v>
      </c>
      <c r="M185">
        <v>19.670000000000002</v>
      </c>
      <c r="N185">
        <v>729.78</v>
      </c>
      <c r="O185" t="s">
        <v>62</v>
      </c>
      <c r="P185" t="s">
        <v>55</v>
      </c>
      <c r="Q185">
        <f t="shared" si="6"/>
        <v>0</v>
      </c>
      <c r="R185" t="str">
        <f t="shared" si="7"/>
        <v>25-48 months</v>
      </c>
      <c r="S185" t="str">
        <f t="shared" si="8"/>
        <v>&lt; $50</v>
      </c>
    </row>
    <row r="186" spans="1:19" x14ac:dyDescent="0.35">
      <c r="A186" t="s">
        <v>250</v>
      </c>
      <c r="B186">
        <v>63</v>
      </c>
      <c r="C186" t="s">
        <v>56</v>
      </c>
      <c r="D186" t="s">
        <v>55</v>
      </c>
      <c r="E186" t="s">
        <v>55</v>
      </c>
      <c r="F186">
        <v>10</v>
      </c>
      <c r="G186" t="s">
        <v>55</v>
      </c>
      <c r="H186" t="s">
        <v>60</v>
      </c>
      <c r="I186" t="s">
        <v>30</v>
      </c>
      <c r="J186" t="s">
        <v>13</v>
      </c>
      <c r="K186" t="s">
        <v>55</v>
      </c>
      <c r="L186" t="s">
        <v>24</v>
      </c>
      <c r="M186">
        <v>109.54</v>
      </c>
      <c r="N186">
        <v>1076.94</v>
      </c>
      <c r="O186" t="s">
        <v>58</v>
      </c>
      <c r="P186" t="s">
        <v>55</v>
      </c>
      <c r="Q186">
        <f t="shared" si="6"/>
        <v>0</v>
      </c>
      <c r="R186" t="str">
        <f t="shared" si="7"/>
        <v>0-12 months</v>
      </c>
      <c r="S186" t="str">
        <f t="shared" si="8"/>
        <v>&gt; $100</v>
      </c>
    </row>
    <row r="187" spans="1:19" x14ac:dyDescent="0.35">
      <c r="A187" t="s">
        <v>251</v>
      </c>
      <c r="B187">
        <v>56</v>
      </c>
      <c r="C187" t="s">
        <v>55</v>
      </c>
      <c r="D187" t="s">
        <v>56</v>
      </c>
      <c r="E187" t="s">
        <v>56</v>
      </c>
      <c r="F187">
        <v>32</v>
      </c>
      <c r="G187" t="s">
        <v>55</v>
      </c>
      <c r="H187" t="s">
        <v>60</v>
      </c>
      <c r="I187" t="s">
        <v>29</v>
      </c>
      <c r="J187" t="s">
        <v>12</v>
      </c>
      <c r="K187" t="s">
        <v>56</v>
      </c>
      <c r="L187" t="s">
        <v>24</v>
      </c>
      <c r="M187">
        <v>65.8</v>
      </c>
      <c r="N187">
        <v>2142.6799999999998</v>
      </c>
      <c r="O187" t="s">
        <v>76</v>
      </c>
      <c r="P187" t="s">
        <v>55</v>
      </c>
      <c r="Q187">
        <f t="shared" si="6"/>
        <v>0</v>
      </c>
      <c r="R187" t="str">
        <f t="shared" si="7"/>
        <v>25-48 months</v>
      </c>
      <c r="S187" t="str">
        <f t="shared" si="8"/>
        <v>$50-$75</v>
      </c>
    </row>
    <row r="188" spans="1:19" x14ac:dyDescent="0.35">
      <c r="A188" t="s">
        <v>252</v>
      </c>
      <c r="B188">
        <v>68</v>
      </c>
      <c r="C188" t="s">
        <v>56</v>
      </c>
      <c r="D188" t="s">
        <v>55</v>
      </c>
      <c r="E188" t="s">
        <v>56</v>
      </c>
      <c r="F188">
        <v>2</v>
      </c>
      <c r="G188" t="s">
        <v>56</v>
      </c>
      <c r="H188" t="s">
        <v>55</v>
      </c>
      <c r="I188" t="s">
        <v>30</v>
      </c>
      <c r="J188" t="s">
        <v>12</v>
      </c>
      <c r="K188" t="s">
        <v>56</v>
      </c>
      <c r="L188" t="s">
        <v>24</v>
      </c>
      <c r="M188">
        <v>89.56</v>
      </c>
      <c r="N188">
        <v>184.97</v>
      </c>
      <c r="O188" t="s">
        <v>58</v>
      </c>
      <c r="P188" t="s">
        <v>55</v>
      </c>
      <c r="Q188">
        <f t="shared" si="6"/>
        <v>0</v>
      </c>
      <c r="R188" t="str">
        <f t="shared" si="7"/>
        <v>0-12 months</v>
      </c>
      <c r="S188" t="str">
        <f t="shared" si="8"/>
        <v>$76-$100</v>
      </c>
    </row>
    <row r="189" spans="1:19" x14ac:dyDescent="0.35">
      <c r="A189" t="s">
        <v>253</v>
      </c>
      <c r="B189">
        <v>27</v>
      </c>
      <c r="C189" t="s">
        <v>55</v>
      </c>
      <c r="D189" t="s">
        <v>55</v>
      </c>
      <c r="E189" t="s">
        <v>56</v>
      </c>
      <c r="F189">
        <v>62</v>
      </c>
      <c r="G189" t="s">
        <v>55</v>
      </c>
      <c r="H189" t="s">
        <v>60</v>
      </c>
      <c r="I189" t="s">
        <v>30</v>
      </c>
      <c r="J189" t="s">
        <v>14</v>
      </c>
      <c r="K189" t="s">
        <v>56</v>
      </c>
      <c r="L189" t="s">
        <v>26</v>
      </c>
      <c r="M189">
        <v>117.03</v>
      </c>
      <c r="N189">
        <v>6943.87</v>
      </c>
      <c r="O189" t="s">
        <v>64</v>
      </c>
      <c r="P189" t="s">
        <v>55</v>
      </c>
      <c r="Q189">
        <f t="shared" si="6"/>
        <v>0</v>
      </c>
      <c r="R189" t="str">
        <f t="shared" si="7"/>
        <v>49+ months</v>
      </c>
      <c r="S189" t="str">
        <f t="shared" si="8"/>
        <v>&gt; $100</v>
      </c>
    </row>
    <row r="190" spans="1:19" x14ac:dyDescent="0.35">
      <c r="A190" t="s">
        <v>254</v>
      </c>
      <c r="B190">
        <v>68</v>
      </c>
      <c r="C190" t="s">
        <v>56</v>
      </c>
      <c r="D190" t="s">
        <v>56</v>
      </c>
      <c r="E190" t="s">
        <v>55</v>
      </c>
      <c r="F190">
        <v>45</v>
      </c>
      <c r="G190" t="s">
        <v>55</v>
      </c>
      <c r="H190" t="s">
        <v>60</v>
      </c>
      <c r="I190" t="s">
        <v>29</v>
      </c>
      <c r="J190" t="s">
        <v>13</v>
      </c>
      <c r="K190" t="s">
        <v>55</v>
      </c>
      <c r="L190" t="s">
        <v>26</v>
      </c>
      <c r="M190">
        <v>52.01</v>
      </c>
      <c r="N190">
        <v>2427.5700000000002</v>
      </c>
      <c r="O190" t="s">
        <v>66</v>
      </c>
      <c r="P190" t="s">
        <v>56</v>
      </c>
      <c r="Q190">
        <f t="shared" si="6"/>
        <v>1</v>
      </c>
      <c r="R190" t="str">
        <f t="shared" si="7"/>
        <v>25-48 months</v>
      </c>
      <c r="S190" t="str">
        <f t="shared" si="8"/>
        <v>$50-$75</v>
      </c>
    </row>
    <row r="191" spans="1:19" x14ac:dyDescent="0.35">
      <c r="A191" t="s">
        <v>255</v>
      </c>
      <c r="B191">
        <v>39</v>
      </c>
      <c r="C191" t="s">
        <v>55</v>
      </c>
      <c r="D191" t="s">
        <v>56</v>
      </c>
      <c r="E191" t="s">
        <v>56</v>
      </c>
      <c r="F191">
        <v>32</v>
      </c>
      <c r="G191" t="s">
        <v>56</v>
      </c>
      <c r="H191" t="s">
        <v>56</v>
      </c>
      <c r="I191" t="s">
        <v>29</v>
      </c>
      <c r="J191" t="s">
        <v>12</v>
      </c>
      <c r="K191" t="s">
        <v>55</v>
      </c>
      <c r="L191" t="s">
        <v>26</v>
      </c>
      <c r="M191">
        <v>56.2</v>
      </c>
      <c r="N191">
        <v>1730.3</v>
      </c>
      <c r="O191" t="s">
        <v>64</v>
      </c>
      <c r="P191" t="s">
        <v>55</v>
      </c>
      <c r="Q191">
        <f t="shared" si="6"/>
        <v>0</v>
      </c>
      <c r="R191" t="str">
        <f t="shared" si="7"/>
        <v>25-48 months</v>
      </c>
      <c r="S191" t="str">
        <f t="shared" si="8"/>
        <v>$50-$75</v>
      </c>
    </row>
    <row r="192" spans="1:19" x14ac:dyDescent="0.35">
      <c r="A192" t="s">
        <v>256</v>
      </c>
      <c r="B192">
        <v>43</v>
      </c>
      <c r="C192" t="s">
        <v>55</v>
      </c>
      <c r="D192" t="s">
        <v>56</v>
      </c>
      <c r="E192" t="s">
        <v>56</v>
      </c>
      <c r="F192">
        <v>58</v>
      </c>
      <c r="G192" t="s">
        <v>55</v>
      </c>
      <c r="H192" t="s">
        <v>60</v>
      </c>
      <c r="I192" t="s">
        <v>29</v>
      </c>
      <c r="J192" t="s">
        <v>12</v>
      </c>
      <c r="K192" t="s">
        <v>56</v>
      </c>
      <c r="L192" t="s">
        <v>26</v>
      </c>
      <c r="M192">
        <v>70.09</v>
      </c>
      <c r="N192">
        <v>4215.83</v>
      </c>
      <c r="O192" t="s">
        <v>80</v>
      </c>
      <c r="P192" t="s">
        <v>56</v>
      </c>
      <c r="Q192">
        <f t="shared" si="6"/>
        <v>1</v>
      </c>
      <c r="R192" t="str">
        <f t="shared" si="7"/>
        <v>49+ months</v>
      </c>
      <c r="S192" t="str">
        <f t="shared" si="8"/>
        <v>$50-$75</v>
      </c>
    </row>
    <row r="193" spans="1:19" x14ac:dyDescent="0.35">
      <c r="A193" t="s">
        <v>257</v>
      </c>
      <c r="B193">
        <v>69</v>
      </c>
      <c r="C193" t="s">
        <v>56</v>
      </c>
      <c r="D193" t="s">
        <v>56</v>
      </c>
      <c r="E193" t="s">
        <v>55</v>
      </c>
      <c r="F193">
        <v>42</v>
      </c>
      <c r="G193" t="s">
        <v>56</v>
      </c>
      <c r="H193" t="s">
        <v>56</v>
      </c>
      <c r="I193" t="s">
        <v>30</v>
      </c>
      <c r="J193" t="s">
        <v>14</v>
      </c>
      <c r="K193" t="s">
        <v>55</v>
      </c>
      <c r="L193" t="s">
        <v>24</v>
      </c>
      <c r="M193">
        <v>100.57</v>
      </c>
      <c r="N193">
        <v>4268.04</v>
      </c>
      <c r="O193" t="s">
        <v>66</v>
      </c>
      <c r="P193" t="s">
        <v>55</v>
      </c>
      <c r="Q193">
        <f t="shared" si="6"/>
        <v>0</v>
      </c>
      <c r="R193" t="str">
        <f t="shared" si="7"/>
        <v>25-48 months</v>
      </c>
      <c r="S193" t="str">
        <f t="shared" si="8"/>
        <v>&gt; $100</v>
      </c>
    </row>
    <row r="194" spans="1:19" x14ac:dyDescent="0.35">
      <c r="A194" t="s">
        <v>258</v>
      </c>
      <c r="B194">
        <v>47</v>
      </c>
      <c r="C194" t="s">
        <v>55</v>
      </c>
      <c r="D194" t="s">
        <v>56</v>
      </c>
      <c r="E194" t="s">
        <v>55</v>
      </c>
      <c r="F194">
        <v>11</v>
      </c>
      <c r="G194" t="s">
        <v>55</v>
      </c>
      <c r="H194" t="s">
        <v>60</v>
      </c>
      <c r="I194" t="s">
        <v>29</v>
      </c>
      <c r="J194" t="s">
        <v>12</v>
      </c>
      <c r="K194" t="s">
        <v>55</v>
      </c>
      <c r="L194" t="s">
        <v>26</v>
      </c>
      <c r="M194">
        <v>54.93</v>
      </c>
      <c r="N194">
        <v>578.23</v>
      </c>
      <c r="O194" t="s">
        <v>58</v>
      </c>
      <c r="P194" t="s">
        <v>56</v>
      </c>
      <c r="Q194">
        <f t="shared" si="6"/>
        <v>1</v>
      </c>
      <c r="R194" t="str">
        <f t="shared" si="7"/>
        <v>0-12 months</v>
      </c>
      <c r="S194" t="str">
        <f t="shared" si="8"/>
        <v>$50-$75</v>
      </c>
    </row>
    <row r="195" spans="1:19" x14ac:dyDescent="0.35">
      <c r="A195" t="s">
        <v>259</v>
      </c>
      <c r="B195">
        <v>26</v>
      </c>
      <c r="C195" t="s">
        <v>55</v>
      </c>
      <c r="D195" t="s">
        <v>55</v>
      </c>
      <c r="E195" t="s">
        <v>55</v>
      </c>
      <c r="F195">
        <v>24</v>
      </c>
      <c r="G195" t="s">
        <v>56</v>
      </c>
      <c r="H195" t="s">
        <v>55</v>
      </c>
      <c r="I195" t="s">
        <v>29</v>
      </c>
      <c r="J195" t="s">
        <v>12</v>
      </c>
      <c r="K195" t="s">
        <v>56</v>
      </c>
      <c r="L195" t="s">
        <v>26</v>
      </c>
      <c r="M195">
        <v>73.680000000000007</v>
      </c>
      <c r="N195">
        <v>1793.66</v>
      </c>
      <c r="O195" t="s">
        <v>80</v>
      </c>
      <c r="P195" t="s">
        <v>55</v>
      </c>
      <c r="Q195">
        <f t="shared" ref="Q195:Q258" si="9">IF(P195="Yes",1,0)</f>
        <v>0</v>
      </c>
      <c r="R195" t="str">
        <f t="shared" ref="R195:R258" si="10">IF(F195&lt;=12,"0-12 months",IF(F195&lt;=24,"13-24 months",IF(F195&lt;=48,"25-48 months","49+ months")))</f>
        <v>13-24 months</v>
      </c>
      <c r="S195" t="str">
        <f t="shared" ref="S195:S258" si="11">IF(M195&lt;50,"&lt; $50",IF(M195&lt;=75,"$50-$75",IF(M195&lt;=100,"$76-$100","&gt; $100")))</f>
        <v>$50-$75</v>
      </c>
    </row>
    <row r="196" spans="1:19" x14ac:dyDescent="0.35">
      <c r="A196" t="s">
        <v>260</v>
      </c>
      <c r="B196">
        <v>49</v>
      </c>
      <c r="C196" t="s">
        <v>55</v>
      </c>
      <c r="D196" t="s">
        <v>56</v>
      </c>
      <c r="E196" t="s">
        <v>56</v>
      </c>
      <c r="F196">
        <v>50</v>
      </c>
      <c r="G196" t="s">
        <v>55</v>
      </c>
      <c r="H196" t="s">
        <v>60</v>
      </c>
      <c r="I196" t="s">
        <v>31</v>
      </c>
      <c r="J196" t="s">
        <v>12</v>
      </c>
      <c r="K196" t="s">
        <v>55</v>
      </c>
      <c r="L196" t="s">
        <v>24</v>
      </c>
      <c r="M196">
        <v>28.08</v>
      </c>
      <c r="N196">
        <v>1402.1</v>
      </c>
      <c r="O196" t="s">
        <v>80</v>
      </c>
      <c r="P196" t="s">
        <v>56</v>
      </c>
      <c r="Q196">
        <f t="shared" si="9"/>
        <v>1</v>
      </c>
      <c r="R196" t="str">
        <f t="shared" si="10"/>
        <v>49+ months</v>
      </c>
      <c r="S196" t="str">
        <f t="shared" si="11"/>
        <v>&lt; $50</v>
      </c>
    </row>
    <row r="197" spans="1:19" x14ac:dyDescent="0.35">
      <c r="A197" t="s">
        <v>261</v>
      </c>
      <c r="B197">
        <v>68</v>
      </c>
      <c r="C197" t="s">
        <v>56</v>
      </c>
      <c r="D197" t="s">
        <v>56</v>
      </c>
      <c r="E197" t="s">
        <v>55</v>
      </c>
      <c r="F197">
        <v>5</v>
      </c>
      <c r="G197" t="s">
        <v>55</v>
      </c>
      <c r="H197" t="s">
        <v>60</v>
      </c>
      <c r="I197" t="s">
        <v>30</v>
      </c>
      <c r="J197" t="s">
        <v>12</v>
      </c>
      <c r="K197" t="s">
        <v>55</v>
      </c>
      <c r="L197" t="s">
        <v>24</v>
      </c>
      <c r="M197">
        <v>108.63</v>
      </c>
      <c r="N197">
        <v>542.84</v>
      </c>
      <c r="O197" t="s">
        <v>58</v>
      </c>
      <c r="P197" t="s">
        <v>56</v>
      </c>
      <c r="Q197">
        <f t="shared" si="9"/>
        <v>1</v>
      </c>
      <c r="R197" t="str">
        <f t="shared" si="10"/>
        <v>0-12 months</v>
      </c>
      <c r="S197" t="str">
        <f t="shared" si="11"/>
        <v>&gt; $100</v>
      </c>
    </row>
    <row r="198" spans="1:19" x14ac:dyDescent="0.35">
      <c r="A198" t="s">
        <v>262</v>
      </c>
      <c r="B198">
        <v>25</v>
      </c>
      <c r="C198" t="s">
        <v>55</v>
      </c>
      <c r="D198" t="s">
        <v>55</v>
      </c>
      <c r="E198" t="s">
        <v>55</v>
      </c>
      <c r="F198">
        <v>70</v>
      </c>
      <c r="G198" t="s">
        <v>56</v>
      </c>
      <c r="H198" t="s">
        <v>55</v>
      </c>
      <c r="I198" t="s">
        <v>31</v>
      </c>
      <c r="J198" t="s">
        <v>12</v>
      </c>
      <c r="K198" t="s">
        <v>56</v>
      </c>
      <c r="L198" t="s">
        <v>25</v>
      </c>
      <c r="M198">
        <v>19.23</v>
      </c>
      <c r="N198">
        <v>1399.42</v>
      </c>
      <c r="O198" t="s">
        <v>76</v>
      </c>
      <c r="P198" t="s">
        <v>55</v>
      </c>
      <c r="Q198">
        <f t="shared" si="9"/>
        <v>0</v>
      </c>
      <c r="R198" t="str">
        <f t="shared" si="10"/>
        <v>49+ months</v>
      </c>
      <c r="S198" t="str">
        <f t="shared" si="11"/>
        <v>&lt; $50</v>
      </c>
    </row>
    <row r="199" spans="1:19" x14ac:dyDescent="0.35">
      <c r="A199" t="s">
        <v>263</v>
      </c>
      <c r="B199">
        <v>73</v>
      </c>
      <c r="C199" t="s">
        <v>56</v>
      </c>
      <c r="D199" t="s">
        <v>56</v>
      </c>
      <c r="E199" t="s">
        <v>55</v>
      </c>
      <c r="F199">
        <v>34</v>
      </c>
      <c r="G199" t="s">
        <v>56</v>
      </c>
      <c r="H199" t="s">
        <v>55</v>
      </c>
      <c r="I199" t="s">
        <v>30</v>
      </c>
      <c r="J199" t="s">
        <v>14</v>
      </c>
      <c r="K199" t="s">
        <v>56</v>
      </c>
      <c r="L199" t="s">
        <v>26</v>
      </c>
      <c r="M199">
        <v>106.88</v>
      </c>
      <c r="N199">
        <v>3716.4</v>
      </c>
      <c r="O199" t="s">
        <v>58</v>
      </c>
      <c r="P199" t="s">
        <v>55</v>
      </c>
      <c r="Q199">
        <f t="shared" si="9"/>
        <v>0</v>
      </c>
      <c r="R199" t="str">
        <f t="shared" si="10"/>
        <v>25-48 months</v>
      </c>
      <c r="S199" t="str">
        <f t="shared" si="11"/>
        <v>&gt; $100</v>
      </c>
    </row>
    <row r="200" spans="1:19" x14ac:dyDescent="0.35">
      <c r="A200" t="s">
        <v>264</v>
      </c>
      <c r="B200">
        <v>58</v>
      </c>
      <c r="C200" t="s">
        <v>55</v>
      </c>
      <c r="D200" t="s">
        <v>55</v>
      </c>
      <c r="E200" t="s">
        <v>56</v>
      </c>
      <c r="F200">
        <v>18</v>
      </c>
      <c r="G200" t="s">
        <v>56</v>
      </c>
      <c r="H200" t="s">
        <v>55</v>
      </c>
      <c r="I200" t="s">
        <v>29</v>
      </c>
      <c r="J200" t="s">
        <v>13</v>
      </c>
      <c r="K200" t="s">
        <v>55</v>
      </c>
      <c r="L200" t="s">
        <v>24</v>
      </c>
      <c r="M200">
        <v>46.74</v>
      </c>
      <c r="N200">
        <v>889.68</v>
      </c>
      <c r="O200" t="s">
        <v>58</v>
      </c>
      <c r="P200" t="s">
        <v>55</v>
      </c>
      <c r="Q200">
        <f t="shared" si="9"/>
        <v>0</v>
      </c>
      <c r="R200" t="str">
        <f t="shared" si="10"/>
        <v>13-24 months</v>
      </c>
      <c r="S200" t="str">
        <f t="shared" si="11"/>
        <v>&lt; $50</v>
      </c>
    </row>
    <row r="201" spans="1:19" x14ac:dyDescent="0.35">
      <c r="A201" t="s">
        <v>265</v>
      </c>
      <c r="B201">
        <v>35</v>
      </c>
      <c r="C201" t="s">
        <v>55</v>
      </c>
      <c r="D201" t="s">
        <v>56</v>
      </c>
      <c r="E201" t="s">
        <v>56</v>
      </c>
      <c r="F201">
        <v>53</v>
      </c>
      <c r="G201" t="s">
        <v>55</v>
      </c>
      <c r="H201" t="s">
        <v>60</v>
      </c>
      <c r="I201" t="s">
        <v>31</v>
      </c>
      <c r="J201" t="s">
        <v>14</v>
      </c>
      <c r="K201" t="s">
        <v>56</v>
      </c>
      <c r="L201" t="s">
        <v>1066</v>
      </c>
      <c r="M201">
        <v>19.59</v>
      </c>
      <c r="N201">
        <v>994.19</v>
      </c>
      <c r="O201" t="s">
        <v>62</v>
      </c>
      <c r="P201" t="s">
        <v>55</v>
      </c>
      <c r="Q201">
        <f t="shared" si="9"/>
        <v>0</v>
      </c>
      <c r="R201" t="str">
        <f t="shared" si="10"/>
        <v>49+ months</v>
      </c>
      <c r="S201" t="str">
        <f t="shared" si="11"/>
        <v>&lt; $50</v>
      </c>
    </row>
    <row r="202" spans="1:19" x14ac:dyDescent="0.35">
      <c r="A202" t="s">
        <v>266</v>
      </c>
      <c r="B202">
        <v>66</v>
      </c>
      <c r="C202" t="s">
        <v>56</v>
      </c>
      <c r="D202" t="s">
        <v>55</v>
      </c>
      <c r="E202" t="s">
        <v>55</v>
      </c>
      <c r="F202">
        <v>19</v>
      </c>
      <c r="G202" t="s">
        <v>55</v>
      </c>
      <c r="H202" t="s">
        <v>60</v>
      </c>
      <c r="I202" t="s">
        <v>29</v>
      </c>
      <c r="J202" t="s">
        <v>13</v>
      </c>
      <c r="K202" t="s">
        <v>55</v>
      </c>
      <c r="L202" t="s">
        <v>24</v>
      </c>
      <c r="M202">
        <v>65.349999999999994</v>
      </c>
      <c r="N202">
        <v>1298.29</v>
      </c>
      <c r="O202" t="s">
        <v>58</v>
      </c>
      <c r="P202" t="s">
        <v>56</v>
      </c>
      <c r="Q202">
        <f t="shared" si="9"/>
        <v>1</v>
      </c>
      <c r="R202" t="str">
        <f t="shared" si="10"/>
        <v>13-24 months</v>
      </c>
      <c r="S202" t="str">
        <f t="shared" si="11"/>
        <v>$50-$75</v>
      </c>
    </row>
    <row r="203" spans="1:19" x14ac:dyDescent="0.35">
      <c r="A203" t="s">
        <v>267</v>
      </c>
      <c r="B203">
        <v>65</v>
      </c>
      <c r="C203" t="s">
        <v>56</v>
      </c>
      <c r="D203" t="s">
        <v>55</v>
      </c>
      <c r="E203" t="s">
        <v>55</v>
      </c>
      <c r="F203">
        <v>59</v>
      </c>
      <c r="G203" t="s">
        <v>55</v>
      </c>
      <c r="H203" t="s">
        <v>60</v>
      </c>
      <c r="I203" t="s">
        <v>31</v>
      </c>
      <c r="J203" t="s">
        <v>13</v>
      </c>
      <c r="K203" t="s">
        <v>56</v>
      </c>
      <c r="L203" t="s">
        <v>1066</v>
      </c>
      <c r="M203">
        <v>23.5</v>
      </c>
      <c r="N203">
        <v>1413.81</v>
      </c>
      <c r="O203" t="s">
        <v>80</v>
      </c>
      <c r="P203" t="s">
        <v>55</v>
      </c>
      <c r="Q203">
        <f t="shared" si="9"/>
        <v>0</v>
      </c>
      <c r="R203" t="str">
        <f t="shared" si="10"/>
        <v>49+ months</v>
      </c>
      <c r="S203" t="str">
        <f t="shared" si="11"/>
        <v>&lt; $50</v>
      </c>
    </row>
    <row r="204" spans="1:19" x14ac:dyDescent="0.35">
      <c r="A204" t="s">
        <v>268</v>
      </c>
      <c r="B204">
        <v>68</v>
      </c>
      <c r="C204" t="s">
        <v>56</v>
      </c>
      <c r="D204" t="s">
        <v>55</v>
      </c>
      <c r="E204" t="s">
        <v>56</v>
      </c>
      <c r="F204">
        <v>55</v>
      </c>
      <c r="G204" t="s">
        <v>55</v>
      </c>
      <c r="H204" t="s">
        <v>60</v>
      </c>
      <c r="I204" t="s">
        <v>31</v>
      </c>
      <c r="J204" t="s">
        <v>12</v>
      </c>
      <c r="K204" t="s">
        <v>55</v>
      </c>
      <c r="L204" t="s">
        <v>26</v>
      </c>
      <c r="M204">
        <v>24.94</v>
      </c>
      <c r="N204">
        <v>1382.59</v>
      </c>
      <c r="O204" t="s">
        <v>76</v>
      </c>
      <c r="P204" t="s">
        <v>55</v>
      </c>
      <c r="Q204">
        <f t="shared" si="9"/>
        <v>0</v>
      </c>
      <c r="R204" t="str">
        <f t="shared" si="10"/>
        <v>49+ months</v>
      </c>
      <c r="S204" t="str">
        <f t="shared" si="11"/>
        <v>&lt; $50</v>
      </c>
    </row>
    <row r="205" spans="1:19" x14ac:dyDescent="0.35">
      <c r="A205" t="s">
        <v>269</v>
      </c>
      <c r="B205">
        <v>75</v>
      </c>
      <c r="C205" t="s">
        <v>56</v>
      </c>
      <c r="D205" t="s">
        <v>56</v>
      </c>
      <c r="E205" t="s">
        <v>56</v>
      </c>
      <c r="F205">
        <v>13</v>
      </c>
      <c r="G205" t="s">
        <v>55</v>
      </c>
      <c r="H205" t="s">
        <v>60</v>
      </c>
      <c r="I205" t="s">
        <v>29</v>
      </c>
      <c r="J205" t="s">
        <v>12</v>
      </c>
      <c r="K205" t="s">
        <v>56</v>
      </c>
      <c r="L205" t="s">
        <v>24</v>
      </c>
      <c r="M205">
        <v>40.03</v>
      </c>
      <c r="N205">
        <v>548.99</v>
      </c>
      <c r="O205" t="s">
        <v>69</v>
      </c>
      <c r="P205" t="s">
        <v>56</v>
      </c>
      <c r="Q205">
        <f t="shared" si="9"/>
        <v>1</v>
      </c>
      <c r="R205" t="str">
        <f t="shared" si="10"/>
        <v>13-24 months</v>
      </c>
      <c r="S205" t="str">
        <f t="shared" si="11"/>
        <v>&lt; $50</v>
      </c>
    </row>
    <row r="206" spans="1:19" x14ac:dyDescent="0.35">
      <c r="A206" t="s">
        <v>270</v>
      </c>
      <c r="B206">
        <v>26</v>
      </c>
      <c r="C206" t="s">
        <v>55</v>
      </c>
      <c r="D206" t="s">
        <v>55</v>
      </c>
      <c r="E206" t="s">
        <v>56</v>
      </c>
      <c r="F206">
        <v>36</v>
      </c>
      <c r="G206" t="s">
        <v>55</v>
      </c>
      <c r="H206" t="s">
        <v>60</v>
      </c>
      <c r="I206" t="s">
        <v>30</v>
      </c>
      <c r="J206" t="s">
        <v>12</v>
      </c>
      <c r="K206" t="s">
        <v>55</v>
      </c>
      <c r="L206" t="s">
        <v>1066</v>
      </c>
      <c r="M206">
        <v>102.45</v>
      </c>
      <c r="N206">
        <v>3489.83</v>
      </c>
      <c r="O206" t="s">
        <v>69</v>
      </c>
      <c r="P206" t="s">
        <v>55</v>
      </c>
      <c r="Q206">
        <f t="shared" si="9"/>
        <v>0</v>
      </c>
      <c r="R206" t="str">
        <f t="shared" si="10"/>
        <v>25-48 months</v>
      </c>
      <c r="S206" t="str">
        <f t="shared" si="11"/>
        <v>&gt; $100</v>
      </c>
    </row>
    <row r="207" spans="1:19" x14ac:dyDescent="0.35">
      <c r="A207" t="s">
        <v>271</v>
      </c>
      <c r="B207">
        <v>62</v>
      </c>
      <c r="C207" t="s">
        <v>56</v>
      </c>
      <c r="D207" t="s">
        <v>56</v>
      </c>
      <c r="E207" t="s">
        <v>55</v>
      </c>
      <c r="F207">
        <v>12</v>
      </c>
      <c r="G207" t="s">
        <v>56</v>
      </c>
      <c r="H207" t="s">
        <v>56</v>
      </c>
      <c r="I207" t="s">
        <v>29</v>
      </c>
      <c r="J207" t="s">
        <v>12</v>
      </c>
      <c r="K207" t="s">
        <v>56</v>
      </c>
      <c r="L207" t="s">
        <v>24</v>
      </c>
      <c r="M207">
        <v>57.8</v>
      </c>
      <c r="N207">
        <v>652.66</v>
      </c>
      <c r="O207" t="s">
        <v>80</v>
      </c>
      <c r="P207" t="s">
        <v>56</v>
      </c>
      <c r="Q207">
        <f t="shared" si="9"/>
        <v>1</v>
      </c>
      <c r="R207" t="str">
        <f t="shared" si="10"/>
        <v>0-12 months</v>
      </c>
      <c r="S207" t="str">
        <f t="shared" si="11"/>
        <v>$50-$75</v>
      </c>
    </row>
    <row r="208" spans="1:19" x14ac:dyDescent="0.35">
      <c r="A208" t="s">
        <v>272</v>
      </c>
      <c r="B208">
        <v>73</v>
      </c>
      <c r="C208" t="s">
        <v>56</v>
      </c>
      <c r="D208" t="s">
        <v>55</v>
      </c>
      <c r="E208" t="s">
        <v>56</v>
      </c>
      <c r="F208">
        <v>62</v>
      </c>
      <c r="G208" t="s">
        <v>55</v>
      </c>
      <c r="H208" t="s">
        <v>60</v>
      </c>
      <c r="I208" t="s">
        <v>30</v>
      </c>
      <c r="J208" t="s">
        <v>12</v>
      </c>
      <c r="K208" t="s">
        <v>56</v>
      </c>
      <c r="L208" t="s">
        <v>26</v>
      </c>
      <c r="M208">
        <v>88.38</v>
      </c>
      <c r="N208">
        <v>5347.56</v>
      </c>
      <c r="O208" t="s">
        <v>66</v>
      </c>
      <c r="P208" t="s">
        <v>56</v>
      </c>
      <c r="Q208">
        <f t="shared" si="9"/>
        <v>1</v>
      </c>
      <c r="R208" t="str">
        <f t="shared" si="10"/>
        <v>49+ months</v>
      </c>
      <c r="S208" t="str">
        <f t="shared" si="11"/>
        <v>$76-$100</v>
      </c>
    </row>
    <row r="209" spans="1:19" x14ac:dyDescent="0.35">
      <c r="A209" t="s">
        <v>273</v>
      </c>
      <c r="B209">
        <v>66</v>
      </c>
      <c r="C209" t="s">
        <v>56</v>
      </c>
      <c r="D209" t="s">
        <v>56</v>
      </c>
      <c r="E209" t="s">
        <v>56</v>
      </c>
      <c r="F209">
        <v>9</v>
      </c>
      <c r="G209" t="s">
        <v>56</v>
      </c>
      <c r="H209" t="s">
        <v>55</v>
      </c>
      <c r="I209" t="s">
        <v>29</v>
      </c>
      <c r="J209" t="s">
        <v>12</v>
      </c>
      <c r="K209" t="s">
        <v>55</v>
      </c>
      <c r="L209" t="s">
        <v>1066</v>
      </c>
      <c r="M209">
        <v>65.12</v>
      </c>
      <c r="N209">
        <v>561.55999999999995</v>
      </c>
      <c r="O209" t="s">
        <v>69</v>
      </c>
      <c r="P209" t="s">
        <v>55</v>
      </c>
      <c r="Q209">
        <f t="shared" si="9"/>
        <v>0</v>
      </c>
      <c r="R209" t="str">
        <f t="shared" si="10"/>
        <v>0-12 months</v>
      </c>
      <c r="S209" t="str">
        <f t="shared" si="11"/>
        <v>$50-$75</v>
      </c>
    </row>
    <row r="210" spans="1:19" x14ac:dyDescent="0.35">
      <c r="A210" t="s">
        <v>274</v>
      </c>
      <c r="B210">
        <v>46</v>
      </c>
      <c r="C210" t="s">
        <v>55</v>
      </c>
      <c r="D210" t="s">
        <v>56</v>
      </c>
      <c r="E210" t="s">
        <v>56</v>
      </c>
      <c r="F210">
        <v>13</v>
      </c>
      <c r="G210" t="s">
        <v>56</v>
      </c>
      <c r="H210" t="s">
        <v>55</v>
      </c>
      <c r="I210" t="s">
        <v>30</v>
      </c>
      <c r="J210" t="s">
        <v>12</v>
      </c>
      <c r="K210" t="s">
        <v>55</v>
      </c>
      <c r="L210" t="s">
        <v>26</v>
      </c>
      <c r="M210">
        <v>76.989999999999995</v>
      </c>
      <c r="N210">
        <v>974.08</v>
      </c>
      <c r="O210" t="s">
        <v>58</v>
      </c>
      <c r="P210" t="s">
        <v>56</v>
      </c>
      <c r="Q210">
        <f t="shared" si="9"/>
        <v>1</v>
      </c>
      <c r="R210" t="str">
        <f t="shared" si="10"/>
        <v>13-24 months</v>
      </c>
      <c r="S210" t="str">
        <f t="shared" si="11"/>
        <v>$76-$100</v>
      </c>
    </row>
    <row r="211" spans="1:19" x14ac:dyDescent="0.35">
      <c r="A211" t="s">
        <v>275</v>
      </c>
      <c r="B211">
        <v>56</v>
      </c>
      <c r="C211" t="s">
        <v>55</v>
      </c>
      <c r="D211" t="s">
        <v>55</v>
      </c>
      <c r="E211" t="s">
        <v>56</v>
      </c>
      <c r="F211">
        <v>39</v>
      </c>
      <c r="G211" t="s">
        <v>56</v>
      </c>
      <c r="H211" t="s">
        <v>55</v>
      </c>
      <c r="I211" t="s">
        <v>30</v>
      </c>
      <c r="J211" t="s">
        <v>12</v>
      </c>
      <c r="K211" t="s">
        <v>56</v>
      </c>
      <c r="L211" t="s">
        <v>1066</v>
      </c>
      <c r="M211">
        <v>109.69</v>
      </c>
      <c r="N211">
        <v>4144.1000000000004</v>
      </c>
      <c r="O211" t="s">
        <v>62</v>
      </c>
      <c r="P211" t="s">
        <v>56</v>
      </c>
      <c r="Q211">
        <f t="shared" si="9"/>
        <v>1</v>
      </c>
      <c r="R211" t="str">
        <f t="shared" si="10"/>
        <v>25-48 months</v>
      </c>
      <c r="S211" t="str">
        <f t="shared" si="11"/>
        <v>&gt; $100</v>
      </c>
    </row>
    <row r="212" spans="1:19" x14ac:dyDescent="0.35">
      <c r="A212" t="s">
        <v>276</v>
      </c>
      <c r="B212">
        <v>49</v>
      </c>
      <c r="C212" t="s">
        <v>55</v>
      </c>
      <c r="D212" t="s">
        <v>56</v>
      </c>
      <c r="E212" t="s">
        <v>56</v>
      </c>
      <c r="F212">
        <v>47</v>
      </c>
      <c r="G212" t="s">
        <v>56</v>
      </c>
      <c r="H212" t="s">
        <v>55</v>
      </c>
      <c r="I212" t="s">
        <v>31</v>
      </c>
      <c r="J212" t="s">
        <v>14</v>
      </c>
      <c r="K212" t="s">
        <v>55</v>
      </c>
      <c r="L212" t="s">
        <v>24</v>
      </c>
      <c r="M212">
        <v>26.2</v>
      </c>
      <c r="N212">
        <v>1270.22</v>
      </c>
      <c r="O212" t="s">
        <v>66</v>
      </c>
      <c r="P212" t="s">
        <v>55</v>
      </c>
      <c r="Q212">
        <f t="shared" si="9"/>
        <v>0</v>
      </c>
      <c r="R212" t="str">
        <f t="shared" si="10"/>
        <v>25-48 months</v>
      </c>
      <c r="S212" t="str">
        <f t="shared" si="11"/>
        <v>&lt; $50</v>
      </c>
    </row>
    <row r="213" spans="1:19" x14ac:dyDescent="0.35">
      <c r="A213" t="s">
        <v>277</v>
      </c>
      <c r="B213">
        <v>22</v>
      </c>
      <c r="C213" t="s">
        <v>55</v>
      </c>
      <c r="D213" t="s">
        <v>56</v>
      </c>
      <c r="E213" t="s">
        <v>56</v>
      </c>
      <c r="F213">
        <v>2</v>
      </c>
      <c r="G213" t="s">
        <v>56</v>
      </c>
      <c r="H213" t="s">
        <v>55</v>
      </c>
      <c r="I213" t="s">
        <v>30</v>
      </c>
      <c r="J213" t="s">
        <v>14</v>
      </c>
      <c r="K213" t="s">
        <v>55</v>
      </c>
      <c r="L213" t="s">
        <v>24</v>
      </c>
      <c r="M213">
        <v>101.43</v>
      </c>
      <c r="N213">
        <v>202.89</v>
      </c>
      <c r="O213" t="s">
        <v>69</v>
      </c>
      <c r="P213" t="s">
        <v>55</v>
      </c>
      <c r="Q213">
        <f t="shared" si="9"/>
        <v>0</v>
      </c>
      <c r="R213" t="str">
        <f t="shared" si="10"/>
        <v>0-12 months</v>
      </c>
      <c r="S213" t="str">
        <f t="shared" si="11"/>
        <v>&gt; $100</v>
      </c>
    </row>
    <row r="214" spans="1:19" x14ac:dyDescent="0.35">
      <c r="A214" t="s">
        <v>278</v>
      </c>
      <c r="B214">
        <v>43</v>
      </c>
      <c r="C214" t="s">
        <v>55</v>
      </c>
      <c r="D214" t="s">
        <v>56</v>
      </c>
      <c r="E214" t="s">
        <v>56</v>
      </c>
      <c r="F214">
        <v>36</v>
      </c>
      <c r="G214" t="s">
        <v>56</v>
      </c>
      <c r="H214" t="s">
        <v>55</v>
      </c>
      <c r="I214" t="s">
        <v>30</v>
      </c>
      <c r="J214" t="s">
        <v>12</v>
      </c>
      <c r="K214" t="s">
        <v>56</v>
      </c>
      <c r="L214" t="s">
        <v>24</v>
      </c>
      <c r="M214">
        <v>89.54</v>
      </c>
      <c r="N214">
        <v>3275.39</v>
      </c>
      <c r="O214" t="s">
        <v>69</v>
      </c>
      <c r="P214" t="s">
        <v>55</v>
      </c>
      <c r="Q214">
        <f t="shared" si="9"/>
        <v>0</v>
      </c>
      <c r="R214" t="str">
        <f t="shared" si="10"/>
        <v>25-48 months</v>
      </c>
      <c r="S214" t="str">
        <f t="shared" si="11"/>
        <v>$76-$100</v>
      </c>
    </row>
    <row r="215" spans="1:19" x14ac:dyDescent="0.35">
      <c r="A215" t="s">
        <v>279</v>
      </c>
      <c r="B215">
        <v>59</v>
      </c>
      <c r="C215" t="s">
        <v>55</v>
      </c>
      <c r="D215" t="s">
        <v>56</v>
      </c>
      <c r="E215" t="s">
        <v>55</v>
      </c>
      <c r="F215">
        <v>56</v>
      </c>
      <c r="G215" t="s">
        <v>56</v>
      </c>
      <c r="H215" t="s">
        <v>56</v>
      </c>
      <c r="I215" t="s">
        <v>29</v>
      </c>
      <c r="J215" t="s">
        <v>12</v>
      </c>
      <c r="K215" t="s">
        <v>55</v>
      </c>
      <c r="L215" t="s">
        <v>26</v>
      </c>
      <c r="M215">
        <v>64.489999999999995</v>
      </c>
      <c r="N215">
        <v>3418.6</v>
      </c>
      <c r="O215" t="s">
        <v>69</v>
      </c>
      <c r="P215" t="s">
        <v>55</v>
      </c>
      <c r="Q215">
        <f t="shared" si="9"/>
        <v>0</v>
      </c>
      <c r="R215" t="str">
        <f t="shared" si="10"/>
        <v>49+ months</v>
      </c>
      <c r="S215" t="str">
        <f t="shared" si="11"/>
        <v>$50-$75</v>
      </c>
    </row>
    <row r="216" spans="1:19" x14ac:dyDescent="0.35">
      <c r="A216" t="s">
        <v>280</v>
      </c>
      <c r="B216">
        <v>65</v>
      </c>
      <c r="C216" t="s">
        <v>56</v>
      </c>
      <c r="D216" t="s">
        <v>56</v>
      </c>
      <c r="E216" t="s">
        <v>56</v>
      </c>
      <c r="F216">
        <v>2</v>
      </c>
      <c r="G216" t="s">
        <v>56</v>
      </c>
      <c r="H216" t="s">
        <v>56</v>
      </c>
      <c r="I216" t="s">
        <v>29</v>
      </c>
      <c r="J216" t="s">
        <v>14</v>
      </c>
      <c r="K216" t="s">
        <v>55</v>
      </c>
      <c r="L216" t="s">
        <v>26</v>
      </c>
      <c r="M216">
        <v>45.08</v>
      </c>
      <c r="N216">
        <v>93.2</v>
      </c>
      <c r="O216" t="s">
        <v>80</v>
      </c>
      <c r="P216" t="s">
        <v>56</v>
      </c>
      <c r="Q216">
        <f t="shared" si="9"/>
        <v>1</v>
      </c>
      <c r="R216" t="str">
        <f t="shared" si="10"/>
        <v>0-12 months</v>
      </c>
      <c r="S216" t="str">
        <f t="shared" si="11"/>
        <v>&lt; $50</v>
      </c>
    </row>
    <row r="217" spans="1:19" x14ac:dyDescent="0.35">
      <c r="A217" t="s">
        <v>281</v>
      </c>
      <c r="B217">
        <v>67</v>
      </c>
      <c r="C217" t="s">
        <v>56</v>
      </c>
      <c r="D217" t="s">
        <v>56</v>
      </c>
      <c r="E217" t="s">
        <v>55</v>
      </c>
      <c r="F217">
        <v>55</v>
      </c>
      <c r="G217" t="s">
        <v>56</v>
      </c>
      <c r="H217" t="s">
        <v>56</v>
      </c>
      <c r="I217" t="s">
        <v>30</v>
      </c>
      <c r="J217" t="s">
        <v>14</v>
      </c>
      <c r="K217" t="s">
        <v>56</v>
      </c>
      <c r="L217" t="s">
        <v>24</v>
      </c>
      <c r="M217">
        <v>95.54</v>
      </c>
      <c r="N217">
        <v>4974.38</v>
      </c>
      <c r="O217" t="s">
        <v>62</v>
      </c>
      <c r="P217" t="s">
        <v>55</v>
      </c>
      <c r="Q217">
        <f t="shared" si="9"/>
        <v>0</v>
      </c>
      <c r="R217" t="str">
        <f t="shared" si="10"/>
        <v>49+ months</v>
      </c>
      <c r="S217" t="str">
        <f t="shared" si="11"/>
        <v>$76-$100</v>
      </c>
    </row>
    <row r="218" spans="1:19" x14ac:dyDescent="0.35">
      <c r="A218" t="s">
        <v>282</v>
      </c>
      <c r="B218">
        <v>41</v>
      </c>
      <c r="C218" t="s">
        <v>55</v>
      </c>
      <c r="D218" t="s">
        <v>56</v>
      </c>
      <c r="E218" t="s">
        <v>55</v>
      </c>
      <c r="F218">
        <v>14</v>
      </c>
      <c r="G218" t="s">
        <v>56</v>
      </c>
      <c r="H218" t="s">
        <v>56</v>
      </c>
      <c r="I218" t="s">
        <v>31</v>
      </c>
      <c r="J218" t="s">
        <v>12</v>
      </c>
      <c r="K218" t="s">
        <v>56</v>
      </c>
      <c r="L218" t="s">
        <v>25</v>
      </c>
      <c r="M218">
        <v>18.149999999999999</v>
      </c>
      <c r="N218">
        <v>240.26</v>
      </c>
      <c r="O218" t="s">
        <v>62</v>
      </c>
      <c r="P218" t="s">
        <v>55</v>
      </c>
      <c r="Q218">
        <f t="shared" si="9"/>
        <v>0</v>
      </c>
      <c r="R218" t="str">
        <f t="shared" si="10"/>
        <v>13-24 months</v>
      </c>
      <c r="S218" t="str">
        <f t="shared" si="11"/>
        <v>&lt; $50</v>
      </c>
    </row>
    <row r="219" spans="1:19" x14ac:dyDescent="0.35">
      <c r="A219" t="s">
        <v>283</v>
      </c>
      <c r="B219">
        <v>29</v>
      </c>
      <c r="C219" t="s">
        <v>55</v>
      </c>
      <c r="D219" t="s">
        <v>56</v>
      </c>
      <c r="E219" t="s">
        <v>55</v>
      </c>
      <c r="F219">
        <v>29</v>
      </c>
      <c r="G219" t="s">
        <v>55</v>
      </c>
      <c r="H219" t="s">
        <v>60</v>
      </c>
      <c r="I219" t="s">
        <v>30</v>
      </c>
      <c r="J219" t="s">
        <v>14</v>
      </c>
      <c r="K219" t="s">
        <v>55</v>
      </c>
      <c r="L219" t="s">
        <v>26</v>
      </c>
      <c r="M219">
        <v>73.89</v>
      </c>
      <c r="N219">
        <v>2110.1</v>
      </c>
      <c r="O219" t="s">
        <v>80</v>
      </c>
      <c r="P219" t="s">
        <v>55</v>
      </c>
      <c r="Q219">
        <f t="shared" si="9"/>
        <v>0</v>
      </c>
      <c r="R219" t="str">
        <f t="shared" si="10"/>
        <v>25-48 months</v>
      </c>
      <c r="S219" t="str">
        <f t="shared" si="11"/>
        <v>$50-$75</v>
      </c>
    </row>
    <row r="220" spans="1:19" x14ac:dyDescent="0.35">
      <c r="A220" t="s">
        <v>284</v>
      </c>
      <c r="B220">
        <v>29</v>
      </c>
      <c r="C220" t="s">
        <v>55</v>
      </c>
      <c r="D220" t="s">
        <v>56</v>
      </c>
      <c r="E220" t="s">
        <v>56</v>
      </c>
      <c r="F220">
        <v>52</v>
      </c>
      <c r="G220" t="s">
        <v>55</v>
      </c>
      <c r="H220" t="s">
        <v>60</v>
      </c>
      <c r="I220" t="s">
        <v>30</v>
      </c>
      <c r="J220" t="s">
        <v>14</v>
      </c>
      <c r="K220" t="s">
        <v>55</v>
      </c>
      <c r="L220" t="s">
        <v>26</v>
      </c>
      <c r="M220">
        <v>97.65</v>
      </c>
      <c r="N220">
        <v>4777.99</v>
      </c>
      <c r="O220" t="s">
        <v>58</v>
      </c>
      <c r="P220" t="s">
        <v>56</v>
      </c>
      <c r="Q220">
        <f t="shared" si="9"/>
        <v>1</v>
      </c>
      <c r="R220" t="str">
        <f t="shared" si="10"/>
        <v>49+ months</v>
      </c>
      <c r="S220" t="str">
        <f t="shared" si="11"/>
        <v>$76-$100</v>
      </c>
    </row>
    <row r="221" spans="1:19" x14ac:dyDescent="0.35">
      <c r="A221" t="s">
        <v>285</v>
      </c>
      <c r="B221">
        <v>68</v>
      </c>
      <c r="C221" t="s">
        <v>56</v>
      </c>
      <c r="D221" t="s">
        <v>55</v>
      </c>
      <c r="E221" t="s">
        <v>56</v>
      </c>
      <c r="F221">
        <v>60</v>
      </c>
      <c r="G221" t="s">
        <v>55</v>
      </c>
      <c r="H221" t="s">
        <v>60</v>
      </c>
      <c r="I221" t="s">
        <v>30</v>
      </c>
      <c r="J221" t="s">
        <v>14</v>
      </c>
      <c r="K221" t="s">
        <v>56</v>
      </c>
      <c r="L221" t="s">
        <v>1066</v>
      </c>
      <c r="M221">
        <v>97.33</v>
      </c>
      <c r="N221">
        <v>6047.21</v>
      </c>
      <c r="O221" t="s">
        <v>64</v>
      </c>
      <c r="P221" t="s">
        <v>56</v>
      </c>
      <c r="Q221">
        <f t="shared" si="9"/>
        <v>1</v>
      </c>
      <c r="R221" t="str">
        <f t="shared" si="10"/>
        <v>49+ months</v>
      </c>
      <c r="S221" t="str">
        <f t="shared" si="11"/>
        <v>$76-$100</v>
      </c>
    </row>
    <row r="222" spans="1:19" x14ac:dyDescent="0.35">
      <c r="A222" t="s">
        <v>286</v>
      </c>
      <c r="B222">
        <v>19</v>
      </c>
      <c r="C222" t="s">
        <v>55</v>
      </c>
      <c r="D222" t="s">
        <v>56</v>
      </c>
      <c r="E222" t="s">
        <v>55</v>
      </c>
      <c r="F222">
        <v>2</v>
      </c>
      <c r="G222" t="s">
        <v>56</v>
      </c>
      <c r="H222" t="s">
        <v>55</v>
      </c>
      <c r="I222" t="s">
        <v>31</v>
      </c>
      <c r="J222" t="s">
        <v>12</v>
      </c>
      <c r="K222" t="s">
        <v>55</v>
      </c>
      <c r="L222" t="s">
        <v>26</v>
      </c>
      <c r="M222">
        <v>24.36</v>
      </c>
      <c r="N222">
        <v>47.19</v>
      </c>
      <c r="O222" t="s">
        <v>80</v>
      </c>
      <c r="P222" t="s">
        <v>56</v>
      </c>
      <c r="Q222">
        <f t="shared" si="9"/>
        <v>1</v>
      </c>
      <c r="R222" t="str">
        <f t="shared" si="10"/>
        <v>0-12 months</v>
      </c>
      <c r="S222" t="str">
        <f t="shared" si="11"/>
        <v>&lt; $50</v>
      </c>
    </row>
    <row r="223" spans="1:19" x14ac:dyDescent="0.35">
      <c r="A223" t="s">
        <v>287</v>
      </c>
      <c r="B223">
        <v>27</v>
      </c>
      <c r="C223" t="s">
        <v>55</v>
      </c>
      <c r="D223" t="s">
        <v>55</v>
      </c>
      <c r="E223" t="s">
        <v>56</v>
      </c>
      <c r="F223">
        <v>6</v>
      </c>
      <c r="G223" t="s">
        <v>55</v>
      </c>
      <c r="H223" t="s">
        <v>60</v>
      </c>
      <c r="I223" t="s">
        <v>31</v>
      </c>
      <c r="J223" t="s">
        <v>13</v>
      </c>
      <c r="K223" t="s">
        <v>55</v>
      </c>
      <c r="L223" t="s">
        <v>24</v>
      </c>
      <c r="M223">
        <v>26.97</v>
      </c>
      <c r="N223">
        <v>163.38999999999999</v>
      </c>
      <c r="O223" t="s">
        <v>69</v>
      </c>
      <c r="P223" t="s">
        <v>55</v>
      </c>
      <c r="Q223">
        <f t="shared" si="9"/>
        <v>0</v>
      </c>
      <c r="R223" t="str">
        <f t="shared" si="10"/>
        <v>0-12 months</v>
      </c>
      <c r="S223" t="str">
        <f t="shared" si="11"/>
        <v>&lt; $50</v>
      </c>
    </row>
    <row r="224" spans="1:19" x14ac:dyDescent="0.35">
      <c r="A224" t="s">
        <v>288</v>
      </c>
      <c r="B224">
        <v>70</v>
      </c>
      <c r="C224" t="s">
        <v>56</v>
      </c>
      <c r="D224" t="s">
        <v>55</v>
      </c>
      <c r="E224" t="s">
        <v>56</v>
      </c>
      <c r="F224">
        <v>8</v>
      </c>
      <c r="G224" t="s">
        <v>56</v>
      </c>
      <c r="H224" t="s">
        <v>56</v>
      </c>
      <c r="I224" t="s">
        <v>30</v>
      </c>
      <c r="J224" t="s">
        <v>12</v>
      </c>
      <c r="K224" t="s">
        <v>55</v>
      </c>
      <c r="L224" t="s">
        <v>25</v>
      </c>
      <c r="M224">
        <v>89.65</v>
      </c>
      <c r="N224">
        <v>745.76</v>
      </c>
      <c r="O224" t="s">
        <v>64</v>
      </c>
      <c r="P224" t="s">
        <v>56</v>
      </c>
      <c r="Q224">
        <f t="shared" si="9"/>
        <v>1</v>
      </c>
      <c r="R224" t="str">
        <f t="shared" si="10"/>
        <v>0-12 months</v>
      </c>
      <c r="S224" t="str">
        <f t="shared" si="11"/>
        <v>$76-$100</v>
      </c>
    </row>
    <row r="225" spans="1:19" x14ac:dyDescent="0.35">
      <c r="A225" t="s">
        <v>289</v>
      </c>
      <c r="B225">
        <v>35</v>
      </c>
      <c r="C225" t="s">
        <v>55</v>
      </c>
      <c r="D225" t="s">
        <v>56</v>
      </c>
      <c r="E225" t="s">
        <v>56</v>
      </c>
      <c r="F225">
        <v>26</v>
      </c>
      <c r="G225" t="s">
        <v>56</v>
      </c>
      <c r="H225" t="s">
        <v>56</v>
      </c>
      <c r="I225" t="s">
        <v>30</v>
      </c>
      <c r="J225" t="s">
        <v>12</v>
      </c>
      <c r="K225" t="s">
        <v>55</v>
      </c>
      <c r="L225" t="s">
        <v>26</v>
      </c>
      <c r="M225">
        <v>76.040000000000006</v>
      </c>
      <c r="N225">
        <v>1943.42</v>
      </c>
      <c r="O225" t="s">
        <v>64</v>
      </c>
      <c r="P225" t="s">
        <v>55</v>
      </c>
      <c r="Q225">
        <f t="shared" si="9"/>
        <v>0</v>
      </c>
      <c r="R225" t="str">
        <f t="shared" si="10"/>
        <v>25-48 months</v>
      </c>
      <c r="S225" t="str">
        <f t="shared" si="11"/>
        <v>$76-$100</v>
      </c>
    </row>
    <row r="226" spans="1:19" x14ac:dyDescent="0.35">
      <c r="A226" t="s">
        <v>290</v>
      </c>
      <c r="B226">
        <v>37</v>
      </c>
      <c r="C226" t="s">
        <v>55</v>
      </c>
      <c r="D226" t="s">
        <v>55</v>
      </c>
      <c r="E226" t="s">
        <v>55</v>
      </c>
      <c r="F226">
        <v>16</v>
      </c>
      <c r="G226" t="s">
        <v>55</v>
      </c>
      <c r="H226" t="s">
        <v>60</v>
      </c>
      <c r="I226" t="s">
        <v>30</v>
      </c>
      <c r="J226" t="s">
        <v>14</v>
      </c>
      <c r="K226" t="s">
        <v>56</v>
      </c>
      <c r="L226" t="s">
        <v>26</v>
      </c>
      <c r="M226">
        <v>112.83</v>
      </c>
      <c r="N226">
        <v>1729.1</v>
      </c>
      <c r="O226" t="s">
        <v>76</v>
      </c>
      <c r="P226" t="s">
        <v>55</v>
      </c>
      <c r="Q226">
        <f t="shared" si="9"/>
        <v>0</v>
      </c>
      <c r="R226" t="str">
        <f t="shared" si="10"/>
        <v>13-24 months</v>
      </c>
      <c r="S226" t="str">
        <f t="shared" si="11"/>
        <v>&gt; $100</v>
      </c>
    </row>
    <row r="227" spans="1:19" x14ac:dyDescent="0.35">
      <c r="A227" t="s">
        <v>291</v>
      </c>
      <c r="B227">
        <v>43</v>
      </c>
      <c r="C227" t="s">
        <v>55</v>
      </c>
      <c r="D227" t="s">
        <v>56</v>
      </c>
      <c r="E227" t="s">
        <v>55</v>
      </c>
      <c r="F227">
        <v>34</v>
      </c>
      <c r="G227" t="s">
        <v>56</v>
      </c>
      <c r="H227" t="s">
        <v>56</v>
      </c>
      <c r="I227" t="s">
        <v>31</v>
      </c>
      <c r="J227" t="s">
        <v>12</v>
      </c>
      <c r="K227" t="s">
        <v>55</v>
      </c>
      <c r="L227" t="s">
        <v>24</v>
      </c>
      <c r="M227">
        <v>24.6</v>
      </c>
      <c r="N227">
        <v>795.72</v>
      </c>
      <c r="O227" t="s">
        <v>66</v>
      </c>
      <c r="P227" t="s">
        <v>56</v>
      </c>
      <c r="Q227">
        <f t="shared" si="9"/>
        <v>1</v>
      </c>
      <c r="R227" t="str">
        <f t="shared" si="10"/>
        <v>25-48 months</v>
      </c>
      <c r="S227" t="str">
        <f t="shared" si="11"/>
        <v>&lt; $50</v>
      </c>
    </row>
    <row r="228" spans="1:19" x14ac:dyDescent="0.35">
      <c r="A228" t="s">
        <v>292</v>
      </c>
      <c r="B228">
        <v>26</v>
      </c>
      <c r="C228" t="s">
        <v>55</v>
      </c>
      <c r="D228" t="s">
        <v>56</v>
      </c>
      <c r="E228" t="s">
        <v>56</v>
      </c>
      <c r="F228">
        <v>8</v>
      </c>
      <c r="G228" t="s">
        <v>56</v>
      </c>
      <c r="H228" t="s">
        <v>56</v>
      </c>
      <c r="I228" t="s">
        <v>31</v>
      </c>
      <c r="J228" t="s">
        <v>14</v>
      </c>
      <c r="K228" t="s">
        <v>55</v>
      </c>
      <c r="L228" t="s">
        <v>1066</v>
      </c>
      <c r="M228">
        <v>29.25</v>
      </c>
      <c r="N228">
        <v>222.32</v>
      </c>
      <c r="O228" t="s">
        <v>66</v>
      </c>
      <c r="P228" t="s">
        <v>55</v>
      </c>
      <c r="Q228">
        <f t="shared" si="9"/>
        <v>0</v>
      </c>
      <c r="R228" t="str">
        <f t="shared" si="10"/>
        <v>0-12 months</v>
      </c>
      <c r="S228" t="str">
        <f t="shared" si="11"/>
        <v>&lt; $50</v>
      </c>
    </row>
    <row r="229" spans="1:19" x14ac:dyDescent="0.35">
      <c r="A229" t="s">
        <v>293</v>
      </c>
      <c r="B229">
        <v>22</v>
      </c>
      <c r="C229" t="s">
        <v>55</v>
      </c>
      <c r="D229" t="s">
        <v>56</v>
      </c>
      <c r="E229" t="s">
        <v>56</v>
      </c>
      <c r="F229">
        <v>26</v>
      </c>
      <c r="G229" t="s">
        <v>55</v>
      </c>
      <c r="H229" t="s">
        <v>60</v>
      </c>
      <c r="I229" t="s">
        <v>31</v>
      </c>
      <c r="J229" t="s">
        <v>14</v>
      </c>
      <c r="K229" t="s">
        <v>56</v>
      </c>
      <c r="L229" t="s">
        <v>25</v>
      </c>
      <c r="M229">
        <v>27.95</v>
      </c>
      <c r="N229">
        <v>712.01</v>
      </c>
      <c r="O229" t="s">
        <v>64</v>
      </c>
      <c r="P229" t="s">
        <v>56</v>
      </c>
      <c r="Q229">
        <f t="shared" si="9"/>
        <v>1</v>
      </c>
      <c r="R229" t="str">
        <f t="shared" si="10"/>
        <v>25-48 months</v>
      </c>
      <c r="S229" t="str">
        <f t="shared" si="11"/>
        <v>&lt; $50</v>
      </c>
    </row>
    <row r="230" spans="1:19" x14ac:dyDescent="0.35">
      <c r="A230" t="s">
        <v>294</v>
      </c>
      <c r="B230">
        <v>21</v>
      </c>
      <c r="C230" t="s">
        <v>55</v>
      </c>
      <c r="D230" t="s">
        <v>56</v>
      </c>
      <c r="E230" t="s">
        <v>55</v>
      </c>
      <c r="F230">
        <v>51</v>
      </c>
      <c r="G230" t="s">
        <v>55</v>
      </c>
      <c r="H230" t="s">
        <v>60</v>
      </c>
      <c r="I230" t="s">
        <v>29</v>
      </c>
      <c r="J230" t="s">
        <v>13</v>
      </c>
      <c r="K230" t="s">
        <v>56</v>
      </c>
      <c r="L230" t="s">
        <v>24</v>
      </c>
      <c r="M230">
        <v>76.33</v>
      </c>
      <c r="N230">
        <v>3787.72</v>
      </c>
      <c r="O230" t="s">
        <v>62</v>
      </c>
      <c r="P230" t="s">
        <v>55</v>
      </c>
      <c r="Q230">
        <f t="shared" si="9"/>
        <v>0</v>
      </c>
      <c r="R230" t="str">
        <f t="shared" si="10"/>
        <v>49+ months</v>
      </c>
      <c r="S230" t="str">
        <f t="shared" si="11"/>
        <v>$76-$100</v>
      </c>
    </row>
    <row r="231" spans="1:19" x14ac:dyDescent="0.35">
      <c r="A231" t="s">
        <v>295</v>
      </c>
      <c r="B231">
        <v>20</v>
      </c>
      <c r="C231" t="s">
        <v>55</v>
      </c>
      <c r="D231" t="s">
        <v>56</v>
      </c>
      <c r="E231" t="s">
        <v>55</v>
      </c>
      <c r="F231">
        <v>64</v>
      </c>
      <c r="G231" t="s">
        <v>55</v>
      </c>
      <c r="H231" t="s">
        <v>60</v>
      </c>
      <c r="I231" t="s">
        <v>30</v>
      </c>
      <c r="J231" t="s">
        <v>12</v>
      </c>
      <c r="K231" t="s">
        <v>55</v>
      </c>
      <c r="L231" t="s">
        <v>24</v>
      </c>
      <c r="M231">
        <v>90.96</v>
      </c>
      <c r="N231">
        <v>5921.09</v>
      </c>
      <c r="O231" t="s">
        <v>62</v>
      </c>
      <c r="P231" t="s">
        <v>55</v>
      </c>
      <c r="Q231">
        <f t="shared" si="9"/>
        <v>0</v>
      </c>
      <c r="R231" t="str">
        <f t="shared" si="10"/>
        <v>49+ months</v>
      </c>
      <c r="S231" t="str">
        <f t="shared" si="11"/>
        <v>$76-$100</v>
      </c>
    </row>
    <row r="232" spans="1:19" x14ac:dyDescent="0.35">
      <c r="A232" t="s">
        <v>296</v>
      </c>
      <c r="B232">
        <v>58</v>
      </c>
      <c r="C232" t="s">
        <v>55</v>
      </c>
      <c r="D232" t="s">
        <v>56</v>
      </c>
      <c r="E232" t="s">
        <v>55</v>
      </c>
      <c r="F232">
        <v>46</v>
      </c>
      <c r="G232" t="s">
        <v>55</v>
      </c>
      <c r="H232" t="s">
        <v>60</v>
      </c>
      <c r="I232" t="s">
        <v>29</v>
      </c>
      <c r="J232" t="s">
        <v>12</v>
      </c>
      <c r="K232" t="s">
        <v>55</v>
      </c>
      <c r="L232" t="s">
        <v>24</v>
      </c>
      <c r="M232">
        <v>47.19</v>
      </c>
      <c r="N232">
        <v>2123.56</v>
      </c>
      <c r="O232" t="s">
        <v>66</v>
      </c>
      <c r="P232" t="s">
        <v>56</v>
      </c>
      <c r="Q232">
        <f t="shared" si="9"/>
        <v>1</v>
      </c>
      <c r="R232" t="str">
        <f t="shared" si="10"/>
        <v>25-48 months</v>
      </c>
      <c r="S232" t="str">
        <f t="shared" si="11"/>
        <v>&lt; $50</v>
      </c>
    </row>
    <row r="233" spans="1:19" x14ac:dyDescent="0.35">
      <c r="A233" t="s">
        <v>297</v>
      </c>
      <c r="B233">
        <v>67</v>
      </c>
      <c r="C233" t="s">
        <v>56</v>
      </c>
      <c r="D233" t="s">
        <v>55</v>
      </c>
      <c r="E233" t="s">
        <v>56</v>
      </c>
      <c r="F233">
        <v>61</v>
      </c>
      <c r="G233" t="s">
        <v>56</v>
      </c>
      <c r="H233" t="s">
        <v>55</v>
      </c>
      <c r="I233" t="s">
        <v>29</v>
      </c>
      <c r="J233" t="s">
        <v>12</v>
      </c>
      <c r="K233" t="s">
        <v>56</v>
      </c>
      <c r="L233" t="s">
        <v>26</v>
      </c>
      <c r="M233">
        <v>72.650000000000006</v>
      </c>
      <c r="N233">
        <v>4653.55</v>
      </c>
      <c r="O233" t="s">
        <v>62</v>
      </c>
      <c r="P233" t="s">
        <v>56</v>
      </c>
      <c r="Q233">
        <f t="shared" si="9"/>
        <v>1</v>
      </c>
      <c r="R233" t="str">
        <f t="shared" si="10"/>
        <v>49+ months</v>
      </c>
      <c r="S233" t="str">
        <f t="shared" si="11"/>
        <v>$50-$75</v>
      </c>
    </row>
    <row r="234" spans="1:19" x14ac:dyDescent="0.35">
      <c r="A234" t="s">
        <v>298</v>
      </c>
      <c r="B234">
        <v>54</v>
      </c>
      <c r="C234" t="s">
        <v>55</v>
      </c>
      <c r="D234" t="s">
        <v>55</v>
      </c>
      <c r="E234" t="s">
        <v>55</v>
      </c>
      <c r="F234">
        <v>23</v>
      </c>
      <c r="G234" t="s">
        <v>55</v>
      </c>
      <c r="H234" t="s">
        <v>60</v>
      </c>
      <c r="I234" t="s">
        <v>30</v>
      </c>
      <c r="J234" t="s">
        <v>14</v>
      </c>
      <c r="K234" t="s">
        <v>55</v>
      </c>
      <c r="L234" t="s">
        <v>25</v>
      </c>
      <c r="M234">
        <v>71.41</v>
      </c>
      <c r="N234">
        <v>1681.96</v>
      </c>
      <c r="O234" t="s">
        <v>58</v>
      </c>
      <c r="P234" t="s">
        <v>55</v>
      </c>
      <c r="Q234">
        <f t="shared" si="9"/>
        <v>0</v>
      </c>
      <c r="R234" t="str">
        <f t="shared" si="10"/>
        <v>13-24 months</v>
      </c>
      <c r="S234" t="str">
        <f t="shared" si="11"/>
        <v>$50-$75</v>
      </c>
    </row>
    <row r="235" spans="1:19" x14ac:dyDescent="0.35">
      <c r="A235" t="s">
        <v>299</v>
      </c>
      <c r="B235">
        <v>27</v>
      </c>
      <c r="C235" t="s">
        <v>55</v>
      </c>
      <c r="D235" t="s">
        <v>56</v>
      </c>
      <c r="E235" t="s">
        <v>55</v>
      </c>
      <c r="F235">
        <v>70</v>
      </c>
      <c r="G235" t="s">
        <v>55</v>
      </c>
      <c r="H235" t="s">
        <v>60</v>
      </c>
      <c r="I235" t="s">
        <v>30</v>
      </c>
      <c r="J235" t="s">
        <v>12</v>
      </c>
      <c r="K235" t="s">
        <v>56</v>
      </c>
      <c r="L235" t="s">
        <v>26</v>
      </c>
      <c r="M235">
        <v>80.94</v>
      </c>
      <c r="N235">
        <v>5683.78</v>
      </c>
      <c r="O235" t="s">
        <v>58</v>
      </c>
      <c r="P235" t="s">
        <v>56</v>
      </c>
      <c r="Q235">
        <f t="shared" si="9"/>
        <v>1</v>
      </c>
      <c r="R235" t="str">
        <f t="shared" si="10"/>
        <v>49+ months</v>
      </c>
      <c r="S235" t="str">
        <f t="shared" si="11"/>
        <v>$76-$100</v>
      </c>
    </row>
    <row r="236" spans="1:19" x14ac:dyDescent="0.35">
      <c r="A236" t="s">
        <v>300</v>
      </c>
      <c r="B236">
        <v>30</v>
      </c>
      <c r="C236" t="s">
        <v>55</v>
      </c>
      <c r="D236" t="s">
        <v>56</v>
      </c>
      <c r="E236" t="s">
        <v>55</v>
      </c>
      <c r="F236">
        <v>23</v>
      </c>
      <c r="G236" t="s">
        <v>55</v>
      </c>
      <c r="H236" t="s">
        <v>60</v>
      </c>
      <c r="I236" t="s">
        <v>31</v>
      </c>
      <c r="J236" t="s">
        <v>12</v>
      </c>
      <c r="K236" t="s">
        <v>56</v>
      </c>
      <c r="L236" t="s">
        <v>24</v>
      </c>
      <c r="M236">
        <v>29.01</v>
      </c>
      <c r="N236">
        <v>689.2</v>
      </c>
      <c r="O236" t="s">
        <v>66</v>
      </c>
      <c r="P236" t="s">
        <v>55</v>
      </c>
      <c r="Q236">
        <f t="shared" si="9"/>
        <v>0</v>
      </c>
      <c r="R236" t="str">
        <f t="shared" si="10"/>
        <v>13-24 months</v>
      </c>
      <c r="S236" t="str">
        <f t="shared" si="11"/>
        <v>&lt; $50</v>
      </c>
    </row>
    <row r="237" spans="1:19" x14ac:dyDescent="0.35">
      <c r="A237" t="s">
        <v>301</v>
      </c>
      <c r="B237">
        <v>41</v>
      </c>
      <c r="C237" t="s">
        <v>55</v>
      </c>
      <c r="D237" t="s">
        <v>56</v>
      </c>
      <c r="E237" t="s">
        <v>55</v>
      </c>
      <c r="F237">
        <v>51</v>
      </c>
      <c r="G237" t="s">
        <v>55</v>
      </c>
      <c r="H237" t="s">
        <v>60</v>
      </c>
      <c r="I237" t="s">
        <v>29</v>
      </c>
      <c r="J237" t="s">
        <v>12</v>
      </c>
      <c r="K237" t="s">
        <v>56</v>
      </c>
      <c r="L237" t="s">
        <v>25</v>
      </c>
      <c r="M237">
        <v>69.290000000000006</v>
      </c>
      <c r="N237">
        <v>3507.02</v>
      </c>
      <c r="O237" t="s">
        <v>64</v>
      </c>
      <c r="P237" t="s">
        <v>55</v>
      </c>
      <c r="Q237">
        <f t="shared" si="9"/>
        <v>0</v>
      </c>
      <c r="R237" t="str">
        <f t="shared" si="10"/>
        <v>49+ months</v>
      </c>
      <c r="S237" t="str">
        <f t="shared" si="11"/>
        <v>$50-$75</v>
      </c>
    </row>
    <row r="238" spans="1:19" x14ac:dyDescent="0.35">
      <c r="A238" t="s">
        <v>302</v>
      </c>
      <c r="B238">
        <v>59</v>
      </c>
      <c r="C238" t="s">
        <v>55</v>
      </c>
      <c r="D238" t="s">
        <v>55</v>
      </c>
      <c r="E238" t="s">
        <v>56</v>
      </c>
      <c r="F238">
        <v>72</v>
      </c>
      <c r="G238" t="s">
        <v>55</v>
      </c>
      <c r="H238" t="s">
        <v>60</v>
      </c>
      <c r="I238" t="s">
        <v>29</v>
      </c>
      <c r="J238" t="s">
        <v>12</v>
      </c>
      <c r="K238" t="s">
        <v>56</v>
      </c>
      <c r="L238" t="s">
        <v>24</v>
      </c>
      <c r="M238">
        <v>69.36</v>
      </c>
      <c r="N238">
        <v>4870.78</v>
      </c>
      <c r="O238" t="s">
        <v>80</v>
      </c>
      <c r="P238" t="s">
        <v>56</v>
      </c>
      <c r="Q238">
        <f t="shared" si="9"/>
        <v>1</v>
      </c>
      <c r="R238" t="str">
        <f t="shared" si="10"/>
        <v>49+ months</v>
      </c>
      <c r="S238" t="str">
        <f t="shared" si="11"/>
        <v>$50-$75</v>
      </c>
    </row>
    <row r="239" spans="1:19" x14ac:dyDescent="0.35">
      <c r="A239" t="s">
        <v>303</v>
      </c>
      <c r="B239">
        <v>62</v>
      </c>
      <c r="C239" t="s">
        <v>56</v>
      </c>
      <c r="D239" t="s">
        <v>55</v>
      </c>
      <c r="E239" t="s">
        <v>56</v>
      </c>
      <c r="F239">
        <v>24</v>
      </c>
      <c r="G239" t="s">
        <v>56</v>
      </c>
      <c r="H239" t="s">
        <v>55</v>
      </c>
      <c r="I239" t="s">
        <v>29</v>
      </c>
      <c r="J239" t="s">
        <v>12</v>
      </c>
      <c r="K239" t="s">
        <v>55</v>
      </c>
      <c r="L239" t="s">
        <v>26</v>
      </c>
      <c r="M239">
        <v>69.81</v>
      </c>
      <c r="N239">
        <v>1622.76</v>
      </c>
      <c r="O239" t="s">
        <v>62</v>
      </c>
      <c r="P239" t="s">
        <v>55</v>
      </c>
      <c r="Q239">
        <f t="shared" si="9"/>
        <v>0</v>
      </c>
      <c r="R239" t="str">
        <f t="shared" si="10"/>
        <v>13-24 months</v>
      </c>
      <c r="S239" t="str">
        <f t="shared" si="11"/>
        <v>$50-$75</v>
      </c>
    </row>
    <row r="240" spans="1:19" x14ac:dyDescent="0.35">
      <c r="A240" t="s">
        <v>304</v>
      </c>
      <c r="B240">
        <v>58</v>
      </c>
      <c r="C240" t="s">
        <v>55</v>
      </c>
      <c r="D240" t="s">
        <v>56</v>
      </c>
      <c r="E240" t="s">
        <v>55</v>
      </c>
      <c r="F240">
        <v>58</v>
      </c>
      <c r="G240" t="s">
        <v>56</v>
      </c>
      <c r="H240" t="s">
        <v>56</v>
      </c>
      <c r="I240" t="s">
        <v>30</v>
      </c>
      <c r="J240" t="s">
        <v>12</v>
      </c>
      <c r="K240" t="s">
        <v>55</v>
      </c>
      <c r="L240" t="s">
        <v>1066</v>
      </c>
      <c r="M240">
        <v>106.02</v>
      </c>
      <c r="N240">
        <v>5815.74</v>
      </c>
      <c r="O240" t="s">
        <v>64</v>
      </c>
      <c r="P240" t="s">
        <v>56</v>
      </c>
      <c r="Q240">
        <f t="shared" si="9"/>
        <v>1</v>
      </c>
      <c r="R240" t="str">
        <f t="shared" si="10"/>
        <v>49+ months</v>
      </c>
      <c r="S240" t="str">
        <f t="shared" si="11"/>
        <v>&gt; $100</v>
      </c>
    </row>
    <row r="241" spans="1:19" x14ac:dyDescent="0.35">
      <c r="A241" t="s">
        <v>305</v>
      </c>
      <c r="B241">
        <v>28</v>
      </c>
      <c r="C241" t="s">
        <v>55</v>
      </c>
      <c r="D241" t="s">
        <v>55</v>
      </c>
      <c r="E241" t="s">
        <v>55</v>
      </c>
      <c r="F241">
        <v>49</v>
      </c>
      <c r="G241" t="s">
        <v>55</v>
      </c>
      <c r="H241" t="s">
        <v>60</v>
      </c>
      <c r="I241" t="s">
        <v>30</v>
      </c>
      <c r="J241" t="s">
        <v>12</v>
      </c>
      <c r="K241" t="s">
        <v>55</v>
      </c>
      <c r="L241" t="s">
        <v>1066</v>
      </c>
      <c r="M241">
        <v>98.9</v>
      </c>
      <c r="N241">
        <v>4996.28</v>
      </c>
      <c r="O241" t="s">
        <v>64</v>
      </c>
      <c r="P241" t="s">
        <v>56</v>
      </c>
      <c r="Q241">
        <f t="shared" si="9"/>
        <v>1</v>
      </c>
      <c r="R241" t="str">
        <f t="shared" si="10"/>
        <v>49+ months</v>
      </c>
      <c r="S241" t="str">
        <f t="shared" si="11"/>
        <v>$76-$100</v>
      </c>
    </row>
    <row r="242" spans="1:19" x14ac:dyDescent="0.35">
      <c r="A242" t="s">
        <v>306</v>
      </c>
      <c r="B242">
        <v>22</v>
      </c>
      <c r="C242" t="s">
        <v>55</v>
      </c>
      <c r="D242" t="s">
        <v>56</v>
      </c>
      <c r="E242" t="s">
        <v>55</v>
      </c>
      <c r="F242">
        <v>3</v>
      </c>
      <c r="G242" t="s">
        <v>56</v>
      </c>
      <c r="H242" t="s">
        <v>56</v>
      </c>
      <c r="I242" t="s">
        <v>30</v>
      </c>
      <c r="J242" t="s">
        <v>12</v>
      </c>
      <c r="K242" t="s">
        <v>55</v>
      </c>
      <c r="L242" t="s">
        <v>26</v>
      </c>
      <c r="M242">
        <v>73.75</v>
      </c>
      <c r="N242">
        <v>232.98</v>
      </c>
      <c r="O242" t="s">
        <v>76</v>
      </c>
      <c r="P242" t="s">
        <v>55</v>
      </c>
      <c r="Q242">
        <f t="shared" si="9"/>
        <v>0</v>
      </c>
      <c r="R242" t="str">
        <f t="shared" si="10"/>
        <v>0-12 months</v>
      </c>
      <c r="S242" t="str">
        <f t="shared" si="11"/>
        <v>$50-$75</v>
      </c>
    </row>
    <row r="243" spans="1:19" x14ac:dyDescent="0.35">
      <c r="A243" t="s">
        <v>307</v>
      </c>
      <c r="B243">
        <v>56</v>
      </c>
      <c r="C243" t="s">
        <v>55</v>
      </c>
      <c r="D243" t="s">
        <v>55</v>
      </c>
      <c r="E243" t="s">
        <v>56</v>
      </c>
      <c r="F243">
        <v>56</v>
      </c>
      <c r="G243" t="s">
        <v>56</v>
      </c>
      <c r="H243" t="s">
        <v>55</v>
      </c>
      <c r="I243" t="s">
        <v>31</v>
      </c>
      <c r="J243" t="s">
        <v>12</v>
      </c>
      <c r="K243" t="s">
        <v>56</v>
      </c>
      <c r="L243" t="s">
        <v>26</v>
      </c>
      <c r="M243">
        <v>20.47</v>
      </c>
      <c r="N243">
        <v>1103.67</v>
      </c>
      <c r="O243" t="s">
        <v>69</v>
      </c>
      <c r="P243" t="s">
        <v>55</v>
      </c>
      <c r="Q243">
        <f t="shared" si="9"/>
        <v>0</v>
      </c>
      <c r="R243" t="str">
        <f t="shared" si="10"/>
        <v>49+ months</v>
      </c>
      <c r="S243" t="str">
        <f t="shared" si="11"/>
        <v>&lt; $50</v>
      </c>
    </row>
    <row r="244" spans="1:19" x14ac:dyDescent="0.35">
      <c r="A244" t="s">
        <v>308</v>
      </c>
      <c r="B244">
        <v>64</v>
      </c>
      <c r="C244" t="s">
        <v>56</v>
      </c>
      <c r="D244" t="s">
        <v>55</v>
      </c>
      <c r="E244" t="s">
        <v>55</v>
      </c>
      <c r="F244">
        <v>39</v>
      </c>
      <c r="G244" t="s">
        <v>56</v>
      </c>
      <c r="H244" t="s">
        <v>55</v>
      </c>
      <c r="I244" t="s">
        <v>30</v>
      </c>
      <c r="J244" t="s">
        <v>12</v>
      </c>
      <c r="K244" t="s">
        <v>55</v>
      </c>
      <c r="L244" t="s">
        <v>26</v>
      </c>
      <c r="M244">
        <v>88.04</v>
      </c>
      <c r="N244">
        <v>3403.73</v>
      </c>
      <c r="O244" t="s">
        <v>69</v>
      </c>
      <c r="P244" t="s">
        <v>56</v>
      </c>
      <c r="Q244">
        <f t="shared" si="9"/>
        <v>1</v>
      </c>
      <c r="R244" t="str">
        <f t="shared" si="10"/>
        <v>25-48 months</v>
      </c>
      <c r="S244" t="str">
        <f t="shared" si="11"/>
        <v>$76-$100</v>
      </c>
    </row>
    <row r="245" spans="1:19" x14ac:dyDescent="0.35">
      <c r="A245" t="s">
        <v>309</v>
      </c>
      <c r="B245">
        <v>58</v>
      </c>
      <c r="C245" t="s">
        <v>55</v>
      </c>
      <c r="D245" t="s">
        <v>55</v>
      </c>
      <c r="E245" t="s">
        <v>56</v>
      </c>
      <c r="F245">
        <v>13</v>
      </c>
      <c r="G245" t="s">
        <v>56</v>
      </c>
      <c r="H245" t="s">
        <v>55</v>
      </c>
      <c r="I245" t="s">
        <v>30</v>
      </c>
      <c r="J245" t="s">
        <v>14</v>
      </c>
      <c r="K245" t="s">
        <v>55</v>
      </c>
      <c r="L245" t="s">
        <v>1066</v>
      </c>
      <c r="M245">
        <v>85.42</v>
      </c>
      <c r="N245">
        <v>1096.8</v>
      </c>
      <c r="O245" t="s">
        <v>69</v>
      </c>
      <c r="P245" t="s">
        <v>55</v>
      </c>
      <c r="Q245">
        <f t="shared" si="9"/>
        <v>0</v>
      </c>
      <c r="R245" t="str">
        <f t="shared" si="10"/>
        <v>13-24 months</v>
      </c>
      <c r="S245" t="str">
        <f t="shared" si="11"/>
        <v>$76-$100</v>
      </c>
    </row>
    <row r="246" spans="1:19" x14ac:dyDescent="0.35">
      <c r="A246" t="s">
        <v>310</v>
      </c>
      <c r="B246">
        <v>34</v>
      </c>
      <c r="C246" t="s">
        <v>55</v>
      </c>
      <c r="D246" t="s">
        <v>56</v>
      </c>
      <c r="E246" t="s">
        <v>55</v>
      </c>
      <c r="F246">
        <v>24</v>
      </c>
      <c r="G246" t="s">
        <v>55</v>
      </c>
      <c r="H246" t="s">
        <v>60</v>
      </c>
      <c r="I246" t="s">
        <v>30</v>
      </c>
      <c r="J246" t="s">
        <v>12</v>
      </c>
      <c r="K246" t="s">
        <v>55</v>
      </c>
      <c r="L246" t="s">
        <v>26</v>
      </c>
      <c r="M246">
        <v>91.99</v>
      </c>
      <c r="N246">
        <v>2145.08</v>
      </c>
      <c r="O246" t="s">
        <v>58</v>
      </c>
      <c r="P246" t="s">
        <v>55</v>
      </c>
      <c r="Q246">
        <f t="shared" si="9"/>
        <v>0</v>
      </c>
      <c r="R246" t="str">
        <f t="shared" si="10"/>
        <v>13-24 months</v>
      </c>
      <c r="S246" t="str">
        <f t="shared" si="11"/>
        <v>$76-$100</v>
      </c>
    </row>
    <row r="247" spans="1:19" x14ac:dyDescent="0.35">
      <c r="A247" t="s">
        <v>311</v>
      </c>
      <c r="B247">
        <v>21</v>
      </c>
      <c r="C247" t="s">
        <v>55</v>
      </c>
      <c r="D247" t="s">
        <v>56</v>
      </c>
      <c r="E247" t="s">
        <v>56</v>
      </c>
      <c r="F247">
        <v>11</v>
      </c>
      <c r="G247" t="s">
        <v>55</v>
      </c>
      <c r="H247" t="s">
        <v>60</v>
      </c>
      <c r="I247" t="s">
        <v>29</v>
      </c>
      <c r="J247" t="s">
        <v>14</v>
      </c>
      <c r="K247" t="s">
        <v>56</v>
      </c>
      <c r="L247" t="s">
        <v>24</v>
      </c>
      <c r="M247">
        <v>73.63</v>
      </c>
      <c r="N247">
        <v>840.88</v>
      </c>
      <c r="O247" t="s">
        <v>58</v>
      </c>
      <c r="P247" t="s">
        <v>55</v>
      </c>
      <c r="Q247">
        <f t="shared" si="9"/>
        <v>0</v>
      </c>
      <c r="R247" t="str">
        <f t="shared" si="10"/>
        <v>0-12 months</v>
      </c>
      <c r="S247" t="str">
        <f t="shared" si="11"/>
        <v>$50-$75</v>
      </c>
    </row>
    <row r="248" spans="1:19" x14ac:dyDescent="0.35">
      <c r="A248" t="s">
        <v>312</v>
      </c>
      <c r="B248">
        <v>61</v>
      </c>
      <c r="C248" t="s">
        <v>56</v>
      </c>
      <c r="D248" t="s">
        <v>55</v>
      </c>
      <c r="E248" t="s">
        <v>56</v>
      </c>
      <c r="F248">
        <v>61</v>
      </c>
      <c r="G248" t="s">
        <v>55</v>
      </c>
      <c r="H248" t="s">
        <v>60</v>
      </c>
      <c r="I248" t="s">
        <v>30</v>
      </c>
      <c r="J248" t="s">
        <v>14</v>
      </c>
      <c r="K248" t="s">
        <v>56</v>
      </c>
      <c r="L248" t="s">
        <v>24</v>
      </c>
      <c r="M248">
        <v>115.02</v>
      </c>
      <c r="N248">
        <v>7269.18</v>
      </c>
      <c r="O248" t="s">
        <v>58</v>
      </c>
      <c r="P248" t="s">
        <v>55</v>
      </c>
      <c r="Q248">
        <f t="shared" si="9"/>
        <v>0</v>
      </c>
      <c r="R248" t="str">
        <f t="shared" si="10"/>
        <v>49+ months</v>
      </c>
      <c r="S248" t="str">
        <f t="shared" si="11"/>
        <v>&gt; $100</v>
      </c>
    </row>
    <row r="249" spans="1:19" x14ac:dyDescent="0.35">
      <c r="A249" t="s">
        <v>313</v>
      </c>
      <c r="B249">
        <v>27</v>
      </c>
      <c r="C249" t="s">
        <v>55</v>
      </c>
      <c r="D249" t="s">
        <v>56</v>
      </c>
      <c r="E249" t="s">
        <v>55</v>
      </c>
      <c r="F249">
        <v>23</v>
      </c>
      <c r="G249" t="s">
        <v>56</v>
      </c>
      <c r="H249" t="s">
        <v>55</v>
      </c>
      <c r="I249" t="s">
        <v>31</v>
      </c>
      <c r="J249" t="s">
        <v>14</v>
      </c>
      <c r="K249" t="s">
        <v>56</v>
      </c>
      <c r="L249" t="s">
        <v>26</v>
      </c>
      <c r="M249">
        <v>18.940000000000001</v>
      </c>
      <c r="N249">
        <v>445.19</v>
      </c>
      <c r="O249" t="s">
        <v>66</v>
      </c>
      <c r="P249" t="s">
        <v>55</v>
      </c>
      <c r="Q249">
        <f t="shared" si="9"/>
        <v>0</v>
      </c>
      <c r="R249" t="str">
        <f t="shared" si="10"/>
        <v>13-24 months</v>
      </c>
      <c r="S249" t="str">
        <f t="shared" si="11"/>
        <v>&lt; $50</v>
      </c>
    </row>
    <row r="250" spans="1:19" x14ac:dyDescent="0.35">
      <c r="A250" t="s">
        <v>314</v>
      </c>
      <c r="B250">
        <v>58</v>
      </c>
      <c r="C250" t="s">
        <v>55</v>
      </c>
      <c r="D250" t="s">
        <v>56</v>
      </c>
      <c r="E250" t="s">
        <v>55</v>
      </c>
      <c r="F250">
        <v>41</v>
      </c>
      <c r="G250" t="s">
        <v>56</v>
      </c>
      <c r="H250" t="s">
        <v>56</v>
      </c>
      <c r="I250" t="s">
        <v>31</v>
      </c>
      <c r="J250" t="s">
        <v>13</v>
      </c>
      <c r="K250" t="s">
        <v>55</v>
      </c>
      <c r="L250" t="s">
        <v>25</v>
      </c>
      <c r="M250">
        <v>24.24</v>
      </c>
      <c r="N250">
        <v>1043.5899999999999</v>
      </c>
      <c r="O250" t="s">
        <v>69</v>
      </c>
      <c r="P250" t="s">
        <v>56</v>
      </c>
      <c r="Q250">
        <f t="shared" si="9"/>
        <v>1</v>
      </c>
      <c r="R250" t="str">
        <f t="shared" si="10"/>
        <v>25-48 months</v>
      </c>
      <c r="S250" t="str">
        <f t="shared" si="11"/>
        <v>&lt; $50</v>
      </c>
    </row>
    <row r="251" spans="1:19" x14ac:dyDescent="0.35">
      <c r="A251" t="s">
        <v>315</v>
      </c>
      <c r="B251">
        <v>57</v>
      </c>
      <c r="C251" t="s">
        <v>55</v>
      </c>
      <c r="D251" t="s">
        <v>55</v>
      </c>
      <c r="E251" t="s">
        <v>56</v>
      </c>
      <c r="F251">
        <v>54</v>
      </c>
      <c r="G251" t="s">
        <v>56</v>
      </c>
      <c r="H251" t="s">
        <v>55</v>
      </c>
      <c r="I251" t="s">
        <v>30</v>
      </c>
      <c r="J251" t="s">
        <v>13</v>
      </c>
      <c r="K251" t="s">
        <v>56</v>
      </c>
      <c r="L251" t="s">
        <v>1066</v>
      </c>
      <c r="M251">
        <v>113.37</v>
      </c>
      <c r="N251">
        <v>6401.24</v>
      </c>
      <c r="O251" t="s">
        <v>76</v>
      </c>
      <c r="P251" t="s">
        <v>55</v>
      </c>
      <c r="Q251">
        <f t="shared" si="9"/>
        <v>0</v>
      </c>
      <c r="R251" t="str">
        <f t="shared" si="10"/>
        <v>49+ months</v>
      </c>
      <c r="S251" t="str">
        <f t="shared" si="11"/>
        <v>&gt; $100</v>
      </c>
    </row>
    <row r="252" spans="1:19" x14ac:dyDescent="0.35">
      <c r="A252" t="s">
        <v>316</v>
      </c>
      <c r="B252">
        <v>42</v>
      </c>
      <c r="C252" t="s">
        <v>55</v>
      </c>
      <c r="D252" t="s">
        <v>55</v>
      </c>
      <c r="E252" t="s">
        <v>55</v>
      </c>
      <c r="F252">
        <v>5</v>
      </c>
      <c r="G252" t="s">
        <v>55</v>
      </c>
      <c r="H252" t="s">
        <v>60</v>
      </c>
      <c r="I252" t="s">
        <v>30</v>
      </c>
      <c r="J252" t="s">
        <v>12</v>
      </c>
      <c r="K252" t="s">
        <v>55</v>
      </c>
      <c r="L252" t="s">
        <v>26</v>
      </c>
      <c r="M252">
        <v>114.48</v>
      </c>
      <c r="N252">
        <v>560.83000000000004</v>
      </c>
      <c r="O252" t="s">
        <v>69</v>
      </c>
      <c r="P252" t="s">
        <v>56</v>
      </c>
      <c r="Q252">
        <f t="shared" si="9"/>
        <v>1</v>
      </c>
      <c r="R252" t="str">
        <f t="shared" si="10"/>
        <v>0-12 months</v>
      </c>
      <c r="S252" t="str">
        <f t="shared" si="11"/>
        <v>&gt; $100</v>
      </c>
    </row>
    <row r="253" spans="1:19" x14ac:dyDescent="0.35">
      <c r="A253" t="s">
        <v>317</v>
      </c>
      <c r="B253">
        <v>48</v>
      </c>
      <c r="C253" t="s">
        <v>55</v>
      </c>
      <c r="D253" t="s">
        <v>55</v>
      </c>
      <c r="E253" t="s">
        <v>55</v>
      </c>
      <c r="F253">
        <v>3</v>
      </c>
      <c r="G253" t="s">
        <v>55</v>
      </c>
      <c r="H253" t="s">
        <v>60</v>
      </c>
      <c r="I253" t="s">
        <v>30</v>
      </c>
      <c r="J253" t="s">
        <v>12</v>
      </c>
      <c r="K253" t="s">
        <v>55</v>
      </c>
      <c r="L253" t="s">
        <v>25</v>
      </c>
      <c r="M253">
        <v>104.24</v>
      </c>
      <c r="N253">
        <v>330.45</v>
      </c>
      <c r="O253" t="s">
        <v>76</v>
      </c>
      <c r="P253" t="s">
        <v>56</v>
      </c>
      <c r="Q253">
        <f t="shared" si="9"/>
        <v>1</v>
      </c>
      <c r="R253" t="str">
        <f t="shared" si="10"/>
        <v>0-12 months</v>
      </c>
      <c r="S253" t="str">
        <f t="shared" si="11"/>
        <v>&gt; $100</v>
      </c>
    </row>
    <row r="254" spans="1:19" x14ac:dyDescent="0.35">
      <c r="A254" t="s">
        <v>318</v>
      </c>
      <c r="B254">
        <v>65</v>
      </c>
      <c r="C254" t="s">
        <v>56</v>
      </c>
      <c r="D254" t="s">
        <v>55</v>
      </c>
      <c r="E254" t="s">
        <v>55</v>
      </c>
      <c r="F254">
        <v>35</v>
      </c>
      <c r="G254" t="s">
        <v>56</v>
      </c>
      <c r="H254" t="s">
        <v>56</v>
      </c>
      <c r="I254" t="s">
        <v>29</v>
      </c>
      <c r="J254" t="s">
        <v>12</v>
      </c>
      <c r="K254" t="s">
        <v>55</v>
      </c>
      <c r="L254" t="s">
        <v>1066</v>
      </c>
      <c r="M254">
        <v>70.38</v>
      </c>
      <c r="N254">
        <v>2571.84</v>
      </c>
      <c r="O254" t="s">
        <v>58</v>
      </c>
      <c r="P254" t="s">
        <v>55</v>
      </c>
      <c r="Q254">
        <f t="shared" si="9"/>
        <v>0</v>
      </c>
      <c r="R254" t="str">
        <f t="shared" si="10"/>
        <v>25-48 months</v>
      </c>
      <c r="S254" t="str">
        <f t="shared" si="11"/>
        <v>$50-$75</v>
      </c>
    </row>
    <row r="255" spans="1:19" x14ac:dyDescent="0.35">
      <c r="A255" t="s">
        <v>319</v>
      </c>
      <c r="B255">
        <v>68</v>
      </c>
      <c r="C255" t="s">
        <v>56</v>
      </c>
      <c r="D255" t="s">
        <v>56</v>
      </c>
      <c r="E255" t="s">
        <v>56</v>
      </c>
      <c r="F255">
        <v>40</v>
      </c>
      <c r="G255" t="s">
        <v>55</v>
      </c>
      <c r="H255" t="s">
        <v>60</v>
      </c>
      <c r="I255" t="s">
        <v>29</v>
      </c>
      <c r="J255" t="s">
        <v>12</v>
      </c>
      <c r="K255" t="s">
        <v>56</v>
      </c>
      <c r="L255" t="s">
        <v>26</v>
      </c>
      <c r="M255">
        <v>75.010000000000005</v>
      </c>
      <c r="N255">
        <v>2892.65</v>
      </c>
      <c r="O255" t="s">
        <v>80</v>
      </c>
      <c r="P255" t="s">
        <v>56</v>
      </c>
      <c r="Q255">
        <f t="shared" si="9"/>
        <v>1</v>
      </c>
      <c r="R255" t="str">
        <f t="shared" si="10"/>
        <v>25-48 months</v>
      </c>
      <c r="S255" t="str">
        <f t="shared" si="11"/>
        <v>$76-$100</v>
      </c>
    </row>
    <row r="256" spans="1:19" x14ac:dyDescent="0.35">
      <c r="A256" t="s">
        <v>320</v>
      </c>
      <c r="B256">
        <v>47</v>
      </c>
      <c r="C256" t="s">
        <v>55</v>
      </c>
      <c r="D256" t="s">
        <v>56</v>
      </c>
      <c r="E256" t="s">
        <v>55</v>
      </c>
      <c r="F256">
        <v>26</v>
      </c>
      <c r="G256" t="s">
        <v>55</v>
      </c>
      <c r="H256" t="s">
        <v>60</v>
      </c>
      <c r="I256" t="s">
        <v>30</v>
      </c>
      <c r="J256" t="s">
        <v>12</v>
      </c>
      <c r="K256" t="s">
        <v>56</v>
      </c>
      <c r="L256" t="s">
        <v>1066</v>
      </c>
      <c r="M256">
        <v>82.1</v>
      </c>
      <c r="N256">
        <v>2131.73</v>
      </c>
      <c r="O256" t="s">
        <v>66</v>
      </c>
      <c r="P256" t="s">
        <v>55</v>
      </c>
      <c r="Q256">
        <f t="shared" si="9"/>
        <v>0</v>
      </c>
      <c r="R256" t="str">
        <f t="shared" si="10"/>
        <v>25-48 months</v>
      </c>
      <c r="S256" t="str">
        <f t="shared" si="11"/>
        <v>$76-$100</v>
      </c>
    </row>
    <row r="257" spans="1:19" x14ac:dyDescent="0.35">
      <c r="A257" t="s">
        <v>321</v>
      </c>
      <c r="B257">
        <v>48</v>
      </c>
      <c r="C257" t="s">
        <v>55</v>
      </c>
      <c r="D257" t="s">
        <v>55</v>
      </c>
      <c r="E257" t="s">
        <v>55</v>
      </c>
      <c r="F257">
        <v>21</v>
      </c>
      <c r="G257" t="s">
        <v>55</v>
      </c>
      <c r="H257" t="s">
        <v>60</v>
      </c>
      <c r="I257" t="s">
        <v>31</v>
      </c>
      <c r="J257" t="s">
        <v>13</v>
      </c>
      <c r="K257" t="s">
        <v>56</v>
      </c>
      <c r="L257" t="s">
        <v>26</v>
      </c>
      <c r="M257">
        <v>22.64</v>
      </c>
      <c r="N257">
        <v>456.21</v>
      </c>
      <c r="O257" t="s">
        <v>62</v>
      </c>
      <c r="P257" t="s">
        <v>55</v>
      </c>
      <c r="Q257">
        <f t="shared" si="9"/>
        <v>0</v>
      </c>
      <c r="R257" t="str">
        <f t="shared" si="10"/>
        <v>13-24 months</v>
      </c>
      <c r="S257" t="str">
        <f t="shared" si="11"/>
        <v>&lt; $50</v>
      </c>
    </row>
    <row r="258" spans="1:19" x14ac:dyDescent="0.35">
      <c r="A258" t="s">
        <v>322</v>
      </c>
      <c r="B258">
        <v>72</v>
      </c>
      <c r="C258" t="s">
        <v>56</v>
      </c>
      <c r="D258" t="s">
        <v>56</v>
      </c>
      <c r="E258" t="s">
        <v>56</v>
      </c>
      <c r="F258">
        <v>27</v>
      </c>
      <c r="G258" t="s">
        <v>55</v>
      </c>
      <c r="H258" t="s">
        <v>60</v>
      </c>
      <c r="I258" t="s">
        <v>30</v>
      </c>
      <c r="J258" t="s">
        <v>12</v>
      </c>
      <c r="K258" t="s">
        <v>56</v>
      </c>
      <c r="L258" t="s">
        <v>24</v>
      </c>
      <c r="M258">
        <v>76.62</v>
      </c>
      <c r="N258">
        <v>1987.61</v>
      </c>
      <c r="O258" t="s">
        <v>62</v>
      </c>
      <c r="P258" t="s">
        <v>55</v>
      </c>
      <c r="Q258">
        <f t="shared" si="9"/>
        <v>0</v>
      </c>
      <c r="R258" t="str">
        <f t="shared" si="10"/>
        <v>25-48 months</v>
      </c>
      <c r="S258" t="str">
        <f t="shared" si="11"/>
        <v>$76-$100</v>
      </c>
    </row>
    <row r="259" spans="1:19" x14ac:dyDescent="0.35">
      <c r="A259" t="s">
        <v>323</v>
      </c>
      <c r="B259">
        <v>34</v>
      </c>
      <c r="C259" t="s">
        <v>55</v>
      </c>
      <c r="D259" t="s">
        <v>55</v>
      </c>
      <c r="E259" t="s">
        <v>55</v>
      </c>
      <c r="F259">
        <v>55</v>
      </c>
      <c r="G259" t="s">
        <v>55</v>
      </c>
      <c r="H259" t="s">
        <v>60</v>
      </c>
      <c r="I259" t="s">
        <v>31</v>
      </c>
      <c r="J259" t="s">
        <v>12</v>
      </c>
      <c r="K259" t="s">
        <v>56</v>
      </c>
      <c r="L259" t="s">
        <v>24</v>
      </c>
      <c r="M259">
        <v>26.13</v>
      </c>
      <c r="N259">
        <v>1493.08</v>
      </c>
      <c r="O259" t="s">
        <v>80</v>
      </c>
      <c r="P259" t="s">
        <v>55</v>
      </c>
      <c r="Q259">
        <f t="shared" ref="Q259:Q322" si="12">IF(P259="Yes",1,0)</f>
        <v>0</v>
      </c>
      <c r="R259" t="str">
        <f t="shared" ref="R259:R322" si="13">IF(F259&lt;=12,"0-12 months",IF(F259&lt;=24,"13-24 months",IF(F259&lt;=48,"25-48 months","49+ months")))</f>
        <v>49+ months</v>
      </c>
      <c r="S259" t="str">
        <f t="shared" ref="S259:S322" si="14">IF(M259&lt;50,"&lt; $50",IF(M259&lt;=75,"$50-$75",IF(M259&lt;=100,"$76-$100","&gt; $100")))</f>
        <v>&lt; $50</v>
      </c>
    </row>
    <row r="260" spans="1:19" x14ac:dyDescent="0.35">
      <c r="A260" t="s">
        <v>324</v>
      </c>
      <c r="B260">
        <v>18</v>
      </c>
      <c r="C260" t="s">
        <v>55</v>
      </c>
      <c r="D260" t="s">
        <v>55</v>
      </c>
      <c r="E260" t="s">
        <v>55</v>
      </c>
      <c r="F260">
        <v>39</v>
      </c>
      <c r="G260" t="s">
        <v>55</v>
      </c>
      <c r="H260" t="s">
        <v>60</v>
      </c>
      <c r="I260" t="s">
        <v>29</v>
      </c>
      <c r="J260" t="s">
        <v>12</v>
      </c>
      <c r="K260" t="s">
        <v>55</v>
      </c>
      <c r="L260" t="s">
        <v>1066</v>
      </c>
      <c r="M260">
        <v>74.459999999999994</v>
      </c>
      <c r="N260">
        <v>2820.71</v>
      </c>
      <c r="O260" t="s">
        <v>69</v>
      </c>
      <c r="P260" t="s">
        <v>55</v>
      </c>
      <c r="Q260">
        <f t="shared" si="12"/>
        <v>0</v>
      </c>
      <c r="R260" t="str">
        <f t="shared" si="13"/>
        <v>25-48 months</v>
      </c>
      <c r="S260" t="str">
        <f t="shared" si="14"/>
        <v>$50-$75</v>
      </c>
    </row>
    <row r="261" spans="1:19" x14ac:dyDescent="0.35">
      <c r="A261" t="s">
        <v>325</v>
      </c>
      <c r="B261">
        <v>37</v>
      </c>
      <c r="C261" t="s">
        <v>55</v>
      </c>
      <c r="D261" t="s">
        <v>56</v>
      </c>
      <c r="E261" t="s">
        <v>56</v>
      </c>
      <c r="F261">
        <v>67</v>
      </c>
      <c r="G261" t="s">
        <v>56</v>
      </c>
      <c r="H261" t="s">
        <v>55</v>
      </c>
      <c r="I261" t="s">
        <v>29</v>
      </c>
      <c r="J261" t="s">
        <v>14</v>
      </c>
      <c r="K261" t="s">
        <v>55</v>
      </c>
      <c r="L261" t="s">
        <v>1066</v>
      </c>
      <c r="M261">
        <v>67.23</v>
      </c>
      <c r="N261">
        <v>4624.0200000000004</v>
      </c>
      <c r="O261" t="s">
        <v>76</v>
      </c>
      <c r="P261" t="s">
        <v>55</v>
      </c>
      <c r="Q261">
        <f t="shared" si="12"/>
        <v>0</v>
      </c>
      <c r="R261" t="str">
        <f t="shared" si="13"/>
        <v>49+ months</v>
      </c>
      <c r="S261" t="str">
        <f t="shared" si="14"/>
        <v>$50-$75</v>
      </c>
    </row>
    <row r="262" spans="1:19" x14ac:dyDescent="0.35">
      <c r="A262" t="s">
        <v>326</v>
      </c>
      <c r="B262">
        <v>34</v>
      </c>
      <c r="C262" t="s">
        <v>55</v>
      </c>
      <c r="D262" t="s">
        <v>55</v>
      </c>
      <c r="E262" t="s">
        <v>55</v>
      </c>
      <c r="F262">
        <v>50</v>
      </c>
      <c r="G262" t="s">
        <v>56</v>
      </c>
      <c r="H262" t="s">
        <v>56</v>
      </c>
      <c r="I262" t="s">
        <v>29</v>
      </c>
      <c r="J262" t="s">
        <v>13</v>
      </c>
      <c r="K262" t="s">
        <v>55</v>
      </c>
      <c r="L262" t="s">
        <v>25</v>
      </c>
      <c r="M262">
        <v>66.87</v>
      </c>
      <c r="N262">
        <v>3346.43</v>
      </c>
      <c r="O262" t="s">
        <v>66</v>
      </c>
      <c r="P262" t="s">
        <v>55</v>
      </c>
      <c r="Q262">
        <f t="shared" si="12"/>
        <v>0</v>
      </c>
      <c r="R262" t="str">
        <f t="shared" si="13"/>
        <v>49+ months</v>
      </c>
      <c r="S262" t="str">
        <f t="shared" si="14"/>
        <v>$50-$75</v>
      </c>
    </row>
    <row r="263" spans="1:19" x14ac:dyDescent="0.35">
      <c r="A263" t="s">
        <v>327</v>
      </c>
      <c r="B263">
        <v>60</v>
      </c>
      <c r="C263" t="s">
        <v>56</v>
      </c>
      <c r="D263" t="s">
        <v>56</v>
      </c>
      <c r="E263" t="s">
        <v>55</v>
      </c>
      <c r="F263">
        <v>13</v>
      </c>
      <c r="G263" t="s">
        <v>55</v>
      </c>
      <c r="H263" t="s">
        <v>60</v>
      </c>
      <c r="I263" t="s">
        <v>29</v>
      </c>
      <c r="J263" t="s">
        <v>13</v>
      </c>
      <c r="K263" t="s">
        <v>56</v>
      </c>
      <c r="L263" t="s">
        <v>25</v>
      </c>
      <c r="M263">
        <v>75.98</v>
      </c>
      <c r="N263">
        <v>1006.04</v>
      </c>
      <c r="O263" t="s">
        <v>62</v>
      </c>
      <c r="P263" t="s">
        <v>55</v>
      </c>
      <c r="Q263">
        <f t="shared" si="12"/>
        <v>0</v>
      </c>
      <c r="R263" t="str">
        <f t="shared" si="13"/>
        <v>13-24 months</v>
      </c>
      <c r="S263" t="str">
        <f t="shared" si="14"/>
        <v>$76-$100</v>
      </c>
    </row>
    <row r="264" spans="1:19" x14ac:dyDescent="0.35">
      <c r="A264" t="s">
        <v>328</v>
      </c>
      <c r="B264">
        <v>65</v>
      </c>
      <c r="C264" t="s">
        <v>56</v>
      </c>
      <c r="D264" t="s">
        <v>55</v>
      </c>
      <c r="E264" t="s">
        <v>55</v>
      </c>
      <c r="F264">
        <v>43</v>
      </c>
      <c r="G264" t="s">
        <v>55</v>
      </c>
      <c r="H264" t="s">
        <v>60</v>
      </c>
      <c r="I264" t="s">
        <v>30</v>
      </c>
      <c r="J264" t="s">
        <v>12</v>
      </c>
      <c r="K264" t="s">
        <v>56</v>
      </c>
      <c r="L264" t="s">
        <v>24</v>
      </c>
      <c r="M264">
        <v>113.32</v>
      </c>
      <c r="N264">
        <v>4921.63</v>
      </c>
      <c r="O264" t="s">
        <v>80</v>
      </c>
      <c r="P264" t="s">
        <v>55</v>
      </c>
      <c r="Q264">
        <f t="shared" si="12"/>
        <v>0</v>
      </c>
      <c r="R264" t="str">
        <f t="shared" si="13"/>
        <v>25-48 months</v>
      </c>
      <c r="S264" t="str">
        <f t="shared" si="14"/>
        <v>&gt; $100</v>
      </c>
    </row>
    <row r="265" spans="1:19" x14ac:dyDescent="0.35">
      <c r="A265" t="s">
        <v>329</v>
      </c>
      <c r="B265">
        <v>48</v>
      </c>
      <c r="C265" t="s">
        <v>55</v>
      </c>
      <c r="D265" t="s">
        <v>56</v>
      </c>
      <c r="E265" t="s">
        <v>56</v>
      </c>
      <c r="F265">
        <v>49</v>
      </c>
      <c r="G265" t="s">
        <v>55</v>
      </c>
      <c r="H265" t="s">
        <v>60</v>
      </c>
      <c r="I265" t="s">
        <v>29</v>
      </c>
      <c r="J265" t="s">
        <v>12</v>
      </c>
      <c r="K265" t="s">
        <v>56</v>
      </c>
      <c r="L265" t="s">
        <v>26</v>
      </c>
      <c r="M265">
        <v>48.01</v>
      </c>
      <c r="N265">
        <v>2326.85</v>
      </c>
      <c r="O265" t="s">
        <v>64</v>
      </c>
      <c r="P265" t="s">
        <v>55</v>
      </c>
      <c r="Q265">
        <f t="shared" si="12"/>
        <v>0</v>
      </c>
      <c r="R265" t="str">
        <f t="shared" si="13"/>
        <v>49+ months</v>
      </c>
      <c r="S265" t="str">
        <f t="shared" si="14"/>
        <v>&lt; $50</v>
      </c>
    </row>
    <row r="266" spans="1:19" x14ac:dyDescent="0.35">
      <c r="A266" t="s">
        <v>330</v>
      </c>
      <c r="B266">
        <v>27</v>
      </c>
      <c r="C266" t="s">
        <v>55</v>
      </c>
      <c r="D266" t="s">
        <v>55</v>
      </c>
      <c r="E266" t="s">
        <v>56</v>
      </c>
      <c r="F266">
        <v>11</v>
      </c>
      <c r="G266" t="s">
        <v>56</v>
      </c>
      <c r="H266" t="s">
        <v>56</v>
      </c>
      <c r="I266" t="s">
        <v>29</v>
      </c>
      <c r="J266" t="s">
        <v>12</v>
      </c>
      <c r="K266" t="s">
        <v>55</v>
      </c>
      <c r="L266" t="s">
        <v>26</v>
      </c>
      <c r="M266">
        <v>70.45</v>
      </c>
      <c r="N266">
        <v>744.13</v>
      </c>
      <c r="O266" t="s">
        <v>64</v>
      </c>
      <c r="P266" t="s">
        <v>55</v>
      </c>
      <c r="Q266">
        <f t="shared" si="12"/>
        <v>0</v>
      </c>
      <c r="R266" t="str">
        <f t="shared" si="13"/>
        <v>0-12 months</v>
      </c>
      <c r="S266" t="str">
        <f t="shared" si="14"/>
        <v>$50-$75</v>
      </c>
    </row>
    <row r="267" spans="1:19" x14ac:dyDescent="0.35">
      <c r="A267" t="s">
        <v>331</v>
      </c>
      <c r="B267">
        <v>68</v>
      </c>
      <c r="C267" t="s">
        <v>56</v>
      </c>
      <c r="D267" t="s">
        <v>56</v>
      </c>
      <c r="E267" t="s">
        <v>56</v>
      </c>
      <c r="F267">
        <v>56</v>
      </c>
      <c r="G267" t="s">
        <v>55</v>
      </c>
      <c r="H267" t="s">
        <v>60</v>
      </c>
      <c r="I267" t="s">
        <v>29</v>
      </c>
      <c r="J267" t="s">
        <v>12</v>
      </c>
      <c r="K267" t="s">
        <v>55</v>
      </c>
      <c r="L267" t="s">
        <v>24</v>
      </c>
      <c r="M267">
        <v>41.51</v>
      </c>
      <c r="N267">
        <v>2240.71</v>
      </c>
      <c r="O267" t="s">
        <v>80</v>
      </c>
      <c r="P267" t="s">
        <v>55</v>
      </c>
      <c r="Q267">
        <f t="shared" si="12"/>
        <v>0</v>
      </c>
      <c r="R267" t="str">
        <f t="shared" si="13"/>
        <v>49+ months</v>
      </c>
      <c r="S267" t="str">
        <f t="shared" si="14"/>
        <v>&lt; $50</v>
      </c>
    </row>
    <row r="268" spans="1:19" x14ac:dyDescent="0.35">
      <c r="A268" t="s">
        <v>332</v>
      </c>
      <c r="B268">
        <v>75</v>
      </c>
      <c r="C268" t="s">
        <v>56</v>
      </c>
      <c r="D268" t="s">
        <v>55</v>
      </c>
      <c r="E268" t="s">
        <v>56</v>
      </c>
      <c r="F268">
        <v>3</v>
      </c>
      <c r="G268" t="s">
        <v>56</v>
      </c>
      <c r="H268" t="s">
        <v>56</v>
      </c>
      <c r="I268" t="s">
        <v>29</v>
      </c>
      <c r="J268" t="s">
        <v>14</v>
      </c>
      <c r="K268" t="s">
        <v>55</v>
      </c>
      <c r="L268" t="s">
        <v>26</v>
      </c>
      <c r="M268">
        <v>55.34</v>
      </c>
      <c r="N268">
        <v>167.79</v>
      </c>
      <c r="O268" t="s">
        <v>66</v>
      </c>
      <c r="P268" t="s">
        <v>56</v>
      </c>
      <c r="Q268">
        <f t="shared" si="12"/>
        <v>1</v>
      </c>
      <c r="R268" t="str">
        <f t="shared" si="13"/>
        <v>0-12 months</v>
      </c>
      <c r="S268" t="str">
        <f t="shared" si="14"/>
        <v>$50-$75</v>
      </c>
    </row>
    <row r="269" spans="1:19" x14ac:dyDescent="0.35">
      <c r="A269" t="s">
        <v>333</v>
      </c>
      <c r="B269">
        <v>20</v>
      </c>
      <c r="C269" t="s">
        <v>55</v>
      </c>
      <c r="D269" t="s">
        <v>55</v>
      </c>
      <c r="E269" t="s">
        <v>55</v>
      </c>
      <c r="F269">
        <v>59</v>
      </c>
      <c r="G269" t="s">
        <v>55</v>
      </c>
      <c r="H269" t="s">
        <v>60</v>
      </c>
      <c r="I269" t="s">
        <v>29</v>
      </c>
      <c r="J269" t="s">
        <v>12</v>
      </c>
      <c r="K269" t="s">
        <v>56</v>
      </c>
      <c r="L269" t="s">
        <v>26</v>
      </c>
      <c r="M269">
        <v>76.06</v>
      </c>
      <c r="N269">
        <v>4411.75</v>
      </c>
      <c r="O269" t="s">
        <v>66</v>
      </c>
      <c r="P269" t="s">
        <v>56</v>
      </c>
      <c r="Q269">
        <f t="shared" si="12"/>
        <v>1</v>
      </c>
      <c r="R269" t="str">
        <f t="shared" si="13"/>
        <v>49+ months</v>
      </c>
      <c r="S269" t="str">
        <f t="shared" si="14"/>
        <v>$76-$100</v>
      </c>
    </row>
    <row r="270" spans="1:19" x14ac:dyDescent="0.35">
      <c r="A270" t="s">
        <v>334</v>
      </c>
      <c r="B270">
        <v>43</v>
      </c>
      <c r="C270" t="s">
        <v>55</v>
      </c>
      <c r="D270" t="s">
        <v>56</v>
      </c>
      <c r="E270" t="s">
        <v>56</v>
      </c>
      <c r="F270">
        <v>29</v>
      </c>
      <c r="G270" t="s">
        <v>56</v>
      </c>
      <c r="H270" t="s">
        <v>56</v>
      </c>
      <c r="I270" t="s">
        <v>29</v>
      </c>
      <c r="J270" t="s">
        <v>12</v>
      </c>
      <c r="K270" t="s">
        <v>56</v>
      </c>
      <c r="L270" t="s">
        <v>26</v>
      </c>
      <c r="M270">
        <v>68.44</v>
      </c>
      <c r="N270">
        <v>2054.34</v>
      </c>
      <c r="O270" t="s">
        <v>69</v>
      </c>
      <c r="P270" t="s">
        <v>55</v>
      </c>
      <c r="Q270">
        <f t="shared" si="12"/>
        <v>0</v>
      </c>
      <c r="R270" t="str">
        <f t="shared" si="13"/>
        <v>25-48 months</v>
      </c>
      <c r="S270" t="str">
        <f t="shared" si="14"/>
        <v>$50-$75</v>
      </c>
    </row>
    <row r="271" spans="1:19" x14ac:dyDescent="0.35">
      <c r="A271" t="s">
        <v>335</v>
      </c>
      <c r="B271">
        <v>34</v>
      </c>
      <c r="C271" t="s">
        <v>55</v>
      </c>
      <c r="D271" t="s">
        <v>56</v>
      </c>
      <c r="E271" t="s">
        <v>56</v>
      </c>
      <c r="F271">
        <v>14</v>
      </c>
      <c r="G271" t="s">
        <v>56</v>
      </c>
      <c r="H271" t="s">
        <v>56</v>
      </c>
      <c r="I271" t="s">
        <v>29</v>
      </c>
      <c r="J271" t="s">
        <v>12</v>
      </c>
      <c r="K271" t="s">
        <v>55</v>
      </c>
      <c r="L271" t="s">
        <v>24</v>
      </c>
      <c r="M271">
        <v>61.89</v>
      </c>
      <c r="N271">
        <v>863.8</v>
      </c>
      <c r="O271" t="s">
        <v>69</v>
      </c>
      <c r="P271" t="s">
        <v>56</v>
      </c>
      <c r="Q271">
        <f t="shared" si="12"/>
        <v>1</v>
      </c>
      <c r="R271" t="str">
        <f t="shared" si="13"/>
        <v>13-24 months</v>
      </c>
      <c r="S271" t="str">
        <f t="shared" si="14"/>
        <v>$50-$75</v>
      </c>
    </row>
    <row r="272" spans="1:19" x14ac:dyDescent="0.35">
      <c r="A272" t="s">
        <v>336</v>
      </c>
      <c r="B272">
        <v>61</v>
      </c>
      <c r="C272" t="s">
        <v>56</v>
      </c>
      <c r="D272" t="s">
        <v>56</v>
      </c>
      <c r="E272" t="s">
        <v>55</v>
      </c>
      <c r="F272">
        <v>54</v>
      </c>
      <c r="G272" t="s">
        <v>55</v>
      </c>
      <c r="H272" t="s">
        <v>60</v>
      </c>
      <c r="I272" t="s">
        <v>29</v>
      </c>
      <c r="J272" t="s">
        <v>13</v>
      </c>
      <c r="K272" t="s">
        <v>56</v>
      </c>
      <c r="L272" t="s">
        <v>24</v>
      </c>
      <c r="M272">
        <v>75.94</v>
      </c>
      <c r="N272">
        <v>4106.46</v>
      </c>
      <c r="O272" t="s">
        <v>76</v>
      </c>
      <c r="P272" t="s">
        <v>55</v>
      </c>
      <c r="Q272">
        <f t="shared" si="12"/>
        <v>0</v>
      </c>
      <c r="R272" t="str">
        <f t="shared" si="13"/>
        <v>49+ months</v>
      </c>
      <c r="S272" t="str">
        <f t="shared" si="14"/>
        <v>$76-$100</v>
      </c>
    </row>
    <row r="273" spans="1:19" x14ac:dyDescent="0.35">
      <c r="A273" t="s">
        <v>337</v>
      </c>
      <c r="B273">
        <v>25</v>
      </c>
      <c r="C273" t="s">
        <v>55</v>
      </c>
      <c r="D273" t="s">
        <v>56</v>
      </c>
      <c r="E273" t="s">
        <v>55</v>
      </c>
      <c r="F273">
        <v>26</v>
      </c>
      <c r="G273" t="s">
        <v>55</v>
      </c>
      <c r="H273" t="s">
        <v>60</v>
      </c>
      <c r="I273" t="s">
        <v>29</v>
      </c>
      <c r="J273" t="s">
        <v>14</v>
      </c>
      <c r="K273" t="s">
        <v>56</v>
      </c>
      <c r="L273" t="s">
        <v>24</v>
      </c>
      <c r="M273">
        <v>56.39</v>
      </c>
      <c r="N273">
        <v>1406.39</v>
      </c>
      <c r="O273" t="s">
        <v>62</v>
      </c>
      <c r="P273" t="s">
        <v>55</v>
      </c>
      <c r="Q273">
        <f t="shared" si="12"/>
        <v>0</v>
      </c>
      <c r="R273" t="str">
        <f t="shared" si="13"/>
        <v>25-48 months</v>
      </c>
      <c r="S273" t="str">
        <f t="shared" si="14"/>
        <v>$50-$75</v>
      </c>
    </row>
    <row r="274" spans="1:19" x14ac:dyDescent="0.35">
      <c r="A274" t="s">
        <v>338</v>
      </c>
      <c r="B274">
        <v>62</v>
      </c>
      <c r="C274" t="s">
        <v>56</v>
      </c>
      <c r="D274" t="s">
        <v>55</v>
      </c>
      <c r="E274" t="s">
        <v>55</v>
      </c>
      <c r="F274">
        <v>31</v>
      </c>
      <c r="G274" t="s">
        <v>56</v>
      </c>
      <c r="H274" t="s">
        <v>55</v>
      </c>
      <c r="I274" t="s">
        <v>30</v>
      </c>
      <c r="J274" t="s">
        <v>14</v>
      </c>
      <c r="K274" t="s">
        <v>55</v>
      </c>
      <c r="L274" t="s">
        <v>26</v>
      </c>
      <c r="M274">
        <v>74.5</v>
      </c>
      <c r="N274">
        <v>2312.7399999999998</v>
      </c>
      <c r="O274" t="s">
        <v>80</v>
      </c>
      <c r="P274" t="s">
        <v>55</v>
      </c>
      <c r="Q274">
        <f t="shared" si="12"/>
        <v>0</v>
      </c>
      <c r="R274" t="str">
        <f t="shared" si="13"/>
        <v>25-48 months</v>
      </c>
      <c r="S274" t="str">
        <f t="shared" si="14"/>
        <v>$50-$75</v>
      </c>
    </row>
    <row r="275" spans="1:19" x14ac:dyDescent="0.35">
      <c r="A275" t="s">
        <v>339</v>
      </c>
      <c r="B275">
        <v>75</v>
      </c>
      <c r="C275" t="s">
        <v>56</v>
      </c>
      <c r="D275" t="s">
        <v>55</v>
      </c>
      <c r="E275" t="s">
        <v>56</v>
      </c>
      <c r="F275">
        <v>59</v>
      </c>
      <c r="G275" t="s">
        <v>55</v>
      </c>
      <c r="H275" t="s">
        <v>60</v>
      </c>
      <c r="I275" t="s">
        <v>31</v>
      </c>
      <c r="J275" t="s">
        <v>12</v>
      </c>
      <c r="K275" t="s">
        <v>56</v>
      </c>
      <c r="L275" t="s">
        <v>26</v>
      </c>
      <c r="M275">
        <v>20.100000000000001</v>
      </c>
      <c r="N275">
        <v>1120.3599999999999</v>
      </c>
      <c r="O275" t="s">
        <v>66</v>
      </c>
      <c r="P275" t="s">
        <v>56</v>
      </c>
      <c r="Q275">
        <f t="shared" si="12"/>
        <v>1</v>
      </c>
      <c r="R275" t="str">
        <f t="shared" si="13"/>
        <v>49+ months</v>
      </c>
      <c r="S275" t="str">
        <f t="shared" si="14"/>
        <v>&lt; $50</v>
      </c>
    </row>
    <row r="276" spans="1:19" x14ac:dyDescent="0.35">
      <c r="A276" t="s">
        <v>340</v>
      </c>
      <c r="B276">
        <v>61</v>
      </c>
      <c r="C276" t="s">
        <v>56</v>
      </c>
      <c r="D276" t="s">
        <v>55</v>
      </c>
      <c r="E276" t="s">
        <v>55</v>
      </c>
      <c r="F276">
        <v>15</v>
      </c>
      <c r="G276" t="s">
        <v>56</v>
      </c>
      <c r="H276" t="s">
        <v>56</v>
      </c>
      <c r="I276" t="s">
        <v>30</v>
      </c>
      <c r="J276" t="s">
        <v>12</v>
      </c>
      <c r="K276" t="s">
        <v>56</v>
      </c>
      <c r="L276" t="s">
        <v>26</v>
      </c>
      <c r="M276">
        <v>114.73</v>
      </c>
      <c r="N276">
        <v>1814.93</v>
      </c>
      <c r="O276" t="s">
        <v>69</v>
      </c>
      <c r="P276" t="s">
        <v>56</v>
      </c>
      <c r="Q276">
        <f t="shared" si="12"/>
        <v>1</v>
      </c>
      <c r="R276" t="str">
        <f t="shared" si="13"/>
        <v>13-24 months</v>
      </c>
      <c r="S276" t="str">
        <f t="shared" si="14"/>
        <v>&gt; $100</v>
      </c>
    </row>
    <row r="277" spans="1:19" x14ac:dyDescent="0.35">
      <c r="A277" t="s">
        <v>341</v>
      </c>
      <c r="B277">
        <v>23</v>
      </c>
      <c r="C277" t="s">
        <v>55</v>
      </c>
      <c r="D277" t="s">
        <v>55</v>
      </c>
      <c r="E277" t="s">
        <v>55</v>
      </c>
      <c r="F277">
        <v>24</v>
      </c>
      <c r="G277" t="s">
        <v>55</v>
      </c>
      <c r="H277" t="s">
        <v>60</v>
      </c>
      <c r="I277" t="s">
        <v>30</v>
      </c>
      <c r="J277" t="s">
        <v>14</v>
      </c>
      <c r="K277" t="s">
        <v>55</v>
      </c>
      <c r="L277" t="s">
        <v>1066</v>
      </c>
      <c r="M277">
        <v>104.5</v>
      </c>
      <c r="N277">
        <v>2501.4499999999998</v>
      </c>
      <c r="O277" t="s">
        <v>66</v>
      </c>
      <c r="P277" t="s">
        <v>55</v>
      </c>
      <c r="Q277">
        <f t="shared" si="12"/>
        <v>0</v>
      </c>
      <c r="R277" t="str">
        <f t="shared" si="13"/>
        <v>13-24 months</v>
      </c>
      <c r="S277" t="str">
        <f t="shared" si="14"/>
        <v>&gt; $100</v>
      </c>
    </row>
    <row r="278" spans="1:19" x14ac:dyDescent="0.35">
      <c r="A278" t="s">
        <v>342</v>
      </c>
      <c r="B278">
        <v>28</v>
      </c>
      <c r="C278" t="s">
        <v>55</v>
      </c>
      <c r="D278" t="s">
        <v>56</v>
      </c>
      <c r="E278" t="s">
        <v>56</v>
      </c>
      <c r="F278">
        <v>8</v>
      </c>
      <c r="G278" t="s">
        <v>56</v>
      </c>
      <c r="H278" t="s">
        <v>56</v>
      </c>
      <c r="I278" t="s">
        <v>31</v>
      </c>
      <c r="J278" t="s">
        <v>14</v>
      </c>
      <c r="K278" t="s">
        <v>55</v>
      </c>
      <c r="L278" t="s">
        <v>1066</v>
      </c>
      <c r="M278">
        <v>26.14</v>
      </c>
      <c r="N278">
        <v>201.12</v>
      </c>
      <c r="O278" t="s">
        <v>76</v>
      </c>
      <c r="P278" t="s">
        <v>55</v>
      </c>
      <c r="Q278">
        <f t="shared" si="12"/>
        <v>0</v>
      </c>
      <c r="R278" t="str">
        <f t="shared" si="13"/>
        <v>0-12 months</v>
      </c>
      <c r="S278" t="str">
        <f t="shared" si="14"/>
        <v>&lt; $50</v>
      </c>
    </row>
    <row r="279" spans="1:19" x14ac:dyDescent="0.35">
      <c r="A279" t="s">
        <v>343</v>
      </c>
      <c r="B279">
        <v>57</v>
      </c>
      <c r="C279" t="s">
        <v>55</v>
      </c>
      <c r="D279" t="s">
        <v>56</v>
      </c>
      <c r="E279" t="s">
        <v>56</v>
      </c>
      <c r="F279">
        <v>62</v>
      </c>
      <c r="G279" t="s">
        <v>56</v>
      </c>
      <c r="H279" t="s">
        <v>55</v>
      </c>
      <c r="I279" t="s">
        <v>31</v>
      </c>
      <c r="J279" t="s">
        <v>12</v>
      </c>
      <c r="K279" t="s">
        <v>56</v>
      </c>
      <c r="L279" t="s">
        <v>26</v>
      </c>
      <c r="M279">
        <v>21.77</v>
      </c>
      <c r="N279">
        <v>1382.87</v>
      </c>
      <c r="O279" t="s">
        <v>66</v>
      </c>
      <c r="P279" t="s">
        <v>55</v>
      </c>
      <c r="Q279">
        <f t="shared" si="12"/>
        <v>0</v>
      </c>
      <c r="R279" t="str">
        <f t="shared" si="13"/>
        <v>49+ months</v>
      </c>
      <c r="S279" t="str">
        <f t="shared" si="14"/>
        <v>&lt; $50</v>
      </c>
    </row>
    <row r="280" spans="1:19" x14ac:dyDescent="0.35">
      <c r="A280" t="s">
        <v>344</v>
      </c>
      <c r="B280">
        <v>65</v>
      </c>
      <c r="C280" t="s">
        <v>56</v>
      </c>
      <c r="D280" t="s">
        <v>56</v>
      </c>
      <c r="E280" t="s">
        <v>55</v>
      </c>
      <c r="F280">
        <v>67</v>
      </c>
      <c r="G280" t="s">
        <v>56</v>
      </c>
      <c r="H280" t="s">
        <v>55</v>
      </c>
      <c r="I280" t="s">
        <v>29</v>
      </c>
      <c r="J280" t="s">
        <v>13</v>
      </c>
      <c r="K280" t="s">
        <v>55</v>
      </c>
      <c r="L280" t="s">
        <v>26</v>
      </c>
      <c r="M280">
        <v>67.05</v>
      </c>
      <c r="N280">
        <v>4430.29</v>
      </c>
      <c r="O280" t="s">
        <v>58</v>
      </c>
      <c r="P280" t="s">
        <v>55</v>
      </c>
      <c r="Q280">
        <f t="shared" si="12"/>
        <v>0</v>
      </c>
      <c r="R280" t="str">
        <f t="shared" si="13"/>
        <v>49+ months</v>
      </c>
      <c r="S280" t="str">
        <f t="shared" si="14"/>
        <v>$50-$75</v>
      </c>
    </row>
    <row r="281" spans="1:19" x14ac:dyDescent="0.35">
      <c r="A281" t="s">
        <v>345</v>
      </c>
      <c r="B281">
        <v>75</v>
      </c>
      <c r="C281" t="s">
        <v>56</v>
      </c>
      <c r="D281" t="s">
        <v>56</v>
      </c>
      <c r="E281" t="s">
        <v>56</v>
      </c>
      <c r="F281">
        <v>21</v>
      </c>
      <c r="G281" t="s">
        <v>55</v>
      </c>
      <c r="H281" t="s">
        <v>60</v>
      </c>
      <c r="I281" t="s">
        <v>29</v>
      </c>
      <c r="J281" t="s">
        <v>14</v>
      </c>
      <c r="K281" t="s">
        <v>56</v>
      </c>
      <c r="L281" t="s">
        <v>26</v>
      </c>
      <c r="M281">
        <v>59.67</v>
      </c>
      <c r="N281">
        <v>1214.1099999999999</v>
      </c>
      <c r="O281" t="s">
        <v>80</v>
      </c>
      <c r="P281" t="s">
        <v>55</v>
      </c>
      <c r="Q281">
        <f t="shared" si="12"/>
        <v>0</v>
      </c>
      <c r="R281" t="str">
        <f t="shared" si="13"/>
        <v>13-24 months</v>
      </c>
      <c r="S281" t="str">
        <f t="shared" si="14"/>
        <v>$50-$75</v>
      </c>
    </row>
    <row r="282" spans="1:19" x14ac:dyDescent="0.35">
      <c r="A282" t="s">
        <v>346</v>
      </c>
      <c r="B282">
        <v>50</v>
      </c>
      <c r="C282" t="s">
        <v>55</v>
      </c>
      <c r="D282" t="s">
        <v>56</v>
      </c>
      <c r="E282" t="s">
        <v>55</v>
      </c>
      <c r="F282">
        <v>52</v>
      </c>
      <c r="G282" t="s">
        <v>56</v>
      </c>
      <c r="H282" t="s">
        <v>55</v>
      </c>
      <c r="I282" t="s">
        <v>31</v>
      </c>
      <c r="J282" t="s">
        <v>14</v>
      </c>
      <c r="K282" t="s">
        <v>55</v>
      </c>
      <c r="L282" t="s">
        <v>26</v>
      </c>
      <c r="M282">
        <v>23.98</v>
      </c>
      <c r="N282">
        <v>1219.44</v>
      </c>
      <c r="O282" t="s">
        <v>69</v>
      </c>
      <c r="P282" t="s">
        <v>55</v>
      </c>
      <c r="Q282">
        <f t="shared" si="12"/>
        <v>0</v>
      </c>
      <c r="R282" t="str">
        <f t="shared" si="13"/>
        <v>49+ months</v>
      </c>
      <c r="S282" t="str">
        <f t="shared" si="14"/>
        <v>&lt; $50</v>
      </c>
    </row>
    <row r="283" spans="1:19" x14ac:dyDescent="0.35">
      <c r="A283" t="s">
        <v>347</v>
      </c>
      <c r="B283">
        <v>59</v>
      </c>
      <c r="C283" t="s">
        <v>55</v>
      </c>
      <c r="D283" t="s">
        <v>56</v>
      </c>
      <c r="E283" t="s">
        <v>56</v>
      </c>
      <c r="F283">
        <v>52</v>
      </c>
      <c r="G283" t="s">
        <v>56</v>
      </c>
      <c r="H283" t="s">
        <v>55</v>
      </c>
      <c r="I283" t="s">
        <v>30</v>
      </c>
      <c r="J283" t="s">
        <v>13</v>
      </c>
      <c r="K283" t="s">
        <v>55</v>
      </c>
      <c r="L283" t="s">
        <v>25</v>
      </c>
      <c r="M283">
        <v>98.12</v>
      </c>
      <c r="N283">
        <v>5196.8900000000003</v>
      </c>
      <c r="O283" t="s">
        <v>76</v>
      </c>
      <c r="P283" t="s">
        <v>55</v>
      </c>
      <c r="Q283">
        <f t="shared" si="12"/>
        <v>0</v>
      </c>
      <c r="R283" t="str">
        <f t="shared" si="13"/>
        <v>49+ months</v>
      </c>
      <c r="S283" t="str">
        <f t="shared" si="14"/>
        <v>$76-$100</v>
      </c>
    </row>
    <row r="284" spans="1:19" x14ac:dyDescent="0.35">
      <c r="A284" t="s">
        <v>348</v>
      </c>
      <c r="B284">
        <v>41</v>
      </c>
      <c r="C284" t="s">
        <v>55</v>
      </c>
      <c r="D284" t="s">
        <v>56</v>
      </c>
      <c r="E284" t="s">
        <v>56</v>
      </c>
      <c r="F284">
        <v>59</v>
      </c>
      <c r="G284" t="s">
        <v>55</v>
      </c>
      <c r="H284" t="s">
        <v>60</v>
      </c>
      <c r="I284" t="s">
        <v>30</v>
      </c>
      <c r="J284" t="s">
        <v>13</v>
      </c>
      <c r="K284" t="s">
        <v>55</v>
      </c>
      <c r="L284" t="s">
        <v>1066</v>
      </c>
      <c r="M284">
        <v>75.7</v>
      </c>
      <c r="N284">
        <v>4605.28</v>
      </c>
      <c r="O284" t="s">
        <v>76</v>
      </c>
      <c r="P284" t="s">
        <v>55</v>
      </c>
      <c r="Q284">
        <f t="shared" si="12"/>
        <v>0</v>
      </c>
      <c r="R284" t="str">
        <f t="shared" si="13"/>
        <v>49+ months</v>
      </c>
      <c r="S284" t="str">
        <f t="shared" si="14"/>
        <v>$76-$100</v>
      </c>
    </row>
    <row r="285" spans="1:19" x14ac:dyDescent="0.35">
      <c r="A285" t="s">
        <v>349</v>
      </c>
      <c r="B285">
        <v>40</v>
      </c>
      <c r="C285" t="s">
        <v>55</v>
      </c>
      <c r="D285" t="s">
        <v>55</v>
      </c>
      <c r="E285" t="s">
        <v>55</v>
      </c>
      <c r="F285">
        <v>14</v>
      </c>
      <c r="G285" t="s">
        <v>56</v>
      </c>
      <c r="H285" t="s">
        <v>55</v>
      </c>
      <c r="I285" t="s">
        <v>30</v>
      </c>
      <c r="J285" t="s">
        <v>14</v>
      </c>
      <c r="K285" t="s">
        <v>55</v>
      </c>
      <c r="L285" t="s">
        <v>26</v>
      </c>
      <c r="M285">
        <v>100.54</v>
      </c>
      <c r="N285">
        <v>1354.78</v>
      </c>
      <c r="O285" t="s">
        <v>64</v>
      </c>
      <c r="P285" t="s">
        <v>55</v>
      </c>
      <c r="Q285">
        <f t="shared" si="12"/>
        <v>0</v>
      </c>
      <c r="R285" t="str">
        <f t="shared" si="13"/>
        <v>13-24 months</v>
      </c>
      <c r="S285" t="str">
        <f t="shared" si="14"/>
        <v>&gt; $100</v>
      </c>
    </row>
    <row r="286" spans="1:19" x14ac:dyDescent="0.35">
      <c r="A286" t="s">
        <v>350</v>
      </c>
      <c r="B286">
        <v>31</v>
      </c>
      <c r="C286" t="s">
        <v>55</v>
      </c>
      <c r="D286" t="s">
        <v>55</v>
      </c>
      <c r="E286" t="s">
        <v>56</v>
      </c>
      <c r="F286">
        <v>44</v>
      </c>
      <c r="G286" t="s">
        <v>55</v>
      </c>
      <c r="H286" t="s">
        <v>60</v>
      </c>
      <c r="I286" t="s">
        <v>30</v>
      </c>
      <c r="J286" t="s">
        <v>12</v>
      </c>
      <c r="K286" t="s">
        <v>56</v>
      </c>
      <c r="L286" t="s">
        <v>1066</v>
      </c>
      <c r="M286">
        <v>92.53</v>
      </c>
      <c r="N286">
        <v>4148.74</v>
      </c>
      <c r="O286" t="s">
        <v>62</v>
      </c>
      <c r="P286" t="s">
        <v>55</v>
      </c>
      <c r="Q286">
        <f t="shared" si="12"/>
        <v>0</v>
      </c>
      <c r="R286" t="str">
        <f t="shared" si="13"/>
        <v>25-48 months</v>
      </c>
      <c r="S286" t="str">
        <f t="shared" si="14"/>
        <v>$76-$100</v>
      </c>
    </row>
    <row r="287" spans="1:19" x14ac:dyDescent="0.35">
      <c r="A287" t="s">
        <v>351</v>
      </c>
      <c r="B287">
        <v>49</v>
      </c>
      <c r="C287" t="s">
        <v>55</v>
      </c>
      <c r="D287" t="s">
        <v>56</v>
      </c>
      <c r="E287" t="s">
        <v>56</v>
      </c>
      <c r="F287">
        <v>71</v>
      </c>
      <c r="G287" t="s">
        <v>55</v>
      </c>
      <c r="H287" t="s">
        <v>60</v>
      </c>
      <c r="I287" t="s">
        <v>31</v>
      </c>
      <c r="J287" t="s">
        <v>14</v>
      </c>
      <c r="K287" t="s">
        <v>56</v>
      </c>
      <c r="L287" t="s">
        <v>1066</v>
      </c>
      <c r="M287">
        <v>20.079999999999998</v>
      </c>
      <c r="N287">
        <v>1479.61</v>
      </c>
      <c r="O287" t="s">
        <v>69</v>
      </c>
      <c r="P287" t="s">
        <v>55</v>
      </c>
      <c r="Q287">
        <f t="shared" si="12"/>
        <v>0</v>
      </c>
      <c r="R287" t="str">
        <f t="shared" si="13"/>
        <v>49+ months</v>
      </c>
      <c r="S287" t="str">
        <f t="shared" si="14"/>
        <v>&lt; $50</v>
      </c>
    </row>
    <row r="288" spans="1:19" x14ac:dyDescent="0.35">
      <c r="A288" t="s">
        <v>352</v>
      </c>
      <c r="B288">
        <v>56</v>
      </c>
      <c r="C288" t="s">
        <v>55</v>
      </c>
      <c r="D288" t="s">
        <v>55</v>
      </c>
      <c r="E288" t="s">
        <v>55</v>
      </c>
      <c r="F288">
        <v>54</v>
      </c>
      <c r="G288" t="s">
        <v>56</v>
      </c>
      <c r="H288" t="s">
        <v>56</v>
      </c>
      <c r="I288" t="s">
        <v>31</v>
      </c>
      <c r="J288" t="s">
        <v>14</v>
      </c>
      <c r="K288" t="s">
        <v>55</v>
      </c>
      <c r="L288" t="s">
        <v>24</v>
      </c>
      <c r="M288">
        <v>19.600000000000001</v>
      </c>
      <c r="N288">
        <v>1047.32</v>
      </c>
      <c r="O288" t="s">
        <v>69</v>
      </c>
      <c r="P288" t="s">
        <v>55</v>
      </c>
      <c r="Q288">
        <f t="shared" si="12"/>
        <v>0</v>
      </c>
      <c r="R288" t="str">
        <f t="shared" si="13"/>
        <v>49+ months</v>
      </c>
      <c r="S288" t="str">
        <f t="shared" si="14"/>
        <v>&lt; $50</v>
      </c>
    </row>
    <row r="289" spans="1:19" x14ac:dyDescent="0.35">
      <c r="A289" t="s">
        <v>353</v>
      </c>
      <c r="B289">
        <v>50</v>
      </c>
      <c r="C289" t="s">
        <v>55</v>
      </c>
      <c r="D289" t="s">
        <v>55</v>
      </c>
      <c r="E289" t="s">
        <v>55</v>
      </c>
      <c r="F289">
        <v>71</v>
      </c>
      <c r="G289" t="s">
        <v>56</v>
      </c>
      <c r="H289" t="s">
        <v>56</v>
      </c>
      <c r="I289" t="s">
        <v>29</v>
      </c>
      <c r="J289" t="s">
        <v>13</v>
      </c>
      <c r="K289" t="s">
        <v>55</v>
      </c>
      <c r="L289" t="s">
        <v>25</v>
      </c>
      <c r="M289">
        <v>45.31</v>
      </c>
      <c r="N289">
        <v>3298.23</v>
      </c>
      <c r="O289" t="s">
        <v>62</v>
      </c>
      <c r="P289" t="s">
        <v>55</v>
      </c>
      <c r="Q289">
        <f t="shared" si="12"/>
        <v>0</v>
      </c>
      <c r="R289" t="str">
        <f t="shared" si="13"/>
        <v>49+ months</v>
      </c>
      <c r="S289" t="str">
        <f t="shared" si="14"/>
        <v>&lt; $50</v>
      </c>
    </row>
    <row r="290" spans="1:19" x14ac:dyDescent="0.35">
      <c r="A290" t="s">
        <v>354</v>
      </c>
      <c r="B290">
        <v>50</v>
      </c>
      <c r="C290" t="s">
        <v>55</v>
      </c>
      <c r="D290" t="s">
        <v>55</v>
      </c>
      <c r="E290" t="s">
        <v>56</v>
      </c>
      <c r="F290">
        <v>46</v>
      </c>
      <c r="G290" t="s">
        <v>55</v>
      </c>
      <c r="H290" t="s">
        <v>60</v>
      </c>
      <c r="I290" t="s">
        <v>29</v>
      </c>
      <c r="J290" t="s">
        <v>13</v>
      </c>
      <c r="K290" t="s">
        <v>55</v>
      </c>
      <c r="L290" t="s">
        <v>25</v>
      </c>
      <c r="M290">
        <v>56.9</v>
      </c>
      <c r="N290">
        <v>2464.37</v>
      </c>
      <c r="O290" t="s">
        <v>64</v>
      </c>
      <c r="P290" t="s">
        <v>56</v>
      </c>
      <c r="Q290">
        <f t="shared" si="12"/>
        <v>1</v>
      </c>
      <c r="R290" t="str">
        <f t="shared" si="13"/>
        <v>25-48 months</v>
      </c>
      <c r="S290" t="str">
        <f t="shared" si="14"/>
        <v>$50-$75</v>
      </c>
    </row>
    <row r="291" spans="1:19" x14ac:dyDescent="0.35">
      <c r="A291" t="s">
        <v>355</v>
      </c>
      <c r="B291">
        <v>27</v>
      </c>
      <c r="C291" t="s">
        <v>55</v>
      </c>
      <c r="D291" t="s">
        <v>56</v>
      </c>
      <c r="E291" t="s">
        <v>56</v>
      </c>
      <c r="F291">
        <v>26</v>
      </c>
      <c r="G291" t="s">
        <v>56</v>
      </c>
      <c r="H291" t="s">
        <v>55</v>
      </c>
      <c r="I291" t="s">
        <v>30</v>
      </c>
      <c r="J291" t="s">
        <v>13</v>
      </c>
      <c r="K291" t="s">
        <v>56</v>
      </c>
      <c r="L291" t="s">
        <v>1066</v>
      </c>
      <c r="M291">
        <v>104.53</v>
      </c>
      <c r="N291">
        <v>2650.97</v>
      </c>
      <c r="O291" t="s">
        <v>80</v>
      </c>
      <c r="P291" t="s">
        <v>55</v>
      </c>
      <c r="Q291">
        <f t="shared" si="12"/>
        <v>0</v>
      </c>
      <c r="R291" t="str">
        <f t="shared" si="13"/>
        <v>25-48 months</v>
      </c>
      <c r="S291" t="str">
        <f t="shared" si="14"/>
        <v>&gt; $100</v>
      </c>
    </row>
    <row r="292" spans="1:19" x14ac:dyDescent="0.35">
      <c r="A292" t="s">
        <v>356</v>
      </c>
      <c r="B292">
        <v>40</v>
      </c>
      <c r="C292" t="s">
        <v>55</v>
      </c>
      <c r="D292" t="s">
        <v>55</v>
      </c>
      <c r="E292" t="s">
        <v>56</v>
      </c>
      <c r="F292">
        <v>72</v>
      </c>
      <c r="G292" t="s">
        <v>55</v>
      </c>
      <c r="H292" t="s">
        <v>60</v>
      </c>
      <c r="I292" t="s">
        <v>31</v>
      </c>
      <c r="J292" t="s">
        <v>12</v>
      </c>
      <c r="K292" t="s">
        <v>55</v>
      </c>
      <c r="L292" t="s">
        <v>1066</v>
      </c>
      <c r="M292">
        <v>18.559999999999999</v>
      </c>
      <c r="N292">
        <v>1317.33</v>
      </c>
      <c r="O292" t="s">
        <v>66</v>
      </c>
      <c r="P292" t="s">
        <v>55</v>
      </c>
      <c r="Q292">
        <f t="shared" si="12"/>
        <v>0</v>
      </c>
      <c r="R292" t="str">
        <f t="shared" si="13"/>
        <v>49+ months</v>
      </c>
      <c r="S292" t="str">
        <f t="shared" si="14"/>
        <v>&lt; $50</v>
      </c>
    </row>
    <row r="293" spans="1:19" x14ac:dyDescent="0.35">
      <c r="A293" t="s">
        <v>357</v>
      </c>
      <c r="B293">
        <v>61</v>
      </c>
      <c r="C293" t="s">
        <v>56</v>
      </c>
      <c r="D293" t="s">
        <v>55</v>
      </c>
      <c r="E293" t="s">
        <v>56</v>
      </c>
      <c r="F293">
        <v>2</v>
      </c>
      <c r="G293" t="s">
        <v>56</v>
      </c>
      <c r="H293" t="s">
        <v>55</v>
      </c>
      <c r="I293" t="s">
        <v>29</v>
      </c>
      <c r="J293" t="s">
        <v>13</v>
      </c>
      <c r="K293" t="s">
        <v>55</v>
      </c>
      <c r="L293" t="s">
        <v>1066</v>
      </c>
      <c r="M293">
        <v>76.459999999999994</v>
      </c>
      <c r="N293">
        <v>156.68</v>
      </c>
      <c r="O293" t="s">
        <v>66</v>
      </c>
      <c r="P293" t="s">
        <v>55</v>
      </c>
      <c r="Q293">
        <f t="shared" si="12"/>
        <v>0</v>
      </c>
      <c r="R293" t="str">
        <f t="shared" si="13"/>
        <v>0-12 months</v>
      </c>
      <c r="S293" t="str">
        <f t="shared" si="14"/>
        <v>$76-$100</v>
      </c>
    </row>
    <row r="294" spans="1:19" x14ac:dyDescent="0.35">
      <c r="A294" t="s">
        <v>358</v>
      </c>
      <c r="B294">
        <v>55</v>
      </c>
      <c r="C294" t="s">
        <v>55</v>
      </c>
      <c r="D294" t="s">
        <v>56</v>
      </c>
      <c r="E294" t="s">
        <v>56</v>
      </c>
      <c r="F294">
        <v>38</v>
      </c>
      <c r="G294" t="s">
        <v>56</v>
      </c>
      <c r="H294" t="s">
        <v>56</v>
      </c>
      <c r="I294" t="s">
        <v>30</v>
      </c>
      <c r="J294" t="s">
        <v>12</v>
      </c>
      <c r="K294" t="s">
        <v>56</v>
      </c>
      <c r="L294" t="s">
        <v>24</v>
      </c>
      <c r="M294">
        <v>91.43</v>
      </c>
      <c r="N294">
        <v>3497.94</v>
      </c>
      <c r="O294" t="s">
        <v>58</v>
      </c>
      <c r="P294" t="s">
        <v>56</v>
      </c>
      <c r="Q294">
        <f t="shared" si="12"/>
        <v>1</v>
      </c>
      <c r="R294" t="str">
        <f t="shared" si="13"/>
        <v>25-48 months</v>
      </c>
      <c r="S294" t="str">
        <f t="shared" si="14"/>
        <v>$76-$100</v>
      </c>
    </row>
    <row r="295" spans="1:19" x14ac:dyDescent="0.35">
      <c r="A295" t="s">
        <v>359</v>
      </c>
      <c r="B295">
        <v>72</v>
      </c>
      <c r="C295" t="s">
        <v>56</v>
      </c>
      <c r="D295" t="s">
        <v>55</v>
      </c>
      <c r="E295" t="s">
        <v>56</v>
      </c>
      <c r="F295">
        <v>43</v>
      </c>
      <c r="G295" t="s">
        <v>56</v>
      </c>
      <c r="H295" t="s">
        <v>56</v>
      </c>
      <c r="I295" t="s">
        <v>29</v>
      </c>
      <c r="J295" t="s">
        <v>14</v>
      </c>
      <c r="K295" t="s">
        <v>56</v>
      </c>
      <c r="L295" t="s">
        <v>1066</v>
      </c>
      <c r="M295">
        <v>65.010000000000005</v>
      </c>
      <c r="N295">
        <v>2910.54</v>
      </c>
      <c r="O295" t="s">
        <v>66</v>
      </c>
      <c r="P295" t="s">
        <v>55</v>
      </c>
      <c r="Q295">
        <f t="shared" si="12"/>
        <v>0</v>
      </c>
      <c r="R295" t="str">
        <f t="shared" si="13"/>
        <v>25-48 months</v>
      </c>
      <c r="S295" t="str">
        <f t="shared" si="14"/>
        <v>$50-$75</v>
      </c>
    </row>
    <row r="296" spans="1:19" x14ac:dyDescent="0.35">
      <c r="A296" t="s">
        <v>360</v>
      </c>
      <c r="B296">
        <v>54</v>
      </c>
      <c r="C296" t="s">
        <v>55</v>
      </c>
      <c r="D296" t="s">
        <v>55</v>
      </c>
      <c r="E296" t="s">
        <v>56</v>
      </c>
      <c r="F296">
        <v>41</v>
      </c>
      <c r="G296" t="s">
        <v>56</v>
      </c>
      <c r="H296" t="s">
        <v>55</v>
      </c>
      <c r="I296" t="s">
        <v>29</v>
      </c>
      <c r="J296" t="s">
        <v>13</v>
      </c>
      <c r="K296" t="s">
        <v>56</v>
      </c>
      <c r="L296" t="s">
        <v>24</v>
      </c>
      <c r="M296">
        <v>61.48</v>
      </c>
      <c r="N296">
        <v>2397.25</v>
      </c>
      <c r="O296" t="s">
        <v>62</v>
      </c>
      <c r="P296" t="s">
        <v>55</v>
      </c>
      <c r="Q296">
        <f t="shared" si="12"/>
        <v>0</v>
      </c>
      <c r="R296" t="str">
        <f t="shared" si="13"/>
        <v>25-48 months</v>
      </c>
      <c r="S296" t="str">
        <f t="shared" si="14"/>
        <v>$50-$75</v>
      </c>
    </row>
    <row r="297" spans="1:19" x14ac:dyDescent="0.35">
      <c r="A297" t="s">
        <v>361</v>
      </c>
      <c r="B297">
        <v>60</v>
      </c>
      <c r="C297" t="s">
        <v>56</v>
      </c>
      <c r="D297" t="s">
        <v>55</v>
      </c>
      <c r="E297" t="s">
        <v>55</v>
      </c>
      <c r="F297">
        <v>47</v>
      </c>
      <c r="G297" t="s">
        <v>55</v>
      </c>
      <c r="H297" t="s">
        <v>60</v>
      </c>
      <c r="I297" t="s">
        <v>30</v>
      </c>
      <c r="J297" t="s">
        <v>14</v>
      </c>
      <c r="K297" t="s">
        <v>56</v>
      </c>
      <c r="L297" t="s">
        <v>26</v>
      </c>
      <c r="M297">
        <v>87.3</v>
      </c>
      <c r="N297">
        <v>3975.25</v>
      </c>
      <c r="O297" t="s">
        <v>58</v>
      </c>
      <c r="P297" t="s">
        <v>55</v>
      </c>
      <c r="Q297">
        <f t="shared" si="12"/>
        <v>0</v>
      </c>
      <c r="R297" t="str">
        <f t="shared" si="13"/>
        <v>25-48 months</v>
      </c>
      <c r="S297" t="str">
        <f t="shared" si="14"/>
        <v>$76-$100</v>
      </c>
    </row>
    <row r="298" spans="1:19" x14ac:dyDescent="0.35">
      <c r="A298" t="s">
        <v>362</v>
      </c>
      <c r="B298">
        <v>33</v>
      </c>
      <c r="C298" t="s">
        <v>55</v>
      </c>
      <c r="D298" t="s">
        <v>56</v>
      </c>
      <c r="E298" t="s">
        <v>55</v>
      </c>
      <c r="F298">
        <v>49</v>
      </c>
      <c r="G298" t="s">
        <v>56</v>
      </c>
      <c r="H298" t="s">
        <v>55</v>
      </c>
      <c r="I298" t="s">
        <v>31</v>
      </c>
      <c r="J298" t="s">
        <v>12</v>
      </c>
      <c r="K298" t="s">
        <v>55</v>
      </c>
      <c r="L298" t="s">
        <v>26</v>
      </c>
      <c r="M298">
        <v>24.2</v>
      </c>
      <c r="N298">
        <v>1224.29</v>
      </c>
      <c r="O298" t="s">
        <v>58</v>
      </c>
      <c r="P298" t="s">
        <v>55</v>
      </c>
      <c r="Q298">
        <f t="shared" si="12"/>
        <v>0</v>
      </c>
      <c r="R298" t="str">
        <f t="shared" si="13"/>
        <v>49+ months</v>
      </c>
      <c r="S298" t="str">
        <f t="shared" si="14"/>
        <v>&lt; $50</v>
      </c>
    </row>
    <row r="299" spans="1:19" x14ac:dyDescent="0.35">
      <c r="A299" t="s">
        <v>363</v>
      </c>
      <c r="B299">
        <v>46</v>
      </c>
      <c r="C299" t="s">
        <v>55</v>
      </c>
      <c r="D299" t="s">
        <v>55</v>
      </c>
      <c r="E299" t="s">
        <v>56</v>
      </c>
      <c r="F299">
        <v>38</v>
      </c>
      <c r="G299" t="s">
        <v>56</v>
      </c>
      <c r="H299" t="s">
        <v>56</v>
      </c>
      <c r="I299" t="s">
        <v>31</v>
      </c>
      <c r="J299" t="s">
        <v>12</v>
      </c>
      <c r="K299" t="s">
        <v>56</v>
      </c>
      <c r="L299" t="s">
        <v>26</v>
      </c>
      <c r="M299">
        <v>29.48</v>
      </c>
      <c r="N299">
        <v>1125.3399999999999</v>
      </c>
      <c r="O299" t="s">
        <v>80</v>
      </c>
      <c r="P299" t="s">
        <v>56</v>
      </c>
      <c r="Q299">
        <f t="shared" si="12"/>
        <v>1</v>
      </c>
      <c r="R299" t="str">
        <f t="shared" si="13"/>
        <v>25-48 months</v>
      </c>
      <c r="S299" t="str">
        <f t="shared" si="14"/>
        <v>&lt; $50</v>
      </c>
    </row>
    <row r="300" spans="1:19" x14ac:dyDescent="0.35">
      <c r="A300" t="s">
        <v>364</v>
      </c>
      <c r="B300">
        <v>31</v>
      </c>
      <c r="C300" t="s">
        <v>55</v>
      </c>
      <c r="D300" t="s">
        <v>56</v>
      </c>
      <c r="E300" t="s">
        <v>55</v>
      </c>
      <c r="F300">
        <v>14</v>
      </c>
      <c r="G300" t="s">
        <v>55</v>
      </c>
      <c r="H300" t="s">
        <v>60</v>
      </c>
      <c r="I300" t="s">
        <v>30</v>
      </c>
      <c r="J300" t="s">
        <v>13</v>
      </c>
      <c r="K300" t="s">
        <v>56</v>
      </c>
      <c r="L300" t="s">
        <v>1066</v>
      </c>
      <c r="M300">
        <v>77.69</v>
      </c>
      <c r="N300">
        <v>1082.3399999999999</v>
      </c>
      <c r="O300" t="s">
        <v>80</v>
      </c>
      <c r="P300" t="s">
        <v>55</v>
      </c>
      <c r="Q300">
        <f t="shared" si="12"/>
        <v>0</v>
      </c>
      <c r="R300" t="str">
        <f t="shared" si="13"/>
        <v>13-24 months</v>
      </c>
      <c r="S300" t="str">
        <f t="shared" si="14"/>
        <v>$76-$100</v>
      </c>
    </row>
    <row r="301" spans="1:19" x14ac:dyDescent="0.35">
      <c r="A301" t="s">
        <v>365</v>
      </c>
      <c r="B301">
        <v>22</v>
      </c>
      <c r="C301" t="s">
        <v>55</v>
      </c>
      <c r="D301" t="s">
        <v>56</v>
      </c>
      <c r="E301" t="s">
        <v>56</v>
      </c>
      <c r="F301">
        <v>33</v>
      </c>
      <c r="G301" t="s">
        <v>56</v>
      </c>
      <c r="H301" t="s">
        <v>55</v>
      </c>
      <c r="I301" t="s">
        <v>29</v>
      </c>
      <c r="J301" t="s">
        <v>12</v>
      </c>
      <c r="K301" t="s">
        <v>55</v>
      </c>
      <c r="L301" t="s">
        <v>1066</v>
      </c>
      <c r="M301">
        <v>57.32</v>
      </c>
      <c r="N301">
        <v>1781.9</v>
      </c>
      <c r="O301" t="s">
        <v>58</v>
      </c>
      <c r="P301" t="s">
        <v>55</v>
      </c>
      <c r="Q301">
        <f t="shared" si="12"/>
        <v>0</v>
      </c>
      <c r="R301" t="str">
        <f t="shared" si="13"/>
        <v>25-48 months</v>
      </c>
      <c r="S301" t="str">
        <f t="shared" si="14"/>
        <v>$50-$75</v>
      </c>
    </row>
    <row r="302" spans="1:19" x14ac:dyDescent="0.35">
      <c r="A302" t="s">
        <v>366</v>
      </c>
      <c r="B302">
        <v>18</v>
      </c>
      <c r="C302" t="s">
        <v>55</v>
      </c>
      <c r="D302" t="s">
        <v>56</v>
      </c>
      <c r="E302" t="s">
        <v>56</v>
      </c>
      <c r="F302">
        <v>10</v>
      </c>
      <c r="G302" t="s">
        <v>56</v>
      </c>
      <c r="H302" t="s">
        <v>56</v>
      </c>
      <c r="I302" t="s">
        <v>30</v>
      </c>
      <c r="J302" t="s">
        <v>13</v>
      </c>
      <c r="K302" t="s">
        <v>56</v>
      </c>
      <c r="L302" t="s">
        <v>26</v>
      </c>
      <c r="M302">
        <v>116.33</v>
      </c>
      <c r="N302">
        <v>1146.75</v>
      </c>
      <c r="O302" t="s">
        <v>80</v>
      </c>
      <c r="P302" t="s">
        <v>55</v>
      </c>
      <c r="Q302">
        <f t="shared" si="12"/>
        <v>0</v>
      </c>
      <c r="R302" t="str">
        <f t="shared" si="13"/>
        <v>0-12 months</v>
      </c>
      <c r="S302" t="str">
        <f t="shared" si="14"/>
        <v>&gt; $100</v>
      </c>
    </row>
    <row r="303" spans="1:19" x14ac:dyDescent="0.35">
      <c r="A303" t="s">
        <v>367</v>
      </c>
      <c r="B303">
        <v>48</v>
      </c>
      <c r="C303" t="s">
        <v>55</v>
      </c>
      <c r="D303" t="s">
        <v>56</v>
      </c>
      <c r="E303" t="s">
        <v>56</v>
      </c>
      <c r="F303">
        <v>18</v>
      </c>
      <c r="G303" t="s">
        <v>55</v>
      </c>
      <c r="H303" t="s">
        <v>60</v>
      </c>
      <c r="I303" t="s">
        <v>29</v>
      </c>
      <c r="J303" t="s">
        <v>14</v>
      </c>
      <c r="K303" t="s">
        <v>56</v>
      </c>
      <c r="L303" t="s">
        <v>26</v>
      </c>
      <c r="M303">
        <v>75.48</v>
      </c>
      <c r="N303">
        <v>1434.51</v>
      </c>
      <c r="O303" t="s">
        <v>69</v>
      </c>
      <c r="P303" t="s">
        <v>55</v>
      </c>
      <c r="Q303">
        <f t="shared" si="12"/>
        <v>0</v>
      </c>
      <c r="R303" t="str">
        <f t="shared" si="13"/>
        <v>13-24 months</v>
      </c>
      <c r="S303" t="str">
        <f t="shared" si="14"/>
        <v>$76-$100</v>
      </c>
    </row>
    <row r="304" spans="1:19" x14ac:dyDescent="0.35">
      <c r="A304" t="s">
        <v>368</v>
      </c>
      <c r="B304">
        <v>41</v>
      </c>
      <c r="C304" t="s">
        <v>55</v>
      </c>
      <c r="D304" t="s">
        <v>56</v>
      </c>
      <c r="E304" t="s">
        <v>56</v>
      </c>
      <c r="F304">
        <v>16</v>
      </c>
      <c r="G304" t="s">
        <v>55</v>
      </c>
      <c r="H304" t="s">
        <v>60</v>
      </c>
      <c r="I304" t="s">
        <v>30</v>
      </c>
      <c r="J304" t="s">
        <v>12</v>
      </c>
      <c r="K304" t="s">
        <v>56</v>
      </c>
      <c r="L304" t="s">
        <v>26</v>
      </c>
      <c r="M304">
        <v>107.41</v>
      </c>
      <c r="N304">
        <v>1801.78</v>
      </c>
      <c r="O304" t="s">
        <v>64</v>
      </c>
      <c r="P304" t="s">
        <v>56</v>
      </c>
      <c r="Q304">
        <f t="shared" si="12"/>
        <v>1</v>
      </c>
      <c r="R304" t="str">
        <f t="shared" si="13"/>
        <v>13-24 months</v>
      </c>
      <c r="S304" t="str">
        <f t="shared" si="14"/>
        <v>&gt; $100</v>
      </c>
    </row>
    <row r="305" spans="1:19" x14ac:dyDescent="0.35">
      <c r="A305" t="s">
        <v>369</v>
      </c>
      <c r="B305">
        <v>75</v>
      </c>
      <c r="C305" t="s">
        <v>56</v>
      </c>
      <c r="D305" t="s">
        <v>56</v>
      </c>
      <c r="E305" t="s">
        <v>56</v>
      </c>
      <c r="F305">
        <v>24</v>
      </c>
      <c r="G305" t="s">
        <v>55</v>
      </c>
      <c r="H305" t="s">
        <v>60</v>
      </c>
      <c r="I305" t="s">
        <v>30</v>
      </c>
      <c r="J305" t="s">
        <v>12</v>
      </c>
      <c r="K305" t="s">
        <v>56</v>
      </c>
      <c r="L305" t="s">
        <v>1066</v>
      </c>
      <c r="M305">
        <v>98.36</v>
      </c>
      <c r="N305">
        <v>2234.41</v>
      </c>
      <c r="O305" t="s">
        <v>58</v>
      </c>
      <c r="P305" t="s">
        <v>55</v>
      </c>
      <c r="Q305">
        <f t="shared" si="12"/>
        <v>0</v>
      </c>
      <c r="R305" t="str">
        <f t="shared" si="13"/>
        <v>13-24 months</v>
      </c>
      <c r="S305" t="str">
        <f t="shared" si="14"/>
        <v>$76-$100</v>
      </c>
    </row>
    <row r="306" spans="1:19" x14ac:dyDescent="0.35">
      <c r="A306" t="s">
        <v>370</v>
      </c>
      <c r="B306">
        <v>47</v>
      </c>
      <c r="C306" t="s">
        <v>55</v>
      </c>
      <c r="D306" t="s">
        <v>56</v>
      </c>
      <c r="E306" t="s">
        <v>55</v>
      </c>
      <c r="F306">
        <v>9</v>
      </c>
      <c r="G306" t="s">
        <v>56</v>
      </c>
      <c r="H306" t="s">
        <v>55</v>
      </c>
      <c r="I306" t="s">
        <v>30</v>
      </c>
      <c r="J306" t="s">
        <v>12</v>
      </c>
      <c r="K306" t="s">
        <v>55</v>
      </c>
      <c r="L306" t="s">
        <v>24</v>
      </c>
      <c r="M306">
        <v>103.56</v>
      </c>
      <c r="N306">
        <v>902.35</v>
      </c>
      <c r="O306" t="s">
        <v>80</v>
      </c>
      <c r="P306" t="s">
        <v>56</v>
      </c>
      <c r="Q306">
        <f t="shared" si="12"/>
        <v>1</v>
      </c>
      <c r="R306" t="str">
        <f t="shared" si="13"/>
        <v>0-12 months</v>
      </c>
      <c r="S306" t="str">
        <f t="shared" si="14"/>
        <v>&gt; $100</v>
      </c>
    </row>
    <row r="307" spans="1:19" x14ac:dyDescent="0.35">
      <c r="A307" t="s">
        <v>371</v>
      </c>
      <c r="B307">
        <v>75</v>
      </c>
      <c r="C307" t="s">
        <v>56</v>
      </c>
      <c r="D307" t="s">
        <v>56</v>
      </c>
      <c r="E307" t="s">
        <v>55</v>
      </c>
      <c r="F307">
        <v>63</v>
      </c>
      <c r="G307" t="s">
        <v>55</v>
      </c>
      <c r="H307" t="s">
        <v>60</v>
      </c>
      <c r="I307" t="s">
        <v>29</v>
      </c>
      <c r="J307" t="s">
        <v>13</v>
      </c>
      <c r="K307" t="s">
        <v>56</v>
      </c>
      <c r="L307" t="s">
        <v>24</v>
      </c>
      <c r="M307">
        <v>54.58</v>
      </c>
      <c r="N307">
        <v>3362.75</v>
      </c>
      <c r="O307" t="s">
        <v>80</v>
      </c>
      <c r="P307" t="s">
        <v>55</v>
      </c>
      <c r="Q307">
        <f t="shared" si="12"/>
        <v>0</v>
      </c>
      <c r="R307" t="str">
        <f t="shared" si="13"/>
        <v>49+ months</v>
      </c>
      <c r="S307" t="str">
        <f t="shared" si="14"/>
        <v>$50-$75</v>
      </c>
    </row>
    <row r="308" spans="1:19" x14ac:dyDescent="0.35">
      <c r="A308" t="s">
        <v>372</v>
      </c>
      <c r="B308">
        <v>38</v>
      </c>
      <c r="C308" t="s">
        <v>55</v>
      </c>
      <c r="D308" t="s">
        <v>56</v>
      </c>
      <c r="E308" t="s">
        <v>56</v>
      </c>
      <c r="F308">
        <v>56</v>
      </c>
      <c r="G308" t="s">
        <v>55</v>
      </c>
      <c r="H308" t="s">
        <v>60</v>
      </c>
      <c r="I308" t="s">
        <v>30</v>
      </c>
      <c r="J308" t="s">
        <v>12</v>
      </c>
      <c r="K308" t="s">
        <v>55</v>
      </c>
      <c r="L308" t="s">
        <v>25</v>
      </c>
      <c r="M308">
        <v>93.14</v>
      </c>
      <c r="N308">
        <v>5127.43</v>
      </c>
      <c r="O308" t="s">
        <v>58</v>
      </c>
      <c r="P308" t="s">
        <v>56</v>
      </c>
      <c r="Q308">
        <f t="shared" si="12"/>
        <v>1</v>
      </c>
      <c r="R308" t="str">
        <f t="shared" si="13"/>
        <v>49+ months</v>
      </c>
      <c r="S308" t="str">
        <f t="shared" si="14"/>
        <v>$76-$100</v>
      </c>
    </row>
    <row r="309" spans="1:19" x14ac:dyDescent="0.35">
      <c r="A309" t="s">
        <v>373</v>
      </c>
      <c r="B309">
        <v>24</v>
      </c>
      <c r="C309" t="s">
        <v>55</v>
      </c>
      <c r="D309" t="s">
        <v>56</v>
      </c>
      <c r="E309" t="s">
        <v>56</v>
      </c>
      <c r="F309">
        <v>36</v>
      </c>
      <c r="G309" t="s">
        <v>56</v>
      </c>
      <c r="H309" t="s">
        <v>55</v>
      </c>
      <c r="I309" t="s">
        <v>31</v>
      </c>
      <c r="J309" t="s">
        <v>12</v>
      </c>
      <c r="K309" t="s">
        <v>56</v>
      </c>
      <c r="L309" t="s">
        <v>1066</v>
      </c>
      <c r="M309">
        <v>28.71</v>
      </c>
      <c r="N309">
        <v>1076.92</v>
      </c>
      <c r="O309" t="s">
        <v>66</v>
      </c>
      <c r="P309" t="s">
        <v>55</v>
      </c>
      <c r="Q309">
        <f t="shared" si="12"/>
        <v>0</v>
      </c>
      <c r="R309" t="str">
        <f t="shared" si="13"/>
        <v>25-48 months</v>
      </c>
      <c r="S309" t="str">
        <f t="shared" si="14"/>
        <v>&lt; $50</v>
      </c>
    </row>
    <row r="310" spans="1:19" x14ac:dyDescent="0.35">
      <c r="A310" t="s">
        <v>374</v>
      </c>
      <c r="B310">
        <v>55</v>
      </c>
      <c r="C310" t="s">
        <v>55</v>
      </c>
      <c r="D310" t="s">
        <v>55</v>
      </c>
      <c r="E310" t="s">
        <v>56</v>
      </c>
      <c r="F310">
        <v>5</v>
      </c>
      <c r="G310" t="s">
        <v>55</v>
      </c>
      <c r="H310" t="s">
        <v>60</v>
      </c>
      <c r="I310" t="s">
        <v>29</v>
      </c>
      <c r="J310" t="s">
        <v>13</v>
      </c>
      <c r="K310" t="s">
        <v>56</v>
      </c>
      <c r="L310" t="s">
        <v>24</v>
      </c>
      <c r="M310">
        <v>48.93</v>
      </c>
      <c r="N310">
        <v>252.64</v>
      </c>
      <c r="O310" t="s">
        <v>76</v>
      </c>
      <c r="P310" t="s">
        <v>55</v>
      </c>
      <c r="Q310">
        <f t="shared" si="12"/>
        <v>0</v>
      </c>
      <c r="R310" t="str">
        <f t="shared" si="13"/>
        <v>0-12 months</v>
      </c>
      <c r="S310" t="str">
        <f t="shared" si="14"/>
        <v>&lt; $50</v>
      </c>
    </row>
    <row r="311" spans="1:19" x14ac:dyDescent="0.35">
      <c r="A311" t="s">
        <v>375</v>
      </c>
      <c r="B311">
        <v>26</v>
      </c>
      <c r="C311" t="s">
        <v>55</v>
      </c>
      <c r="D311" t="s">
        <v>55</v>
      </c>
      <c r="E311" t="s">
        <v>56</v>
      </c>
      <c r="F311">
        <v>51</v>
      </c>
      <c r="G311" t="s">
        <v>56</v>
      </c>
      <c r="H311" t="s">
        <v>55</v>
      </c>
      <c r="I311" t="s">
        <v>30</v>
      </c>
      <c r="J311" t="s">
        <v>14</v>
      </c>
      <c r="K311" t="s">
        <v>56</v>
      </c>
      <c r="L311" t="s">
        <v>1066</v>
      </c>
      <c r="M311">
        <v>77.02</v>
      </c>
      <c r="N311">
        <v>3767.39</v>
      </c>
      <c r="O311" t="s">
        <v>58</v>
      </c>
      <c r="P311" t="s">
        <v>55</v>
      </c>
      <c r="Q311">
        <f t="shared" si="12"/>
        <v>0</v>
      </c>
      <c r="R311" t="str">
        <f t="shared" si="13"/>
        <v>49+ months</v>
      </c>
      <c r="S311" t="str">
        <f t="shared" si="14"/>
        <v>$76-$100</v>
      </c>
    </row>
    <row r="312" spans="1:19" x14ac:dyDescent="0.35">
      <c r="A312" t="s">
        <v>376</v>
      </c>
      <c r="B312">
        <v>60</v>
      </c>
      <c r="C312" t="s">
        <v>56</v>
      </c>
      <c r="D312" t="s">
        <v>56</v>
      </c>
      <c r="E312" t="s">
        <v>55</v>
      </c>
      <c r="F312">
        <v>46</v>
      </c>
      <c r="G312" t="s">
        <v>55</v>
      </c>
      <c r="H312" t="s">
        <v>60</v>
      </c>
      <c r="I312" t="s">
        <v>30</v>
      </c>
      <c r="J312" t="s">
        <v>12</v>
      </c>
      <c r="K312" t="s">
        <v>55</v>
      </c>
      <c r="L312" t="s">
        <v>24</v>
      </c>
      <c r="M312">
        <v>72.14</v>
      </c>
      <c r="N312">
        <v>3201.67</v>
      </c>
      <c r="O312" t="s">
        <v>76</v>
      </c>
      <c r="P312" t="s">
        <v>55</v>
      </c>
      <c r="Q312">
        <f t="shared" si="12"/>
        <v>0</v>
      </c>
      <c r="R312" t="str">
        <f t="shared" si="13"/>
        <v>25-48 months</v>
      </c>
      <c r="S312" t="str">
        <f t="shared" si="14"/>
        <v>$50-$75</v>
      </c>
    </row>
    <row r="313" spans="1:19" x14ac:dyDescent="0.35">
      <c r="A313" t="s">
        <v>377</v>
      </c>
      <c r="B313">
        <v>42</v>
      </c>
      <c r="C313" t="s">
        <v>55</v>
      </c>
      <c r="D313" t="s">
        <v>55</v>
      </c>
      <c r="E313" t="s">
        <v>55</v>
      </c>
      <c r="F313">
        <v>6</v>
      </c>
      <c r="G313" t="s">
        <v>55</v>
      </c>
      <c r="H313" t="s">
        <v>60</v>
      </c>
      <c r="I313" t="s">
        <v>30</v>
      </c>
      <c r="J313" t="s">
        <v>12</v>
      </c>
      <c r="K313" t="s">
        <v>55</v>
      </c>
      <c r="L313" t="s">
        <v>1066</v>
      </c>
      <c r="M313">
        <v>83.17</v>
      </c>
      <c r="N313">
        <v>501.68</v>
      </c>
      <c r="O313" t="s">
        <v>69</v>
      </c>
      <c r="P313" t="s">
        <v>56</v>
      </c>
      <c r="Q313">
        <f t="shared" si="12"/>
        <v>1</v>
      </c>
      <c r="R313" t="str">
        <f t="shared" si="13"/>
        <v>0-12 months</v>
      </c>
      <c r="S313" t="str">
        <f t="shared" si="14"/>
        <v>$76-$100</v>
      </c>
    </row>
    <row r="314" spans="1:19" x14ac:dyDescent="0.35">
      <c r="A314" t="s">
        <v>378</v>
      </c>
      <c r="B314">
        <v>42</v>
      </c>
      <c r="C314" t="s">
        <v>55</v>
      </c>
      <c r="D314" t="s">
        <v>55</v>
      </c>
      <c r="E314" t="s">
        <v>56</v>
      </c>
      <c r="F314">
        <v>67</v>
      </c>
      <c r="G314" t="s">
        <v>56</v>
      </c>
      <c r="H314" t="s">
        <v>55</v>
      </c>
      <c r="I314" t="s">
        <v>30</v>
      </c>
      <c r="J314" t="s">
        <v>12</v>
      </c>
      <c r="K314" t="s">
        <v>55</v>
      </c>
      <c r="L314" t="s">
        <v>24</v>
      </c>
      <c r="M314">
        <v>94.11</v>
      </c>
      <c r="N314">
        <v>6384.22</v>
      </c>
      <c r="O314" t="s">
        <v>62</v>
      </c>
      <c r="P314" t="s">
        <v>55</v>
      </c>
      <c r="Q314">
        <f t="shared" si="12"/>
        <v>0</v>
      </c>
      <c r="R314" t="str">
        <f t="shared" si="13"/>
        <v>49+ months</v>
      </c>
      <c r="S314" t="str">
        <f t="shared" si="14"/>
        <v>$76-$100</v>
      </c>
    </row>
    <row r="315" spans="1:19" x14ac:dyDescent="0.35">
      <c r="A315" t="s">
        <v>379</v>
      </c>
      <c r="B315">
        <v>46</v>
      </c>
      <c r="C315" t="s">
        <v>55</v>
      </c>
      <c r="D315" t="s">
        <v>56</v>
      </c>
      <c r="E315" t="s">
        <v>56</v>
      </c>
      <c r="F315">
        <v>10</v>
      </c>
      <c r="G315" t="s">
        <v>55</v>
      </c>
      <c r="H315" t="s">
        <v>60</v>
      </c>
      <c r="I315" t="s">
        <v>29</v>
      </c>
      <c r="J315" t="s">
        <v>12</v>
      </c>
      <c r="K315" t="s">
        <v>56</v>
      </c>
      <c r="L315" t="s">
        <v>26</v>
      </c>
      <c r="M315">
        <v>64.08</v>
      </c>
      <c r="N315">
        <v>665.17</v>
      </c>
      <c r="O315" t="s">
        <v>64</v>
      </c>
      <c r="P315" t="s">
        <v>55</v>
      </c>
      <c r="Q315">
        <f t="shared" si="12"/>
        <v>0</v>
      </c>
      <c r="R315" t="str">
        <f t="shared" si="13"/>
        <v>0-12 months</v>
      </c>
      <c r="S315" t="str">
        <f t="shared" si="14"/>
        <v>$50-$75</v>
      </c>
    </row>
    <row r="316" spans="1:19" x14ac:dyDescent="0.35">
      <c r="A316" t="s">
        <v>380</v>
      </c>
      <c r="B316">
        <v>69</v>
      </c>
      <c r="C316" t="s">
        <v>56</v>
      </c>
      <c r="D316" t="s">
        <v>55</v>
      </c>
      <c r="E316" t="s">
        <v>56</v>
      </c>
      <c r="F316">
        <v>62</v>
      </c>
      <c r="G316" t="s">
        <v>55</v>
      </c>
      <c r="H316" t="s">
        <v>60</v>
      </c>
      <c r="I316" t="s">
        <v>29</v>
      </c>
      <c r="J316" t="s">
        <v>12</v>
      </c>
      <c r="K316" t="s">
        <v>56</v>
      </c>
      <c r="L316" t="s">
        <v>1066</v>
      </c>
      <c r="M316">
        <v>56.44</v>
      </c>
      <c r="N316">
        <v>3391.64</v>
      </c>
      <c r="O316" t="s">
        <v>58</v>
      </c>
      <c r="P316" t="s">
        <v>56</v>
      </c>
      <c r="Q316">
        <f t="shared" si="12"/>
        <v>1</v>
      </c>
      <c r="R316" t="str">
        <f t="shared" si="13"/>
        <v>49+ months</v>
      </c>
      <c r="S316" t="str">
        <f t="shared" si="14"/>
        <v>$50-$75</v>
      </c>
    </row>
    <row r="317" spans="1:19" x14ac:dyDescent="0.35">
      <c r="A317" t="s">
        <v>381</v>
      </c>
      <c r="B317">
        <v>28</v>
      </c>
      <c r="C317" t="s">
        <v>55</v>
      </c>
      <c r="D317" t="s">
        <v>56</v>
      </c>
      <c r="E317" t="s">
        <v>56</v>
      </c>
      <c r="F317">
        <v>19</v>
      </c>
      <c r="G317" t="s">
        <v>55</v>
      </c>
      <c r="H317" t="s">
        <v>60</v>
      </c>
      <c r="I317" t="s">
        <v>30</v>
      </c>
      <c r="J317" t="s">
        <v>14</v>
      </c>
      <c r="K317" t="s">
        <v>55</v>
      </c>
      <c r="L317" t="s">
        <v>24</v>
      </c>
      <c r="M317">
        <v>98.18</v>
      </c>
      <c r="N317">
        <v>1757.66</v>
      </c>
      <c r="O317" t="s">
        <v>69</v>
      </c>
      <c r="P317" t="s">
        <v>55</v>
      </c>
      <c r="Q317">
        <f t="shared" si="12"/>
        <v>0</v>
      </c>
      <c r="R317" t="str">
        <f t="shared" si="13"/>
        <v>13-24 months</v>
      </c>
      <c r="S317" t="str">
        <f t="shared" si="14"/>
        <v>$76-$100</v>
      </c>
    </row>
    <row r="318" spans="1:19" x14ac:dyDescent="0.35">
      <c r="A318" t="s">
        <v>382</v>
      </c>
      <c r="B318">
        <v>70</v>
      </c>
      <c r="C318" t="s">
        <v>56</v>
      </c>
      <c r="D318" t="s">
        <v>55</v>
      </c>
      <c r="E318" t="s">
        <v>56</v>
      </c>
      <c r="F318">
        <v>28</v>
      </c>
      <c r="G318" t="s">
        <v>55</v>
      </c>
      <c r="H318" t="s">
        <v>60</v>
      </c>
      <c r="I318" t="s">
        <v>30</v>
      </c>
      <c r="J318" t="s">
        <v>14</v>
      </c>
      <c r="K318" t="s">
        <v>56</v>
      </c>
      <c r="L318" t="s">
        <v>26</v>
      </c>
      <c r="M318">
        <v>90.54</v>
      </c>
      <c r="N318">
        <v>2426.4299999999998</v>
      </c>
      <c r="O318" t="s">
        <v>66</v>
      </c>
      <c r="P318" t="s">
        <v>55</v>
      </c>
      <c r="Q318">
        <f t="shared" si="12"/>
        <v>0</v>
      </c>
      <c r="R318" t="str">
        <f t="shared" si="13"/>
        <v>25-48 months</v>
      </c>
      <c r="S318" t="str">
        <f t="shared" si="14"/>
        <v>$76-$100</v>
      </c>
    </row>
    <row r="319" spans="1:19" x14ac:dyDescent="0.35">
      <c r="A319" t="s">
        <v>383</v>
      </c>
      <c r="B319">
        <v>29</v>
      </c>
      <c r="C319" t="s">
        <v>55</v>
      </c>
      <c r="D319" t="s">
        <v>55</v>
      </c>
      <c r="E319" t="s">
        <v>56</v>
      </c>
      <c r="F319">
        <v>44</v>
      </c>
      <c r="G319" t="s">
        <v>56</v>
      </c>
      <c r="H319" t="s">
        <v>56</v>
      </c>
      <c r="I319" t="s">
        <v>31</v>
      </c>
      <c r="J319" t="s">
        <v>12</v>
      </c>
      <c r="K319" t="s">
        <v>56</v>
      </c>
      <c r="L319" t="s">
        <v>26</v>
      </c>
      <c r="M319">
        <v>24.27</v>
      </c>
      <c r="N319">
        <v>1120.3399999999999</v>
      </c>
      <c r="O319" t="s">
        <v>66</v>
      </c>
      <c r="P319" t="s">
        <v>55</v>
      </c>
      <c r="Q319">
        <f t="shared" si="12"/>
        <v>0</v>
      </c>
      <c r="R319" t="str">
        <f t="shared" si="13"/>
        <v>25-48 months</v>
      </c>
      <c r="S319" t="str">
        <f t="shared" si="14"/>
        <v>&lt; $50</v>
      </c>
    </row>
    <row r="320" spans="1:19" x14ac:dyDescent="0.35">
      <c r="A320" t="s">
        <v>384</v>
      </c>
      <c r="B320">
        <v>27</v>
      </c>
      <c r="C320" t="s">
        <v>55</v>
      </c>
      <c r="D320" t="s">
        <v>56</v>
      </c>
      <c r="E320" t="s">
        <v>56</v>
      </c>
      <c r="F320">
        <v>61</v>
      </c>
      <c r="G320" t="s">
        <v>56</v>
      </c>
      <c r="H320" t="s">
        <v>55</v>
      </c>
      <c r="I320" t="s">
        <v>31</v>
      </c>
      <c r="J320" t="s">
        <v>12</v>
      </c>
      <c r="K320" t="s">
        <v>56</v>
      </c>
      <c r="L320" t="s">
        <v>26</v>
      </c>
      <c r="M320">
        <v>25.91</v>
      </c>
      <c r="N320">
        <v>1656.75</v>
      </c>
      <c r="O320" t="s">
        <v>80</v>
      </c>
      <c r="P320" t="s">
        <v>55</v>
      </c>
      <c r="Q320">
        <f t="shared" si="12"/>
        <v>0</v>
      </c>
      <c r="R320" t="str">
        <f t="shared" si="13"/>
        <v>49+ months</v>
      </c>
      <c r="S320" t="str">
        <f t="shared" si="14"/>
        <v>&lt; $50</v>
      </c>
    </row>
    <row r="321" spans="1:19" x14ac:dyDescent="0.35">
      <c r="A321" t="s">
        <v>385</v>
      </c>
      <c r="B321">
        <v>75</v>
      </c>
      <c r="C321" t="s">
        <v>56</v>
      </c>
      <c r="D321" t="s">
        <v>55</v>
      </c>
      <c r="E321" t="s">
        <v>55</v>
      </c>
      <c r="F321">
        <v>48</v>
      </c>
      <c r="G321" t="s">
        <v>55</v>
      </c>
      <c r="H321" t="s">
        <v>60</v>
      </c>
      <c r="I321" t="s">
        <v>31</v>
      </c>
      <c r="J321" t="s">
        <v>12</v>
      </c>
      <c r="K321" t="s">
        <v>55</v>
      </c>
      <c r="L321" t="s">
        <v>1066</v>
      </c>
      <c r="M321">
        <v>22.57</v>
      </c>
      <c r="N321">
        <v>1094.94</v>
      </c>
      <c r="O321" t="s">
        <v>66</v>
      </c>
      <c r="P321" t="s">
        <v>55</v>
      </c>
      <c r="Q321">
        <f t="shared" si="12"/>
        <v>0</v>
      </c>
      <c r="R321" t="str">
        <f t="shared" si="13"/>
        <v>25-48 months</v>
      </c>
      <c r="S321" t="str">
        <f t="shared" si="14"/>
        <v>&lt; $50</v>
      </c>
    </row>
    <row r="322" spans="1:19" x14ac:dyDescent="0.35">
      <c r="A322" t="s">
        <v>386</v>
      </c>
      <c r="B322">
        <v>71</v>
      </c>
      <c r="C322" t="s">
        <v>56</v>
      </c>
      <c r="D322" t="s">
        <v>56</v>
      </c>
      <c r="E322" t="s">
        <v>55</v>
      </c>
      <c r="F322">
        <v>18</v>
      </c>
      <c r="G322" t="s">
        <v>56</v>
      </c>
      <c r="H322" t="s">
        <v>55</v>
      </c>
      <c r="I322" t="s">
        <v>30</v>
      </c>
      <c r="J322" t="s">
        <v>12</v>
      </c>
      <c r="K322" t="s">
        <v>55</v>
      </c>
      <c r="L322" t="s">
        <v>26</v>
      </c>
      <c r="M322">
        <v>70.27</v>
      </c>
      <c r="N322">
        <v>1301.8399999999999</v>
      </c>
      <c r="O322" t="s">
        <v>58</v>
      </c>
      <c r="P322" t="s">
        <v>56</v>
      </c>
      <c r="Q322">
        <f t="shared" si="12"/>
        <v>1</v>
      </c>
      <c r="R322" t="str">
        <f t="shared" si="13"/>
        <v>13-24 months</v>
      </c>
      <c r="S322" t="str">
        <f t="shared" si="14"/>
        <v>$50-$75</v>
      </c>
    </row>
    <row r="323" spans="1:19" x14ac:dyDescent="0.35">
      <c r="A323" t="s">
        <v>387</v>
      </c>
      <c r="B323">
        <v>25</v>
      </c>
      <c r="C323" t="s">
        <v>55</v>
      </c>
      <c r="D323" t="s">
        <v>56</v>
      </c>
      <c r="E323" t="s">
        <v>55</v>
      </c>
      <c r="F323">
        <v>27</v>
      </c>
      <c r="G323" t="s">
        <v>55</v>
      </c>
      <c r="H323" t="s">
        <v>60</v>
      </c>
      <c r="I323" t="s">
        <v>29</v>
      </c>
      <c r="J323" t="s">
        <v>12</v>
      </c>
      <c r="K323" t="s">
        <v>56</v>
      </c>
      <c r="L323" t="s">
        <v>26</v>
      </c>
      <c r="M323">
        <v>66.06</v>
      </c>
      <c r="N323">
        <v>1730.89</v>
      </c>
      <c r="O323" t="s">
        <v>64</v>
      </c>
      <c r="P323" t="s">
        <v>55</v>
      </c>
      <c r="Q323">
        <f t="shared" ref="Q323:Q386" si="15">IF(P323="Yes",1,0)</f>
        <v>0</v>
      </c>
      <c r="R323" t="str">
        <f t="shared" ref="R323:R386" si="16">IF(F323&lt;=12,"0-12 months",IF(F323&lt;=24,"13-24 months",IF(F323&lt;=48,"25-48 months","49+ months")))</f>
        <v>25-48 months</v>
      </c>
      <c r="S323" t="str">
        <f t="shared" ref="S323:S386" si="17">IF(M323&lt;50,"&lt; $50",IF(M323&lt;=75,"$50-$75",IF(M323&lt;=100,"$76-$100","&gt; $100")))</f>
        <v>$50-$75</v>
      </c>
    </row>
    <row r="324" spans="1:19" x14ac:dyDescent="0.35">
      <c r="A324" t="s">
        <v>388</v>
      </c>
      <c r="B324">
        <v>54</v>
      </c>
      <c r="C324" t="s">
        <v>55</v>
      </c>
      <c r="D324" t="s">
        <v>55</v>
      </c>
      <c r="E324" t="s">
        <v>55</v>
      </c>
      <c r="F324">
        <v>51</v>
      </c>
      <c r="G324" t="s">
        <v>55</v>
      </c>
      <c r="H324" t="s">
        <v>60</v>
      </c>
      <c r="I324" t="s">
        <v>29</v>
      </c>
      <c r="J324" t="s">
        <v>13</v>
      </c>
      <c r="K324" t="s">
        <v>55</v>
      </c>
      <c r="L324" t="s">
        <v>26</v>
      </c>
      <c r="M324">
        <v>62.36</v>
      </c>
      <c r="N324">
        <v>3174.16</v>
      </c>
      <c r="O324" t="s">
        <v>58</v>
      </c>
      <c r="P324" t="s">
        <v>55</v>
      </c>
      <c r="Q324">
        <f t="shared" si="15"/>
        <v>0</v>
      </c>
      <c r="R324" t="str">
        <f t="shared" si="16"/>
        <v>49+ months</v>
      </c>
      <c r="S324" t="str">
        <f t="shared" si="17"/>
        <v>$50-$75</v>
      </c>
    </row>
    <row r="325" spans="1:19" x14ac:dyDescent="0.35">
      <c r="A325" t="s">
        <v>389</v>
      </c>
      <c r="B325">
        <v>40</v>
      </c>
      <c r="C325" t="s">
        <v>55</v>
      </c>
      <c r="D325" t="s">
        <v>55</v>
      </c>
      <c r="E325" t="s">
        <v>56</v>
      </c>
      <c r="F325">
        <v>16</v>
      </c>
      <c r="G325" t="s">
        <v>55</v>
      </c>
      <c r="H325" t="s">
        <v>60</v>
      </c>
      <c r="I325" t="s">
        <v>29</v>
      </c>
      <c r="J325" t="s">
        <v>13</v>
      </c>
      <c r="K325" t="s">
        <v>56</v>
      </c>
      <c r="L325" t="s">
        <v>26</v>
      </c>
      <c r="M325">
        <v>60.33</v>
      </c>
      <c r="N325">
        <v>998.42</v>
      </c>
      <c r="O325" t="s">
        <v>58</v>
      </c>
      <c r="P325" t="s">
        <v>55</v>
      </c>
      <c r="Q325">
        <f t="shared" si="15"/>
        <v>0</v>
      </c>
      <c r="R325" t="str">
        <f t="shared" si="16"/>
        <v>13-24 months</v>
      </c>
      <c r="S325" t="str">
        <f t="shared" si="17"/>
        <v>$50-$75</v>
      </c>
    </row>
    <row r="326" spans="1:19" x14ac:dyDescent="0.35">
      <c r="A326" t="s">
        <v>390</v>
      </c>
      <c r="B326">
        <v>62</v>
      </c>
      <c r="C326" t="s">
        <v>56</v>
      </c>
      <c r="D326" t="s">
        <v>56</v>
      </c>
      <c r="E326" t="s">
        <v>56</v>
      </c>
      <c r="F326">
        <v>50</v>
      </c>
      <c r="G326" t="s">
        <v>56</v>
      </c>
      <c r="H326" t="s">
        <v>55</v>
      </c>
      <c r="I326" t="s">
        <v>31</v>
      </c>
      <c r="J326" t="s">
        <v>14</v>
      </c>
      <c r="K326" t="s">
        <v>55</v>
      </c>
      <c r="L326" t="s">
        <v>25</v>
      </c>
      <c r="M326">
        <v>23.22</v>
      </c>
      <c r="N326">
        <v>1100.27</v>
      </c>
      <c r="O326" t="s">
        <v>80</v>
      </c>
      <c r="P326" t="s">
        <v>55</v>
      </c>
      <c r="Q326">
        <f t="shared" si="15"/>
        <v>0</v>
      </c>
      <c r="R326" t="str">
        <f t="shared" si="16"/>
        <v>49+ months</v>
      </c>
      <c r="S326" t="str">
        <f t="shared" si="17"/>
        <v>&lt; $50</v>
      </c>
    </row>
    <row r="327" spans="1:19" x14ac:dyDescent="0.35">
      <c r="A327" t="s">
        <v>391</v>
      </c>
      <c r="B327">
        <v>56</v>
      </c>
      <c r="C327" t="s">
        <v>55</v>
      </c>
      <c r="D327" t="s">
        <v>56</v>
      </c>
      <c r="E327" t="s">
        <v>55</v>
      </c>
      <c r="F327">
        <v>52</v>
      </c>
      <c r="G327" t="s">
        <v>55</v>
      </c>
      <c r="H327" t="s">
        <v>60</v>
      </c>
      <c r="I327" t="s">
        <v>29</v>
      </c>
      <c r="J327" t="s">
        <v>13</v>
      </c>
      <c r="K327" t="s">
        <v>56</v>
      </c>
      <c r="L327" t="s">
        <v>25</v>
      </c>
      <c r="M327">
        <v>72.81</v>
      </c>
      <c r="N327">
        <v>3849.86</v>
      </c>
      <c r="O327" t="s">
        <v>62</v>
      </c>
      <c r="P327" t="s">
        <v>55</v>
      </c>
      <c r="Q327">
        <f t="shared" si="15"/>
        <v>0</v>
      </c>
      <c r="R327" t="str">
        <f t="shared" si="16"/>
        <v>49+ months</v>
      </c>
      <c r="S327" t="str">
        <f t="shared" si="17"/>
        <v>$50-$75</v>
      </c>
    </row>
    <row r="328" spans="1:19" x14ac:dyDescent="0.35">
      <c r="A328" t="s">
        <v>392</v>
      </c>
      <c r="B328">
        <v>72</v>
      </c>
      <c r="C328" t="s">
        <v>56</v>
      </c>
      <c r="D328" t="s">
        <v>55</v>
      </c>
      <c r="E328" t="s">
        <v>56</v>
      </c>
      <c r="F328">
        <v>5</v>
      </c>
      <c r="G328" t="s">
        <v>56</v>
      </c>
      <c r="H328" t="s">
        <v>55</v>
      </c>
      <c r="I328" t="s">
        <v>29</v>
      </c>
      <c r="J328" t="s">
        <v>13</v>
      </c>
      <c r="K328" t="s">
        <v>55</v>
      </c>
      <c r="L328" t="s">
        <v>26</v>
      </c>
      <c r="M328">
        <v>40.01</v>
      </c>
      <c r="N328">
        <v>191.83</v>
      </c>
      <c r="O328" t="s">
        <v>66</v>
      </c>
      <c r="P328" t="s">
        <v>55</v>
      </c>
      <c r="Q328">
        <f t="shared" si="15"/>
        <v>0</v>
      </c>
      <c r="R328" t="str">
        <f t="shared" si="16"/>
        <v>0-12 months</v>
      </c>
      <c r="S328" t="str">
        <f t="shared" si="17"/>
        <v>&lt; $50</v>
      </c>
    </row>
    <row r="329" spans="1:19" x14ac:dyDescent="0.35">
      <c r="A329" t="s">
        <v>393</v>
      </c>
      <c r="B329">
        <v>43</v>
      </c>
      <c r="C329" t="s">
        <v>55</v>
      </c>
      <c r="D329" t="s">
        <v>55</v>
      </c>
      <c r="E329" t="s">
        <v>55</v>
      </c>
      <c r="F329">
        <v>52</v>
      </c>
      <c r="G329" t="s">
        <v>56</v>
      </c>
      <c r="H329" t="s">
        <v>55</v>
      </c>
      <c r="I329" t="s">
        <v>29</v>
      </c>
      <c r="J329" t="s">
        <v>12</v>
      </c>
      <c r="K329" t="s">
        <v>56</v>
      </c>
      <c r="L329" t="s">
        <v>24</v>
      </c>
      <c r="M329">
        <v>69.05</v>
      </c>
      <c r="N329">
        <v>3616.07</v>
      </c>
      <c r="O329" t="s">
        <v>76</v>
      </c>
      <c r="P329" t="s">
        <v>55</v>
      </c>
      <c r="Q329">
        <f t="shared" si="15"/>
        <v>0</v>
      </c>
      <c r="R329" t="str">
        <f t="shared" si="16"/>
        <v>49+ months</v>
      </c>
      <c r="S329" t="str">
        <f t="shared" si="17"/>
        <v>$50-$75</v>
      </c>
    </row>
    <row r="330" spans="1:19" x14ac:dyDescent="0.35">
      <c r="A330" t="s">
        <v>394</v>
      </c>
      <c r="B330">
        <v>70</v>
      </c>
      <c r="C330" t="s">
        <v>56</v>
      </c>
      <c r="D330" t="s">
        <v>55</v>
      </c>
      <c r="E330" t="s">
        <v>56</v>
      </c>
      <c r="F330">
        <v>25</v>
      </c>
      <c r="G330" t="s">
        <v>55</v>
      </c>
      <c r="H330" t="s">
        <v>60</v>
      </c>
      <c r="I330" t="s">
        <v>29</v>
      </c>
      <c r="J330" t="s">
        <v>13</v>
      </c>
      <c r="K330" t="s">
        <v>55</v>
      </c>
      <c r="L330" t="s">
        <v>26</v>
      </c>
      <c r="M330">
        <v>60.25</v>
      </c>
      <c r="N330">
        <v>1516.85</v>
      </c>
      <c r="O330" t="s">
        <v>76</v>
      </c>
      <c r="P330" t="s">
        <v>55</v>
      </c>
      <c r="Q330">
        <f t="shared" si="15"/>
        <v>0</v>
      </c>
      <c r="R330" t="str">
        <f t="shared" si="16"/>
        <v>25-48 months</v>
      </c>
      <c r="S330" t="str">
        <f t="shared" si="17"/>
        <v>$50-$75</v>
      </c>
    </row>
    <row r="331" spans="1:19" x14ac:dyDescent="0.35">
      <c r="A331" t="s">
        <v>395</v>
      </c>
      <c r="B331">
        <v>25</v>
      </c>
      <c r="C331" t="s">
        <v>55</v>
      </c>
      <c r="D331" t="s">
        <v>55</v>
      </c>
      <c r="E331" t="s">
        <v>55</v>
      </c>
      <c r="F331">
        <v>57</v>
      </c>
      <c r="G331" t="s">
        <v>55</v>
      </c>
      <c r="H331" t="s">
        <v>60</v>
      </c>
      <c r="I331" t="s">
        <v>31</v>
      </c>
      <c r="J331" t="s">
        <v>13</v>
      </c>
      <c r="K331" t="s">
        <v>55</v>
      </c>
      <c r="L331" t="s">
        <v>25</v>
      </c>
      <c r="M331">
        <v>23.51</v>
      </c>
      <c r="N331">
        <v>1333.75</v>
      </c>
      <c r="O331" t="s">
        <v>80</v>
      </c>
      <c r="P331" t="s">
        <v>55</v>
      </c>
      <c r="Q331">
        <f t="shared" si="15"/>
        <v>0</v>
      </c>
      <c r="R331" t="str">
        <f t="shared" si="16"/>
        <v>49+ months</v>
      </c>
      <c r="S331" t="str">
        <f t="shared" si="17"/>
        <v>&lt; $50</v>
      </c>
    </row>
    <row r="332" spans="1:19" x14ac:dyDescent="0.35">
      <c r="A332" t="s">
        <v>396</v>
      </c>
      <c r="B332">
        <v>48</v>
      </c>
      <c r="C332" t="s">
        <v>55</v>
      </c>
      <c r="D332" t="s">
        <v>56</v>
      </c>
      <c r="E332" t="s">
        <v>55</v>
      </c>
      <c r="F332">
        <v>9</v>
      </c>
      <c r="G332" t="s">
        <v>56</v>
      </c>
      <c r="H332" t="s">
        <v>55</v>
      </c>
      <c r="I332" t="s">
        <v>30</v>
      </c>
      <c r="J332" t="s">
        <v>12</v>
      </c>
      <c r="K332" t="s">
        <v>55</v>
      </c>
      <c r="L332" t="s">
        <v>24</v>
      </c>
      <c r="M332">
        <v>87.65</v>
      </c>
      <c r="N332">
        <v>792.22</v>
      </c>
      <c r="O332" t="s">
        <v>76</v>
      </c>
      <c r="P332" t="s">
        <v>55</v>
      </c>
      <c r="Q332">
        <f t="shared" si="15"/>
        <v>0</v>
      </c>
      <c r="R332" t="str">
        <f t="shared" si="16"/>
        <v>0-12 months</v>
      </c>
      <c r="S332" t="str">
        <f t="shared" si="17"/>
        <v>$76-$100</v>
      </c>
    </row>
    <row r="333" spans="1:19" x14ac:dyDescent="0.35">
      <c r="A333" t="s">
        <v>397</v>
      </c>
      <c r="B333">
        <v>33</v>
      </c>
      <c r="C333" t="s">
        <v>55</v>
      </c>
      <c r="D333" t="s">
        <v>55</v>
      </c>
      <c r="E333" t="s">
        <v>56</v>
      </c>
      <c r="F333">
        <v>52</v>
      </c>
      <c r="G333" t="s">
        <v>55</v>
      </c>
      <c r="H333" t="s">
        <v>60</v>
      </c>
      <c r="I333" t="s">
        <v>29</v>
      </c>
      <c r="J333" t="s">
        <v>12</v>
      </c>
      <c r="K333" t="s">
        <v>56</v>
      </c>
      <c r="L333" t="s">
        <v>24</v>
      </c>
      <c r="M333">
        <v>54.14</v>
      </c>
      <c r="N333">
        <v>2948.49</v>
      </c>
      <c r="O333" t="s">
        <v>69</v>
      </c>
      <c r="P333" t="s">
        <v>56</v>
      </c>
      <c r="Q333">
        <f t="shared" si="15"/>
        <v>1</v>
      </c>
      <c r="R333" t="str">
        <f t="shared" si="16"/>
        <v>49+ months</v>
      </c>
      <c r="S333" t="str">
        <f t="shared" si="17"/>
        <v>$50-$75</v>
      </c>
    </row>
    <row r="334" spans="1:19" x14ac:dyDescent="0.35">
      <c r="A334" t="s">
        <v>398</v>
      </c>
      <c r="B334">
        <v>61</v>
      </c>
      <c r="C334" t="s">
        <v>56</v>
      </c>
      <c r="D334" t="s">
        <v>56</v>
      </c>
      <c r="E334" t="s">
        <v>55</v>
      </c>
      <c r="F334">
        <v>26</v>
      </c>
      <c r="G334" t="s">
        <v>56</v>
      </c>
      <c r="H334" t="s">
        <v>55</v>
      </c>
      <c r="I334" t="s">
        <v>30</v>
      </c>
      <c r="J334" t="s">
        <v>12</v>
      </c>
      <c r="K334" t="s">
        <v>56</v>
      </c>
      <c r="L334" t="s">
        <v>1066</v>
      </c>
      <c r="M334">
        <v>111.82</v>
      </c>
      <c r="N334">
        <v>2857.09</v>
      </c>
      <c r="O334" t="s">
        <v>80</v>
      </c>
      <c r="P334" t="s">
        <v>55</v>
      </c>
      <c r="Q334">
        <f t="shared" si="15"/>
        <v>0</v>
      </c>
      <c r="R334" t="str">
        <f t="shared" si="16"/>
        <v>25-48 months</v>
      </c>
      <c r="S334" t="str">
        <f t="shared" si="17"/>
        <v>&gt; $100</v>
      </c>
    </row>
    <row r="335" spans="1:19" x14ac:dyDescent="0.35">
      <c r="A335" t="s">
        <v>399</v>
      </c>
      <c r="B335">
        <v>23</v>
      </c>
      <c r="C335" t="s">
        <v>55</v>
      </c>
      <c r="D335" t="s">
        <v>55</v>
      </c>
      <c r="E335" t="s">
        <v>56</v>
      </c>
      <c r="F335">
        <v>70</v>
      </c>
      <c r="G335" t="s">
        <v>55</v>
      </c>
      <c r="H335" t="s">
        <v>60</v>
      </c>
      <c r="I335" t="s">
        <v>31</v>
      </c>
      <c r="J335" t="s">
        <v>12</v>
      </c>
      <c r="K335" t="s">
        <v>55</v>
      </c>
      <c r="L335" t="s">
        <v>24</v>
      </c>
      <c r="M335">
        <v>29.82</v>
      </c>
      <c r="N335">
        <v>2186.84</v>
      </c>
      <c r="O335" t="s">
        <v>64</v>
      </c>
      <c r="P335" t="s">
        <v>55</v>
      </c>
      <c r="Q335">
        <f t="shared" si="15"/>
        <v>0</v>
      </c>
      <c r="R335" t="str">
        <f t="shared" si="16"/>
        <v>49+ months</v>
      </c>
      <c r="S335" t="str">
        <f t="shared" si="17"/>
        <v>&lt; $50</v>
      </c>
    </row>
    <row r="336" spans="1:19" x14ac:dyDescent="0.35">
      <c r="A336" t="s">
        <v>400</v>
      </c>
      <c r="B336">
        <v>29</v>
      </c>
      <c r="C336" t="s">
        <v>55</v>
      </c>
      <c r="D336" t="s">
        <v>55</v>
      </c>
      <c r="E336" t="s">
        <v>55</v>
      </c>
      <c r="F336">
        <v>29</v>
      </c>
      <c r="G336" t="s">
        <v>56</v>
      </c>
      <c r="H336" t="s">
        <v>56</v>
      </c>
      <c r="I336" t="s">
        <v>29</v>
      </c>
      <c r="J336" t="s">
        <v>13</v>
      </c>
      <c r="K336" t="s">
        <v>55</v>
      </c>
      <c r="L336" t="s">
        <v>25</v>
      </c>
      <c r="M336">
        <v>41.3</v>
      </c>
      <c r="N336">
        <v>1175.75</v>
      </c>
      <c r="O336" t="s">
        <v>66</v>
      </c>
      <c r="P336" t="s">
        <v>55</v>
      </c>
      <c r="Q336">
        <f t="shared" si="15"/>
        <v>0</v>
      </c>
      <c r="R336" t="str">
        <f t="shared" si="16"/>
        <v>25-48 months</v>
      </c>
      <c r="S336" t="str">
        <f t="shared" si="17"/>
        <v>&lt; $50</v>
      </c>
    </row>
    <row r="337" spans="1:19" x14ac:dyDescent="0.35">
      <c r="A337" t="s">
        <v>401</v>
      </c>
      <c r="B337">
        <v>29</v>
      </c>
      <c r="C337" t="s">
        <v>55</v>
      </c>
      <c r="D337" t="s">
        <v>55</v>
      </c>
      <c r="E337" t="s">
        <v>56</v>
      </c>
      <c r="F337">
        <v>67</v>
      </c>
      <c r="G337" t="s">
        <v>56</v>
      </c>
      <c r="H337" t="s">
        <v>56</v>
      </c>
      <c r="I337" t="s">
        <v>29</v>
      </c>
      <c r="J337" t="s">
        <v>12</v>
      </c>
      <c r="K337" t="s">
        <v>56</v>
      </c>
      <c r="L337" t="s">
        <v>26</v>
      </c>
      <c r="M337">
        <v>64.510000000000005</v>
      </c>
      <c r="N337">
        <v>4197.54</v>
      </c>
      <c r="O337" t="s">
        <v>62</v>
      </c>
      <c r="P337" t="s">
        <v>55</v>
      </c>
      <c r="Q337">
        <f t="shared" si="15"/>
        <v>0</v>
      </c>
      <c r="R337" t="str">
        <f t="shared" si="16"/>
        <v>49+ months</v>
      </c>
      <c r="S337" t="str">
        <f t="shared" si="17"/>
        <v>$50-$75</v>
      </c>
    </row>
    <row r="338" spans="1:19" x14ac:dyDescent="0.35">
      <c r="A338" t="s">
        <v>402</v>
      </c>
      <c r="B338">
        <v>35</v>
      </c>
      <c r="C338" t="s">
        <v>55</v>
      </c>
      <c r="D338" t="s">
        <v>55</v>
      </c>
      <c r="E338" t="s">
        <v>55</v>
      </c>
      <c r="F338">
        <v>47</v>
      </c>
      <c r="G338" t="s">
        <v>55</v>
      </c>
      <c r="H338" t="s">
        <v>60</v>
      </c>
      <c r="I338" t="s">
        <v>30</v>
      </c>
      <c r="J338" t="s">
        <v>12</v>
      </c>
      <c r="K338" t="s">
        <v>55</v>
      </c>
      <c r="L338" t="s">
        <v>24</v>
      </c>
      <c r="M338">
        <v>90.03</v>
      </c>
      <c r="N338">
        <v>4206.3900000000003</v>
      </c>
      <c r="O338" t="s">
        <v>58</v>
      </c>
      <c r="P338" t="s">
        <v>55</v>
      </c>
      <c r="Q338">
        <f t="shared" si="15"/>
        <v>0</v>
      </c>
      <c r="R338" t="str">
        <f t="shared" si="16"/>
        <v>25-48 months</v>
      </c>
      <c r="S338" t="str">
        <f t="shared" si="17"/>
        <v>$76-$100</v>
      </c>
    </row>
    <row r="339" spans="1:19" x14ac:dyDescent="0.35">
      <c r="A339" t="s">
        <v>403</v>
      </c>
      <c r="B339">
        <v>61</v>
      </c>
      <c r="C339" t="s">
        <v>56</v>
      </c>
      <c r="D339" t="s">
        <v>56</v>
      </c>
      <c r="E339" t="s">
        <v>56</v>
      </c>
      <c r="F339">
        <v>35</v>
      </c>
      <c r="G339" t="s">
        <v>55</v>
      </c>
      <c r="H339" t="s">
        <v>60</v>
      </c>
      <c r="I339" t="s">
        <v>31</v>
      </c>
      <c r="J339" t="s">
        <v>14</v>
      </c>
      <c r="K339" t="s">
        <v>56</v>
      </c>
      <c r="L339" t="s">
        <v>26</v>
      </c>
      <c r="M339">
        <v>29.51</v>
      </c>
      <c r="N339">
        <v>989.41</v>
      </c>
      <c r="O339" t="s">
        <v>62</v>
      </c>
      <c r="P339" t="s">
        <v>55</v>
      </c>
      <c r="Q339">
        <f t="shared" si="15"/>
        <v>0</v>
      </c>
      <c r="R339" t="str">
        <f t="shared" si="16"/>
        <v>25-48 months</v>
      </c>
      <c r="S339" t="str">
        <f t="shared" si="17"/>
        <v>&lt; $50</v>
      </c>
    </row>
    <row r="340" spans="1:19" x14ac:dyDescent="0.35">
      <c r="A340" t="s">
        <v>404</v>
      </c>
      <c r="B340">
        <v>44</v>
      </c>
      <c r="C340" t="s">
        <v>55</v>
      </c>
      <c r="D340" t="s">
        <v>55</v>
      </c>
      <c r="E340" t="s">
        <v>56</v>
      </c>
      <c r="F340">
        <v>67</v>
      </c>
      <c r="G340" t="s">
        <v>55</v>
      </c>
      <c r="H340" t="s">
        <v>60</v>
      </c>
      <c r="I340" t="s">
        <v>29</v>
      </c>
      <c r="J340" t="s">
        <v>13</v>
      </c>
      <c r="K340" t="s">
        <v>55</v>
      </c>
      <c r="L340" t="s">
        <v>26</v>
      </c>
      <c r="M340">
        <v>74.34</v>
      </c>
      <c r="N340">
        <v>4710.45</v>
      </c>
      <c r="O340" t="s">
        <v>62</v>
      </c>
      <c r="P340" t="s">
        <v>56</v>
      </c>
      <c r="Q340">
        <f t="shared" si="15"/>
        <v>1</v>
      </c>
      <c r="R340" t="str">
        <f t="shared" si="16"/>
        <v>49+ months</v>
      </c>
      <c r="S340" t="str">
        <f t="shared" si="17"/>
        <v>$50-$75</v>
      </c>
    </row>
    <row r="341" spans="1:19" x14ac:dyDescent="0.35">
      <c r="A341" t="s">
        <v>405</v>
      </c>
      <c r="B341">
        <v>21</v>
      </c>
      <c r="C341" t="s">
        <v>55</v>
      </c>
      <c r="D341" t="s">
        <v>56</v>
      </c>
      <c r="E341" t="s">
        <v>55</v>
      </c>
      <c r="F341">
        <v>61</v>
      </c>
      <c r="G341" t="s">
        <v>56</v>
      </c>
      <c r="H341" t="s">
        <v>55</v>
      </c>
      <c r="I341" t="s">
        <v>31</v>
      </c>
      <c r="J341" t="s">
        <v>12</v>
      </c>
      <c r="K341" t="s">
        <v>55</v>
      </c>
      <c r="L341" t="s">
        <v>24</v>
      </c>
      <c r="M341">
        <v>24.69</v>
      </c>
      <c r="N341">
        <v>1562.12</v>
      </c>
      <c r="O341" t="s">
        <v>64</v>
      </c>
      <c r="P341" t="s">
        <v>55</v>
      </c>
      <c r="Q341">
        <f t="shared" si="15"/>
        <v>0</v>
      </c>
      <c r="R341" t="str">
        <f t="shared" si="16"/>
        <v>49+ months</v>
      </c>
      <c r="S341" t="str">
        <f t="shared" si="17"/>
        <v>&lt; $50</v>
      </c>
    </row>
    <row r="342" spans="1:19" x14ac:dyDescent="0.35">
      <c r="A342" t="s">
        <v>406</v>
      </c>
      <c r="B342">
        <v>25</v>
      </c>
      <c r="C342" t="s">
        <v>55</v>
      </c>
      <c r="D342" t="s">
        <v>55</v>
      </c>
      <c r="E342" t="s">
        <v>56</v>
      </c>
      <c r="F342">
        <v>69</v>
      </c>
      <c r="G342" t="s">
        <v>55</v>
      </c>
      <c r="H342" t="s">
        <v>60</v>
      </c>
      <c r="I342" t="s">
        <v>30</v>
      </c>
      <c r="J342" t="s">
        <v>12</v>
      </c>
      <c r="K342" t="s">
        <v>55</v>
      </c>
      <c r="L342" t="s">
        <v>1066</v>
      </c>
      <c r="M342">
        <v>92.35</v>
      </c>
      <c r="N342">
        <v>6049.78</v>
      </c>
      <c r="O342" t="s">
        <v>64</v>
      </c>
      <c r="P342" t="s">
        <v>55</v>
      </c>
      <c r="Q342">
        <f t="shared" si="15"/>
        <v>0</v>
      </c>
      <c r="R342" t="str">
        <f t="shared" si="16"/>
        <v>49+ months</v>
      </c>
      <c r="S342" t="str">
        <f t="shared" si="17"/>
        <v>$76-$100</v>
      </c>
    </row>
    <row r="343" spans="1:19" x14ac:dyDescent="0.35">
      <c r="A343" t="s">
        <v>407</v>
      </c>
      <c r="B343">
        <v>58</v>
      </c>
      <c r="C343" t="s">
        <v>55</v>
      </c>
      <c r="D343" t="s">
        <v>56</v>
      </c>
      <c r="E343" t="s">
        <v>56</v>
      </c>
      <c r="F343">
        <v>44</v>
      </c>
      <c r="G343" t="s">
        <v>55</v>
      </c>
      <c r="H343" t="s">
        <v>60</v>
      </c>
      <c r="I343" t="s">
        <v>30</v>
      </c>
      <c r="J343" t="s">
        <v>14</v>
      </c>
      <c r="K343" t="s">
        <v>56</v>
      </c>
      <c r="L343" t="s">
        <v>26</v>
      </c>
      <c r="M343">
        <v>87.18</v>
      </c>
      <c r="N343">
        <v>3750.06</v>
      </c>
      <c r="O343" t="s">
        <v>69</v>
      </c>
      <c r="P343" t="s">
        <v>55</v>
      </c>
      <c r="Q343">
        <f t="shared" si="15"/>
        <v>0</v>
      </c>
      <c r="R343" t="str">
        <f t="shared" si="16"/>
        <v>25-48 months</v>
      </c>
      <c r="S343" t="str">
        <f t="shared" si="17"/>
        <v>$76-$100</v>
      </c>
    </row>
    <row r="344" spans="1:19" x14ac:dyDescent="0.35">
      <c r="A344" t="s">
        <v>408</v>
      </c>
      <c r="B344">
        <v>35</v>
      </c>
      <c r="C344" t="s">
        <v>55</v>
      </c>
      <c r="D344" t="s">
        <v>55</v>
      </c>
      <c r="E344" t="s">
        <v>55</v>
      </c>
      <c r="F344">
        <v>57</v>
      </c>
      <c r="G344" t="s">
        <v>55</v>
      </c>
      <c r="H344" t="s">
        <v>60</v>
      </c>
      <c r="I344" t="s">
        <v>29</v>
      </c>
      <c r="J344" t="s">
        <v>13</v>
      </c>
      <c r="K344" t="s">
        <v>55</v>
      </c>
      <c r="L344" t="s">
        <v>24</v>
      </c>
      <c r="M344">
        <v>47.36</v>
      </c>
      <c r="N344">
        <v>2545.0300000000002</v>
      </c>
      <c r="O344" t="s">
        <v>69</v>
      </c>
      <c r="P344" t="s">
        <v>55</v>
      </c>
      <c r="Q344">
        <f t="shared" si="15"/>
        <v>0</v>
      </c>
      <c r="R344" t="str">
        <f t="shared" si="16"/>
        <v>49+ months</v>
      </c>
      <c r="S344" t="str">
        <f t="shared" si="17"/>
        <v>&lt; $50</v>
      </c>
    </row>
    <row r="345" spans="1:19" x14ac:dyDescent="0.35">
      <c r="A345" t="s">
        <v>409</v>
      </c>
      <c r="B345">
        <v>34</v>
      </c>
      <c r="C345" t="s">
        <v>55</v>
      </c>
      <c r="D345" t="s">
        <v>56</v>
      </c>
      <c r="E345" t="s">
        <v>56</v>
      </c>
      <c r="F345">
        <v>22</v>
      </c>
      <c r="G345" t="s">
        <v>56</v>
      </c>
      <c r="H345" t="s">
        <v>56</v>
      </c>
      <c r="I345" t="s">
        <v>30</v>
      </c>
      <c r="J345" t="s">
        <v>14</v>
      </c>
      <c r="K345" t="s">
        <v>56</v>
      </c>
      <c r="L345" t="s">
        <v>26</v>
      </c>
      <c r="M345">
        <v>89.85</v>
      </c>
      <c r="N345">
        <v>2039.56</v>
      </c>
      <c r="O345" t="s">
        <v>76</v>
      </c>
      <c r="P345" t="s">
        <v>56</v>
      </c>
      <c r="Q345">
        <f t="shared" si="15"/>
        <v>1</v>
      </c>
      <c r="R345" t="str">
        <f t="shared" si="16"/>
        <v>13-24 months</v>
      </c>
      <c r="S345" t="str">
        <f t="shared" si="17"/>
        <v>$76-$100</v>
      </c>
    </row>
    <row r="346" spans="1:19" x14ac:dyDescent="0.35">
      <c r="A346" t="s">
        <v>410</v>
      </c>
      <c r="B346">
        <v>57</v>
      </c>
      <c r="C346" t="s">
        <v>55</v>
      </c>
      <c r="D346" t="s">
        <v>56</v>
      </c>
      <c r="E346" t="s">
        <v>56</v>
      </c>
      <c r="F346">
        <v>50</v>
      </c>
      <c r="G346" t="s">
        <v>56</v>
      </c>
      <c r="H346" t="s">
        <v>55</v>
      </c>
      <c r="I346" t="s">
        <v>30</v>
      </c>
      <c r="J346" t="s">
        <v>12</v>
      </c>
      <c r="K346" t="s">
        <v>56</v>
      </c>
      <c r="L346" t="s">
        <v>26</v>
      </c>
      <c r="M346">
        <v>111.93</v>
      </c>
      <c r="N346">
        <v>5279.9</v>
      </c>
      <c r="O346" t="s">
        <v>66</v>
      </c>
      <c r="P346" t="s">
        <v>55</v>
      </c>
      <c r="Q346">
        <f t="shared" si="15"/>
        <v>0</v>
      </c>
      <c r="R346" t="str">
        <f t="shared" si="16"/>
        <v>49+ months</v>
      </c>
      <c r="S346" t="str">
        <f t="shared" si="17"/>
        <v>&gt; $100</v>
      </c>
    </row>
    <row r="347" spans="1:19" x14ac:dyDescent="0.35">
      <c r="A347" t="s">
        <v>411</v>
      </c>
      <c r="B347">
        <v>38</v>
      </c>
      <c r="C347" t="s">
        <v>55</v>
      </c>
      <c r="D347" t="s">
        <v>55</v>
      </c>
      <c r="E347" t="s">
        <v>55</v>
      </c>
      <c r="F347">
        <v>70</v>
      </c>
      <c r="G347" t="s">
        <v>55</v>
      </c>
      <c r="H347" t="s">
        <v>60</v>
      </c>
      <c r="I347" t="s">
        <v>31</v>
      </c>
      <c r="J347" t="s">
        <v>12</v>
      </c>
      <c r="K347" t="s">
        <v>56</v>
      </c>
      <c r="L347" t="s">
        <v>24</v>
      </c>
      <c r="M347">
        <v>23.48</v>
      </c>
      <c r="N347">
        <v>1692.69</v>
      </c>
      <c r="O347" t="s">
        <v>64</v>
      </c>
      <c r="P347" t="s">
        <v>55</v>
      </c>
      <c r="Q347">
        <f t="shared" si="15"/>
        <v>0</v>
      </c>
      <c r="R347" t="str">
        <f t="shared" si="16"/>
        <v>49+ months</v>
      </c>
      <c r="S347" t="str">
        <f t="shared" si="17"/>
        <v>&lt; $50</v>
      </c>
    </row>
    <row r="348" spans="1:19" x14ac:dyDescent="0.35">
      <c r="A348" t="s">
        <v>412</v>
      </c>
      <c r="B348">
        <v>51</v>
      </c>
      <c r="C348" t="s">
        <v>55</v>
      </c>
      <c r="D348" t="s">
        <v>55</v>
      </c>
      <c r="E348" t="s">
        <v>55</v>
      </c>
      <c r="F348">
        <v>62</v>
      </c>
      <c r="G348" t="s">
        <v>56</v>
      </c>
      <c r="H348" t="s">
        <v>55</v>
      </c>
      <c r="I348" t="s">
        <v>29</v>
      </c>
      <c r="J348" t="s">
        <v>12</v>
      </c>
      <c r="K348" t="s">
        <v>55</v>
      </c>
      <c r="L348" t="s">
        <v>26</v>
      </c>
      <c r="M348">
        <v>40.42</v>
      </c>
      <c r="N348">
        <v>2513.0500000000002</v>
      </c>
      <c r="O348" t="s">
        <v>62</v>
      </c>
      <c r="P348" t="s">
        <v>55</v>
      </c>
      <c r="Q348">
        <f t="shared" si="15"/>
        <v>0</v>
      </c>
      <c r="R348" t="str">
        <f t="shared" si="16"/>
        <v>49+ months</v>
      </c>
      <c r="S348" t="str">
        <f t="shared" si="17"/>
        <v>&lt; $50</v>
      </c>
    </row>
    <row r="349" spans="1:19" x14ac:dyDescent="0.35">
      <c r="A349" t="s">
        <v>413</v>
      </c>
      <c r="B349">
        <v>40</v>
      </c>
      <c r="C349" t="s">
        <v>55</v>
      </c>
      <c r="D349" t="s">
        <v>55</v>
      </c>
      <c r="E349" t="s">
        <v>55</v>
      </c>
      <c r="F349">
        <v>69</v>
      </c>
      <c r="G349" t="s">
        <v>55</v>
      </c>
      <c r="H349" t="s">
        <v>60</v>
      </c>
      <c r="I349" t="s">
        <v>30</v>
      </c>
      <c r="J349" t="s">
        <v>14</v>
      </c>
      <c r="K349" t="s">
        <v>55</v>
      </c>
      <c r="L349" t="s">
        <v>26</v>
      </c>
      <c r="M349">
        <v>108.29</v>
      </c>
      <c r="N349">
        <v>7739.18</v>
      </c>
      <c r="O349" t="s">
        <v>66</v>
      </c>
      <c r="P349" t="s">
        <v>55</v>
      </c>
      <c r="Q349">
        <f t="shared" si="15"/>
        <v>0</v>
      </c>
      <c r="R349" t="str">
        <f t="shared" si="16"/>
        <v>49+ months</v>
      </c>
      <c r="S349" t="str">
        <f t="shared" si="17"/>
        <v>&gt; $100</v>
      </c>
    </row>
    <row r="350" spans="1:19" x14ac:dyDescent="0.35">
      <c r="A350" t="s">
        <v>414</v>
      </c>
      <c r="B350">
        <v>18</v>
      </c>
      <c r="C350" t="s">
        <v>55</v>
      </c>
      <c r="D350" t="s">
        <v>55</v>
      </c>
      <c r="E350" t="s">
        <v>56</v>
      </c>
      <c r="F350">
        <v>53</v>
      </c>
      <c r="G350" t="s">
        <v>55</v>
      </c>
      <c r="H350" t="s">
        <v>60</v>
      </c>
      <c r="I350" t="s">
        <v>31</v>
      </c>
      <c r="J350" t="s">
        <v>12</v>
      </c>
      <c r="K350" t="s">
        <v>56</v>
      </c>
      <c r="L350" t="s">
        <v>1066</v>
      </c>
      <c r="M350">
        <v>25.75</v>
      </c>
      <c r="N350">
        <v>1418.54</v>
      </c>
      <c r="O350" t="s">
        <v>80</v>
      </c>
      <c r="P350" t="s">
        <v>56</v>
      </c>
      <c r="Q350">
        <f t="shared" si="15"/>
        <v>1</v>
      </c>
      <c r="R350" t="str">
        <f t="shared" si="16"/>
        <v>49+ months</v>
      </c>
      <c r="S350" t="str">
        <f t="shared" si="17"/>
        <v>&lt; $50</v>
      </c>
    </row>
    <row r="351" spans="1:19" x14ac:dyDescent="0.35">
      <c r="A351" t="s">
        <v>415</v>
      </c>
      <c r="B351">
        <v>45</v>
      </c>
      <c r="C351" t="s">
        <v>55</v>
      </c>
      <c r="D351" t="s">
        <v>56</v>
      </c>
      <c r="E351" t="s">
        <v>55</v>
      </c>
      <c r="F351">
        <v>37</v>
      </c>
      <c r="G351" t="s">
        <v>55</v>
      </c>
      <c r="H351" t="s">
        <v>60</v>
      </c>
      <c r="I351" t="s">
        <v>29</v>
      </c>
      <c r="J351" t="s">
        <v>12</v>
      </c>
      <c r="K351" t="s">
        <v>56</v>
      </c>
      <c r="L351" t="s">
        <v>26</v>
      </c>
      <c r="M351">
        <v>51.58</v>
      </c>
      <c r="N351">
        <v>1939.81</v>
      </c>
      <c r="O351" t="s">
        <v>76</v>
      </c>
      <c r="P351" t="s">
        <v>55</v>
      </c>
      <c r="Q351">
        <f t="shared" si="15"/>
        <v>0</v>
      </c>
      <c r="R351" t="str">
        <f t="shared" si="16"/>
        <v>25-48 months</v>
      </c>
      <c r="S351" t="str">
        <f t="shared" si="17"/>
        <v>$50-$75</v>
      </c>
    </row>
    <row r="352" spans="1:19" x14ac:dyDescent="0.35">
      <c r="A352" t="s">
        <v>416</v>
      </c>
      <c r="B352">
        <v>62</v>
      </c>
      <c r="C352" t="s">
        <v>56</v>
      </c>
      <c r="D352" t="s">
        <v>55</v>
      </c>
      <c r="E352" t="s">
        <v>56</v>
      </c>
      <c r="F352">
        <v>42</v>
      </c>
      <c r="G352" t="s">
        <v>56</v>
      </c>
      <c r="H352" t="s">
        <v>55</v>
      </c>
      <c r="I352" t="s">
        <v>30</v>
      </c>
      <c r="J352" t="s">
        <v>12</v>
      </c>
      <c r="K352" t="s">
        <v>56</v>
      </c>
      <c r="L352" t="s">
        <v>26</v>
      </c>
      <c r="M352">
        <v>76.25</v>
      </c>
      <c r="N352">
        <v>3178.83</v>
      </c>
      <c r="O352" t="s">
        <v>80</v>
      </c>
      <c r="P352" t="s">
        <v>56</v>
      </c>
      <c r="Q352">
        <f t="shared" si="15"/>
        <v>1</v>
      </c>
      <c r="R352" t="str">
        <f t="shared" si="16"/>
        <v>25-48 months</v>
      </c>
      <c r="S352" t="str">
        <f t="shared" si="17"/>
        <v>$76-$100</v>
      </c>
    </row>
    <row r="353" spans="1:19" x14ac:dyDescent="0.35">
      <c r="A353" t="s">
        <v>417</v>
      </c>
      <c r="B353">
        <v>27</v>
      </c>
      <c r="C353" t="s">
        <v>55</v>
      </c>
      <c r="D353" t="s">
        <v>56</v>
      </c>
      <c r="E353" t="s">
        <v>55</v>
      </c>
      <c r="F353">
        <v>28</v>
      </c>
      <c r="G353" t="s">
        <v>55</v>
      </c>
      <c r="H353" t="s">
        <v>60</v>
      </c>
      <c r="I353" t="s">
        <v>30</v>
      </c>
      <c r="J353" t="s">
        <v>13</v>
      </c>
      <c r="K353" t="s">
        <v>55</v>
      </c>
      <c r="L353" t="s">
        <v>25</v>
      </c>
      <c r="M353">
        <v>93.18</v>
      </c>
      <c r="N353">
        <v>2700.28</v>
      </c>
      <c r="O353" t="s">
        <v>66</v>
      </c>
      <c r="P353" t="s">
        <v>55</v>
      </c>
      <c r="Q353">
        <f t="shared" si="15"/>
        <v>0</v>
      </c>
      <c r="R353" t="str">
        <f t="shared" si="16"/>
        <v>25-48 months</v>
      </c>
      <c r="S353" t="str">
        <f t="shared" si="17"/>
        <v>$76-$100</v>
      </c>
    </row>
    <row r="354" spans="1:19" x14ac:dyDescent="0.35">
      <c r="A354" t="s">
        <v>418</v>
      </c>
      <c r="B354">
        <v>66</v>
      </c>
      <c r="C354" t="s">
        <v>56</v>
      </c>
      <c r="D354" t="s">
        <v>56</v>
      </c>
      <c r="E354" t="s">
        <v>56</v>
      </c>
      <c r="F354">
        <v>35</v>
      </c>
      <c r="G354" t="s">
        <v>56</v>
      </c>
      <c r="H354" t="s">
        <v>55</v>
      </c>
      <c r="I354" t="s">
        <v>29</v>
      </c>
      <c r="J354" t="s">
        <v>12</v>
      </c>
      <c r="K354" t="s">
        <v>55</v>
      </c>
      <c r="L354" t="s">
        <v>1066</v>
      </c>
      <c r="M354">
        <v>73.13</v>
      </c>
      <c r="N354">
        <v>2443.44</v>
      </c>
      <c r="O354" t="s">
        <v>62</v>
      </c>
      <c r="P354" t="s">
        <v>55</v>
      </c>
      <c r="Q354">
        <f t="shared" si="15"/>
        <v>0</v>
      </c>
      <c r="R354" t="str">
        <f t="shared" si="16"/>
        <v>25-48 months</v>
      </c>
      <c r="S354" t="str">
        <f t="shared" si="17"/>
        <v>$50-$75</v>
      </c>
    </row>
    <row r="355" spans="1:19" x14ac:dyDescent="0.35">
      <c r="A355" t="s">
        <v>419</v>
      </c>
      <c r="B355">
        <v>42</v>
      </c>
      <c r="C355" t="s">
        <v>55</v>
      </c>
      <c r="D355" t="s">
        <v>55</v>
      </c>
      <c r="E355" t="s">
        <v>56</v>
      </c>
      <c r="F355">
        <v>5</v>
      </c>
      <c r="G355" t="s">
        <v>56</v>
      </c>
      <c r="H355" t="s">
        <v>55</v>
      </c>
      <c r="I355" t="s">
        <v>30</v>
      </c>
      <c r="J355" t="s">
        <v>14</v>
      </c>
      <c r="K355" t="s">
        <v>55</v>
      </c>
      <c r="L355" t="s">
        <v>24</v>
      </c>
      <c r="M355">
        <v>118.06</v>
      </c>
      <c r="N355">
        <v>621.20000000000005</v>
      </c>
      <c r="O355" t="s">
        <v>69</v>
      </c>
      <c r="P355" t="s">
        <v>56</v>
      </c>
      <c r="Q355">
        <f t="shared" si="15"/>
        <v>1</v>
      </c>
      <c r="R355" t="str">
        <f t="shared" si="16"/>
        <v>0-12 months</v>
      </c>
      <c r="S355" t="str">
        <f t="shared" si="17"/>
        <v>&gt; $100</v>
      </c>
    </row>
    <row r="356" spans="1:19" x14ac:dyDescent="0.35">
      <c r="A356" t="s">
        <v>420</v>
      </c>
      <c r="B356">
        <v>20</v>
      </c>
      <c r="C356" t="s">
        <v>55</v>
      </c>
      <c r="D356" t="s">
        <v>56</v>
      </c>
      <c r="E356" t="s">
        <v>55</v>
      </c>
      <c r="F356">
        <v>62</v>
      </c>
      <c r="G356" t="s">
        <v>56</v>
      </c>
      <c r="H356" t="s">
        <v>55</v>
      </c>
      <c r="I356" t="s">
        <v>29</v>
      </c>
      <c r="J356" t="s">
        <v>12</v>
      </c>
      <c r="K356" t="s">
        <v>56</v>
      </c>
      <c r="L356" t="s">
        <v>25</v>
      </c>
      <c r="M356">
        <v>49.44</v>
      </c>
      <c r="N356">
        <v>3041.06</v>
      </c>
      <c r="O356" t="s">
        <v>66</v>
      </c>
      <c r="P356" t="s">
        <v>56</v>
      </c>
      <c r="Q356">
        <f t="shared" si="15"/>
        <v>1</v>
      </c>
      <c r="R356" t="str">
        <f t="shared" si="16"/>
        <v>49+ months</v>
      </c>
      <c r="S356" t="str">
        <f t="shared" si="17"/>
        <v>&lt; $50</v>
      </c>
    </row>
    <row r="357" spans="1:19" x14ac:dyDescent="0.35">
      <c r="A357" t="s">
        <v>421</v>
      </c>
      <c r="B357">
        <v>35</v>
      </c>
      <c r="C357" t="s">
        <v>55</v>
      </c>
      <c r="D357" t="s">
        <v>56</v>
      </c>
      <c r="E357" t="s">
        <v>55</v>
      </c>
      <c r="F357">
        <v>32</v>
      </c>
      <c r="G357" t="s">
        <v>56</v>
      </c>
      <c r="H357" t="s">
        <v>55</v>
      </c>
      <c r="I357" t="s">
        <v>30</v>
      </c>
      <c r="J357" t="s">
        <v>13</v>
      </c>
      <c r="K357" t="s">
        <v>56</v>
      </c>
      <c r="L357" t="s">
        <v>24</v>
      </c>
      <c r="M357">
        <v>74.47</v>
      </c>
      <c r="N357">
        <v>2285.15</v>
      </c>
      <c r="O357" t="s">
        <v>58</v>
      </c>
      <c r="P357" t="s">
        <v>56</v>
      </c>
      <c r="Q357">
        <f t="shared" si="15"/>
        <v>1</v>
      </c>
      <c r="R357" t="str">
        <f t="shared" si="16"/>
        <v>25-48 months</v>
      </c>
      <c r="S357" t="str">
        <f t="shared" si="17"/>
        <v>$50-$75</v>
      </c>
    </row>
    <row r="358" spans="1:19" x14ac:dyDescent="0.35">
      <c r="A358" t="s">
        <v>422</v>
      </c>
      <c r="B358">
        <v>39</v>
      </c>
      <c r="C358" t="s">
        <v>55</v>
      </c>
      <c r="D358" t="s">
        <v>56</v>
      </c>
      <c r="E358" t="s">
        <v>56</v>
      </c>
      <c r="F358">
        <v>46</v>
      </c>
      <c r="G358" t="s">
        <v>56</v>
      </c>
      <c r="H358" t="s">
        <v>56</v>
      </c>
      <c r="I358" t="s">
        <v>29</v>
      </c>
      <c r="J358" t="s">
        <v>12</v>
      </c>
      <c r="K358" t="s">
        <v>55</v>
      </c>
      <c r="L358" t="s">
        <v>1066</v>
      </c>
      <c r="M358">
        <v>57.55</v>
      </c>
      <c r="N358">
        <v>2549.7600000000002</v>
      </c>
      <c r="O358" t="s">
        <v>76</v>
      </c>
      <c r="P358" t="s">
        <v>55</v>
      </c>
      <c r="Q358">
        <f t="shared" si="15"/>
        <v>0</v>
      </c>
      <c r="R358" t="str">
        <f t="shared" si="16"/>
        <v>25-48 months</v>
      </c>
      <c r="S358" t="str">
        <f t="shared" si="17"/>
        <v>$50-$75</v>
      </c>
    </row>
    <row r="359" spans="1:19" x14ac:dyDescent="0.35">
      <c r="A359" t="s">
        <v>423</v>
      </c>
      <c r="B359">
        <v>64</v>
      </c>
      <c r="C359" t="s">
        <v>56</v>
      </c>
      <c r="D359" t="s">
        <v>56</v>
      </c>
      <c r="E359" t="s">
        <v>55</v>
      </c>
      <c r="F359">
        <v>6</v>
      </c>
      <c r="G359" t="s">
        <v>55</v>
      </c>
      <c r="H359" t="s">
        <v>60</v>
      </c>
      <c r="I359" t="s">
        <v>29</v>
      </c>
      <c r="J359" t="s">
        <v>13</v>
      </c>
      <c r="K359" t="s">
        <v>55</v>
      </c>
      <c r="L359" t="s">
        <v>26</v>
      </c>
      <c r="M359">
        <v>47.47</v>
      </c>
      <c r="N359">
        <v>279.61</v>
      </c>
      <c r="O359" t="s">
        <v>76</v>
      </c>
      <c r="P359" t="s">
        <v>55</v>
      </c>
      <c r="Q359">
        <f t="shared" si="15"/>
        <v>0</v>
      </c>
      <c r="R359" t="str">
        <f t="shared" si="16"/>
        <v>0-12 months</v>
      </c>
      <c r="S359" t="str">
        <f t="shared" si="17"/>
        <v>&lt; $50</v>
      </c>
    </row>
    <row r="360" spans="1:19" x14ac:dyDescent="0.35">
      <c r="A360" t="s">
        <v>424</v>
      </c>
      <c r="B360">
        <v>73</v>
      </c>
      <c r="C360" t="s">
        <v>56</v>
      </c>
      <c r="D360" t="s">
        <v>56</v>
      </c>
      <c r="E360" t="s">
        <v>56</v>
      </c>
      <c r="F360">
        <v>68</v>
      </c>
      <c r="G360" t="s">
        <v>55</v>
      </c>
      <c r="H360" t="s">
        <v>60</v>
      </c>
      <c r="I360" t="s">
        <v>30</v>
      </c>
      <c r="J360" t="s">
        <v>14</v>
      </c>
      <c r="K360" t="s">
        <v>55</v>
      </c>
      <c r="L360" t="s">
        <v>24</v>
      </c>
      <c r="M360">
        <v>108.8</v>
      </c>
      <c r="N360">
        <v>7403.69</v>
      </c>
      <c r="O360" t="s">
        <v>80</v>
      </c>
      <c r="P360" t="s">
        <v>55</v>
      </c>
      <c r="Q360">
        <f t="shared" si="15"/>
        <v>0</v>
      </c>
      <c r="R360" t="str">
        <f t="shared" si="16"/>
        <v>49+ months</v>
      </c>
      <c r="S360" t="str">
        <f t="shared" si="17"/>
        <v>&gt; $100</v>
      </c>
    </row>
    <row r="361" spans="1:19" x14ac:dyDescent="0.35">
      <c r="A361" t="s">
        <v>425</v>
      </c>
      <c r="B361">
        <v>57</v>
      </c>
      <c r="C361" t="s">
        <v>55</v>
      </c>
      <c r="D361" t="s">
        <v>55</v>
      </c>
      <c r="E361" t="s">
        <v>56</v>
      </c>
      <c r="F361">
        <v>42</v>
      </c>
      <c r="G361" t="s">
        <v>55</v>
      </c>
      <c r="H361" t="s">
        <v>60</v>
      </c>
      <c r="I361" t="s">
        <v>29</v>
      </c>
      <c r="J361" t="s">
        <v>12</v>
      </c>
      <c r="K361" t="s">
        <v>55</v>
      </c>
      <c r="L361" t="s">
        <v>1066</v>
      </c>
      <c r="M361">
        <v>46.17</v>
      </c>
      <c r="N361">
        <v>1888.67</v>
      </c>
      <c r="O361" t="s">
        <v>76</v>
      </c>
      <c r="P361" t="s">
        <v>55</v>
      </c>
      <c r="Q361">
        <f t="shared" si="15"/>
        <v>0</v>
      </c>
      <c r="R361" t="str">
        <f t="shared" si="16"/>
        <v>25-48 months</v>
      </c>
      <c r="S361" t="str">
        <f t="shared" si="17"/>
        <v>&lt; $50</v>
      </c>
    </row>
    <row r="362" spans="1:19" x14ac:dyDescent="0.35">
      <c r="A362" t="s">
        <v>426</v>
      </c>
      <c r="B362">
        <v>25</v>
      </c>
      <c r="C362" t="s">
        <v>55</v>
      </c>
      <c r="D362" t="s">
        <v>56</v>
      </c>
      <c r="E362" t="s">
        <v>56</v>
      </c>
      <c r="F362">
        <v>6</v>
      </c>
      <c r="G362" t="s">
        <v>56</v>
      </c>
      <c r="H362" t="s">
        <v>56</v>
      </c>
      <c r="I362" t="s">
        <v>31</v>
      </c>
      <c r="J362" t="s">
        <v>12</v>
      </c>
      <c r="K362" t="s">
        <v>56</v>
      </c>
      <c r="L362" t="s">
        <v>24</v>
      </c>
      <c r="M362">
        <v>19.190000000000001</v>
      </c>
      <c r="N362">
        <v>116.12</v>
      </c>
      <c r="O362" t="s">
        <v>69</v>
      </c>
      <c r="P362" t="s">
        <v>55</v>
      </c>
      <c r="Q362">
        <f t="shared" si="15"/>
        <v>0</v>
      </c>
      <c r="R362" t="str">
        <f t="shared" si="16"/>
        <v>0-12 months</v>
      </c>
      <c r="S362" t="str">
        <f t="shared" si="17"/>
        <v>&lt; $50</v>
      </c>
    </row>
    <row r="363" spans="1:19" x14ac:dyDescent="0.35">
      <c r="A363" t="s">
        <v>427</v>
      </c>
      <c r="B363">
        <v>49</v>
      </c>
      <c r="C363" t="s">
        <v>55</v>
      </c>
      <c r="D363" t="s">
        <v>55</v>
      </c>
      <c r="E363" t="s">
        <v>56</v>
      </c>
      <c r="F363">
        <v>47</v>
      </c>
      <c r="G363" t="s">
        <v>56</v>
      </c>
      <c r="H363" t="s">
        <v>56</v>
      </c>
      <c r="I363" t="s">
        <v>30</v>
      </c>
      <c r="J363" t="s">
        <v>14</v>
      </c>
      <c r="K363" t="s">
        <v>55</v>
      </c>
      <c r="L363" t="s">
        <v>25</v>
      </c>
      <c r="M363">
        <v>111.6</v>
      </c>
      <c r="N363">
        <v>5225.1000000000004</v>
      </c>
      <c r="O363" t="s">
        <v>76</v>
      </c>
      <c r="P363" t="s">
        <v>55</v>
      </c>
      <c r="Q363">
        <f t="shared" si="15"/>
        <v>0</v>
      </c>
      <c r="R363" t="str">
        <f t="shared" si="16"/>
        <v>25-48 months</v>
      </c>
      <c r="S363" t="str">
        <f t="shared" si="17"/>
        <v>&gt; $100</v>
      </c>
    </row>
    <row r="364" spans="1:19" x14ac:dyDescent="0.35">
      <c r="A364" t="s">
        <v>428</v>
      </c>
      <c r="B364">
        <v>53</v>
      </c>
      <c r="C364" t="s">
        <v>55</v>
      </c>
      <c r="D364" t="s">
        <v>55</v>
      </c>
      <c r="E364" t="s">
        <v>55</v>
      </c>
      <c r="F364">
        <v>8</v>
      </c>
      <c r="G364" t="s">
        <v>55</v>
      </c>
      <c r="H364" t="s">
        <v>60</v>
      </c>
      <c r="I364" t="s">
        <v>31</v>
      </c>
      <c r="J364" t="s">
        <v>12</v>
      </c>
      <c r="K364" t="s">
        <v>56</v>
      </c>
      <c r="L364" t="s">
        <v>1066</v>
      </c>
      <c r="M364">
        <v>18.940000000000001</v>
      </c>
      <c r="N364">
        <v>146.35</v>
      </c>
      <c r="O364" t="s">
        <v>80</v>
      </c>
      <c r="P364" t="s">
        <v>55</v>
      </c>
      <c r="Q364">
        <f t="shared" si="15"/>
        <v>0</v>
      </c>
      <c r="R364" t="str">
        <f t="shared" si="16"/>
        <v>0-12 months</v>
      </c>
      <c r="S364" t="str">
        <f t="shared" si="17"/>
        <v>&lt; $50</v>
      </c>
    </row>
    <row r="365" spans="1:19" x14ac:dyDescent="0.35">
      <c r="A365" t="s">
        <v>429</v>
      </c>
      <c r="B365">
        <v>64</v>
      </c>
      <c r="C365" t="s">
        <v>56</v>
      </c>
      <c r="D365" t="s">
        <v>56</v>
      </c>
      <c r="E365" t="s">
        <v>55</v>
      </c>
      <c r="F365">
        <v>25</v>
      </c>
      <c r="G365" t="s">
        <v>56</v>
      </c>
      <c r="H365" t="s">
        <v>55</v>
      </c>
      <c r="I365" t="s">
        <v>30</v>
      </c>
      <c r="J365" t="s">
        <v>14</v>
      </c>
      <c r="K365" t="s">
        <v>55</v>
      </c>
      <c r="L365" t="s">
        <v>1066</v>
      </c>
      <c r="M365">
        <v>108.31</v>
      </c>
      <c r="N365">
        <v>2732.63</v>
      </c>
      <c r="O365" t="s">
        <v>69</v>
      </c>
      <c r="P365" t="s">
        <v>55</v>
      </c>
      <c r="Q365">
        <f t="shared" si="15"/>
        <v>0</v>
      </c>
      <c r="R365" t="str">
        <f t="shared" si="16"/>
        <v>25-48 months</v>
      </c>
      <c r="S365" t="str">
        <f t="shared" si="17"/>
        <v>&gt; $100</v>
      </c>
    </row>
    <row r="366" spans="1:19" x14ac:dyDescent="0.35">
      <c r="A366" t="s">
        <v>430</v>
      </c>
      <c r="B366">
        <v>60</v>
      </c>
      <c r="C366" t="s">
        <v>56</v>
      </c>
      <c r="D366" t="s">
        <v>55</v>
      </c>
      <c r="E366" t="s">
        <v>56</v>
      </c>
      <c r="F366">
        <v>22</v>
      </c>
      <c r="G366" t="s">
        <v>55</v>
      </c>
      <c r="H366" t="s">
        <v>60</v>
      </c>
      <c r="I366" t="s">
        <v>29</v>
      </c>
      <c r="J366" t="s">
        <v>12</v>
      </c>
      <c r="K366" t="s">
        <v>56</v>
      </c>
      <c r="L366" t="s">
        <v>24</v>
      </c>
      <c r="M366">
        <v>64</v>
      </c>
      <c r="N366">
        <v>1481.25</v>
      </c>
      <c r="O366" t="s">
        <v>58</v>
      </c>
      <c r="P366" t="s">
        <v>55</v>
      </c>
      <c r="Q366">
        <f t="shared" si="15"/>
        <v>0</v>
      </c>
      <c r="R366" t="str">
        <f t="shared" si="16"/>
        <v>13-24 months</v>
      </c>
      <c r="S366" t="str">
        <f t="shared" si="17"/>
        <v>$50-$75</v>
      </c>
    </row>
    <row r="367" spans="1:19" x14ac:dyDescent="0.35">
      <c r="A367" t="s">
        <v>431</v>
      </c>
      <c r="B367">
        <v>38</v>
      </c>
      <c r="C367" t="s">
        <v>55</v>
      </c>
      <c r="D367" t="s">
        <v>55</v>
      </c>
      <c r="E367" t="s">
        <v>55</v>
      </c>
      <c r="F367">
        <v>56</v>
      </c>
      <c r="G367" t="s">
        <v>55</v>
      </c>
      <c r="H367" t="s">
        <v>60</v>
      </c>
      <c r="I367" t="s">
        <v>31</v>
      </c>
      <c r="J367" t="s">
        <v>13</v>
      </c>
      <c r="K367" t="s">
        <v>56</v>
      </c>
      <c r="L367" t="s">
        <v>24</v>
      </c>
      <c r="M367">
        <v>24.6</v>
      </c>
      <c r="N367">
        <v>1418.03</v>
      </c>
      <c r="O367" t="s">
        <v>64</v>
      </c>
      <c r="P367" t="s">
        <v>55</v>
      </c>
      <c r="Q367">
        <f t="shared" si="15"/>
        <v>0</v>
      </c>
      <c r="R367" t="str">
        <f t="shared" si="16"/>
        <v>49+ months</v>
      </c>
      <c r="S367" t="str">
        <f t="shared" si="17"/>
        <v>&lt; $50</v>
      </c>
    </row>
    <row r="368" spans="1:19" x14ac:dyDescent="0.35">
      <c r="A368" t="s">
        <v>432</v>
      </c>
      <c r="B368">
        <v>46</v>
      </c>
      <c r="C368" t="s">
        <v>55</v>
      </c>
      <c r="D368" t="s">
        <v>55</v>
      </c>
      <c r="E368" t="s">
        <v>56</v>
      </c>
      <c r="F368">
        <v>5</v>
      </c>
      <c r="G368" t="s">
        <v>56</v>
      </c>
      <c r="H368" t="s">
        <v>55</v>
      </c>
      <c r="I368" t="s">
        <v>31</v>
      </c>
      <c r="J368" t="s">
        <v>14</v>
      </c>
      <c r="K368" t="s">
        <v>55</v>
      </c>
      <c r="L368" t="s">
        <v>26</v>
      </c>
      <c r="M368">
        <v>29.81</v>
      </c>
      <c r="N368">
        <v>143.94999999999999</v>
      </c>
      <c r="O368" t="s">
        <v>66</v>
      </c>
      <c r="P368" t="s">
        <v>56</v>
      </c>
      <c r="Q368">
        <f t="shared" si="15"/>
        <v>1</v>
      </c>
      <c r="R368" t="str">
        <f t="shared" si="16"/>
        <v>0-12 months</v>
      </c>
      <c r="S368" t="str">
        <f t="shared" si="17"/>
        <v>&lt; $50</v>
      </c>
    </row>
    <row r="369" spans="1:19" x14ac:dyDescent="0.35">
      <c r="A369" t="s">
        <v>433</v>
      </c>
      <c r="B369">
        <v>70</v>
      </c>
      <c r="C369" t="s">
        <v>56</v>
      </c>
      <c r="D369" t="s">
        <v>55</v>
      </c>
      <c r="E369" t="s">
        <v>56</v>
      </c>
      <c r="F369">
        <v>13</v>
      </c>
      <c r="G369" t="s">
        <v>55</v>
      </c>
      <c r="H369" t="s">
        <v>60</v>
      </c>
      <c r="I369" t="s">
        <v>30</v>
      </c>
      <c r="J369" t="s">
        <v>12</v>
      </c>
      <c r="K369" t="s">
        <v>55</v>
      </c>
      <c r="L369" t="s">
        <v>24</v>
      </c>
      <c r="M369">
        <v>99.11</v>
      </c>
      <c r="N369">
        <v>1247.1500000000001</v>
      </c>
      <c r="O369" t="s">
        <v>80</v>
      </c>
      <c r="P369" t="s">
        <v>55</v>
      </c>
      <c r="Q369">
        <f t="shared" si="15"/>
        <v>0</v>
      </c>
      <c r="R369" t="str">
        <f t="shared" si="16"/>
        <v>13-24 months</v>
      </c>
      <c r="S369" t="str">
        <f t="shared" si="17"/>
        <v>$76-$100</v>
      </c>
    </row>
    <row r="370" spans="1:19" x14ac:dyDescent="0.35">
      <c r="A370" t="s">
        <v>434</v>
      </c>
      <c r="B370">
        <v>54</v>
      </c>
      <c r="C370" t="s">
        <v>55</v>
      </c>
      <c r="D370" t="s">
        <v>55</v>
      </c>
      <c r="E370" t="s">
        <v>56</v>
      </c>
      <c r="F370">
        <v>10</v>
      </c>
      <c r="G370" t="s">
        <v>55</v>
      </c>
      <c r="H370" t="s">
        <v>60</v>
      </c>
      <c r="I370" t="s">
        <v>29</v>
      </c>
      <c r="J370" t="s">
        <v>12</v>
      </c>
      <c r="K370" t="s">
        <v>56</v>
      </c>
      <c r="L370" t="s">
        <v>24</v>
      </c>
      <c r="M370">
        <v>52.02</v>
      </c>
      <c r="N370">
        <v>534.61</v>
      </c>
      <c r="O370" t="s">
        <v>80</v>
      </c>
      <c r="P370" t="s">
        <v>55</v>
      </c>
      <c r="Q370">
        <f t="shared" si="15"/>
        <v>0</v>
      </c>
      <c r="R370" t="str">
        <f t="shared" si="16"/>
        <v>0-12 months</v>
      </c>
      <c r="S370" t="str">
        <f t="shared" si="17"/>
        <v>$50-$75</v>
      </c>
    </row>
    <row r="371" spans="1:19" x14ac:dyDescent="0.35">
      <c r="A371" t="s">
        <v>435</v>
      </c>
      <c r="B371">
        <v>67</v>
      </c>
      <c r="C371" t="s">
        <v>56</v>
      </c>
      <c r="D371" t="s">
        <v>56</v>
      </c>
      <c r="E371" t="s">
        <v>55</v>
      </c>
      <c r="F371">
        <v>45</v>
      </c>
      <c r="G371" t="s">
        <v>55</v>
      </c>
      <c r="H371" t="s">
        <v>60</v>
      </c>
      <c r="I371" t="s">
        <v>31</v>
      </c>
      <c r="J371" t="s">
        <v>12</v>
      </c>
      <c r="K371" t="s">
        <v>56</v>
      </c>
      <c r="L371" t="s">
        <v>25</v>
      </c>
      <c r="M371">
        <v>20.72</v>
      </c>
      <c r="N371">
        <v>949.49</v>
      </c>
      <c r="O371" t="s">
        <v>80</v>
      </c>
      <c r="P371" t="s">
        <v>55</v>
      </c>
      <c r="Q371">
        <f t="shared" si="15"/>
        <v>0</v>
      </c>
      <c r="R371" t="str">
        <f t="shared" si="16"/>
        <v>25-48 months</v>
      </c>
      <c r="S371" t="str">
        <f t="shared" si="17"/>
        <v>&lt; $50</v>
      </c>
    </row>
    <row r="372" spans="1:19" x14ac:dyDescent="0.35">
      <c r="A372" t="s">
        <v>436</v>
      </c>
      <c r="B372">
        <v>58</v>
      </c>
      <c r="C372" t="s">
        <v>55</v>
      </c>
      <c r="D372" t="s">
        <v>55</v>
      </c>
      <c r="E372" t="s">
        <v>56</v>
      </c>
      <c r="F372">
        <v>40</v>
      </c>
      <c r="G372" t="s">
        <v>55</v>
      </c>
      <c r="H372" t="s">
        <v>60</v>
      </c>
      <c r="I372" t="s">
        <v>29</v>
      </c>
      <c r="J372" t="s">
        <v>12</v>
      </c>
      <c r="K372" t="s">
        <v>56</v>
      </c>
      <c r="L372" t="s">
        <v>26</v>
      </c>
      <c r="M372">
        <v>67.91</v>
      </c>
      <c r="N372">
        <v>2603.35</v>
      </c>
      <c r="O372" t="s">
        <v>64</v>
      </c>
      <c r="P372" t="s">
        <v>55</v>
      </c>
      <c r="Q372">
        <f t="shared" si="15"/>
        <v>0</v>
      </c>
      <c r="R372" t="str">
        <f t="shared" si="16"/>
        <v>25-48 months</v>
      </c>
      <c r="S372" t="str">
        <f t="shared" si="17"/>
        <v>$50-$75</v>
      </c>
    </row>
    <row r="373" spans="1:19" x14ac:dyDescent="0.35">
      <c r="A373" t="s">
        <v>437</v>
      </c>
      <c r="B373">
        <v>46</v>
      </c>
      <c r="C373" t="s">
        <v>55</v>
      </c>
      <c r="D373" t="s">
        <v>56</v>
      </c>
      <c r="E373" t="s">
        <v>56</v>
      </c>
      <c r="F373">
        <v>56</v>
      </c>
      <c r="G373" t="s">
        <v>55</v>
      </c>
      <c r="H373" t="s">
        <v>60</v>
      </c>
      <c r="I373" t="s">
        <v>30</v>
      </c>
      <c r="J373" t="s">
        <v>12</v>
      </c>
      <c r="K373" t="s">
        <v>55</v>
      </c>
      <c r="L373" t="s">
        <v>26</v>
      </c>
      <c r="M373">
        <v>98.57</v>
      </c>
      <c r="N373">
        <v>5221.3900000000003</v>
      </c>
      <c r="O373" t="s">
        <v>80</v>
      </c>
      <c r="P373" t="s">
        <v>56</v>
      </c>
      <c r="Q373">
        <f t="shared" si="15"/>
        <v>1</v>
      </c>
      <c r="R373" t="str">
        <f t="shared" si="16"/>
        <v>49+ months</v>
      </c>
      <c r="S373" t="str">
        <f t="shared" si="17"/>
        <v>$76-$100</v>
      </c>
    </row>
    <row r="374" spans="1:19" x14ac:dyDescent="0.35">
      <c r="A374" t="s">
        <v>438</v>
      </c>
      <c r="B374">
        <v>43</v>
      </c>
      <c r="C374" t="s">
        <v>55</v>
      </c>
      <c r="D374" t="s">
        <v>55</v>
      </c>
      <c r="E374" t="s">
        <v>56</v>
      </c>
      <c r="F374">
        <v>18</v>
      </c>
      <c r="G374" t="s">
        <v>56</v>
      </c>
      <c r="H374" t="s">
        <v>55</v>
      </c>
      <c r="I374" t="s">
        <v>29</v>
      </c>
      <c r="J374" t="s">
        <v>13</v>
      </c>
      <c r="K374" t="s">
        <v>56</v>
      </c>
      <c r="L374" t="s">
        <v>24</v>
      </c>
      <c r="M374">
        <v>79.88</v>
      </c>
      <c r="N374">
        <v>1442.02</v>
      </c>
      <c r="O374" t="s">
        <v>76</v>
      </c>
      <c r="P374" t="s">
        <v>55</v>
      </c>
      <c r="Q374">
        <f t="shared" si="15"/>
        <v>0</v>
      </c>
      <c r="R374" t="str">
        <f t="shared" si="16"/>
        <v>13-24 months</v>
      </c>
      <c r="S374" t="str">
        <f t="shared" si="17"/>
        <v>$76-$100</v>
      </c>
    </row>
    <row r="375" spans="1:19" x14ac:dyDescent="0.35">
      <c r="A375" t="s">
        <v>439</v>
      </c>
      <c r="B375">
        <v>67</v>
      </c>
      <c r="C375" t="s">
        <v>56</v>
      </c>
      <c r="D375" t="s">
        <v>55</v>
      </c>
      <c r="E375" t="s">
        <v>55</v>
      </c>
      <c r="F375">
        <v>12</v>
      </c>
      <c r="G375" t="s">
        <v>55</v>
      </c>
      <c r="H375" t="s">
        <v>60</v>
      </c>
      <c r="I375" t="s">
        <v>30</v>
      </c>
      <c r="J375" t="s">
        <v>12</v>
      </c>
      <c r="K375" t="s">
        <v>55</v>
      </c>
      <c r="L375" t="s">
        <v>26</v>
      </c>
      <c r="M375">
        <v>87.23</v>
      </c>
      <c r="N375">
        <v>1066.28</v>
      </c>
      <c r="O375" t="s">
        <v>62</v>
      </c>
      <c r="P375" t="s">
        <v>55</v>
      </c>
      <c r="Q375">
        <f t="shared" si="15"/>
        <v>0</v>
      </c>
      <c r="R375" t="str">
        <f t="shared" si="16"/>
        <v>0-12 months</v>
      </c>
      <c r="S375" t="str">
        <f t="shared" si="17"/>
        <v>$76-$100</v>
      </c>
    </row>
    <row r="376" spans="1:19" x14ac:dyDescent="0.35">
      <c r="A376" t="s">
        <v>440</v>
      </c>
      <c r="B376">
        <v>40</v>
      </c>
      <c r="C376" t="s">
        <v>55</v>
      </c>
      <c r="D376" t="s">
        <v>55</v>
      </c>
      <c r="E376" t="s">
        <v>56</v>
      </c>
      <c r="F376">
        <v>57</v>
      </c>
      <c r="G376" t="s">
        <v>56</v>
      </c>
      <c r="H376" t="s">
        <v>56</v>
      </c>
      <c r="I376" t="s">
        <v>30</v>
      </c>
      <c r="J376" t="s">
        <v>12</v>
      </c>
      <c r="K376" t="s">
        <v>56</v>
      </c>
      <c r="L376" t="s">
        <v>26</v>
      </c>
      <c r="M376">
        <v>72.73</v>
      </c>
      <c r="N376">
        <v>4368.95</v>
      </c>
      <c r="O376" t="s">
        <v>66</v>
      </c>
      <c r="P376" t="s">
        <v>55</v>
      </c>
      <c r="Q376">
        <f t="shared" si="15"/>
        <v>0</v>
      </c>
      <c r="R376" t="str">
        <f t="shared" si="16"/>
        <v>49+ months</v>
      </c>
      <c r="S376" t="str">
        <f t="shared" si="17"/>
        <v>$50-$75</v>
      </c>
    </row>
    <row r="377" spans="1:19" x14ac:dyDescent="0.35">
      <c r="A377" t="s">
        <v>441</v>
      </c>
      <c r="B377">
        <v>71</v>
      </c>
      <c r="C377" t="s">
        <v>56</v>
      </c>
      <c r="D377" t="s">
        <v>55</v>
      </c>
      <c r="E377" t="s">
        <v>56</v>
      </c>
      <c r="F377">
        <v>44</v>
      </c>
      <c r="G377" t="s">
        <v>56</v>
      </c>
      <c r="H377" t="s">
        <v>56</v>
      </c>
      <c r="I377" t="s">
        <v>29</v>
      </c>
      <c r="J377" t="s">
        <v>12</v>
      </c>
      <c r="K377" t="s">
        <v>55</v>
      </c>
      <c r="L377" t="s">
        <v>26</v>
      </c>
      <c r="M377">
        <v>61.52</v>
      </c>
      <c r="N377">
        <v>2610.67</v>
      </c>
      <c r="O377" t="s">
        <v>76</v>
      </c>
      <c r="P377" t="s">
        <v>55</v>
      </c>
      <c r="Q377">
        <f t="shared" si="15"/>
        <v>0</v>
      </c>
      <c r="R377" t="str">
        <f t="shared" si="16"/>
        <v>25-48 months</v>
      </c>
      <c r="S377" t="str">
        <f t="shared" si="17"/>
        <v>$50-$75</v>
      </c>
    </row>
    <row r="378" spans="1:19" x14ac:dyDescent="0.35">
      <c r="A378" t="s">
        <v>442</v>
      </c>
      <c r="B378">
        <v>53</v>
      </c>
      <c r="C378" t="s">
        <v>55</v>
      </c>
      <c r="D378" t="s">
        <v>55</v>
      </c>
      <c r="E378" t="s">
        <v>56</v>
      </c>
      <c r="F378">
        <v>3</v>
      </c>
      <c r="G378" t="s">
        <v>56</v>
      </c>
      <c r="H378" t="s">
        <v>56</v>
      </c>
      <c r="I378" t="s">
        <v>30</v>
      </c>
      <c r="J378" t="s">
        <v>12</v>
      </c>
      <c r="K378" t="s">
        <v>56</v>
      </c>
      <c r="L378" t="s">
        <v>1066</v>
      </c>
      <c r="M378">
        <v>100.9</v>
      </c>
      <c r="N378">
        <v>286.47000000000003</v>
      </c>
      <c r="O378" t="s">
        <v>80</v>
      </c>
      <c r="P378" t="s">
        <v>55</v>
      </c>
      <c r="Q378">
        <f t="shared" si="15"/>
        <v>0</v>
      </c>
      <c r="R378" t="str">
        <f t="shared" si="16"/>
        <v>0-12 months</v>
      </c>
      <c r="S378" t="str">
        <f t="shared" si="17"/>
        <v>&gt; $100</v>
      </c>
    </row>
    <row r="379" spans="1:19" x14ac:dyDescent="0.35">
      <c r="A379" t="s">
        <v>443</v>
      </c>
      <c r="B379">
        <v>22</v>
      </c>
      <c r="C379" t="s">
        <v>55</v>
      </c>
      <c r="D379" t="s">
        <v>55</v>
      </c>
      <c r="E379" t="s">
        <v>55</v>
      </c>
      <c r="F379">
        <v>47</v>
      </c>
      <c r="G379" t="s">
        <v>56</v>
      </c>
      <c r="H379" t="s">
        <v>56</v>
      </c>
      <c r="I379" t="s">
        <v>31</v>
      </c>
      <c r="J379" t="s">
        <v>14</v>
      </c>
      <c r="K379" t="s">
        <v>55</v>
      </c>
      <c r="L379" t="s">
        <v>26</v>
      </c>
      <c r="M379">
        <v>22.57</v>
      </c>
      <c r="N379">
        <v>1121.46</v>
      </c>
      <c r="O379" t="s">
        <v>76</v>
      </c>
      <c r="P379" t="s">
        <v>56</v>
      </c>
      <c r="Q379">
        <f t="shared" si="15"/>
        <v>1</v>
      </c>
      <c r="R379" t="str">
        <f t="shared" si="16"/>
        <v>25-48 months</v>
      </c>
      <c r="S379" t="str">
        <f t="shared" si="17"/>
        <v>&lt; $50</v>
      </c>
    </row>
    <row r="380" spans="1:19" x14ac:dyDescent="0.35">
      <c r="A380" t="s">
        <v>444</v>
      </c>
      <c r="B380">
        <v>49</v>
      </c>
      <c r="C380" t="s">
        <v>55</v>
      </c>
      <c r="D380" t="s">
        <v>56</v>
      </c>
      <c r="E380" t="s">
        <v>56</v>
      </c>
      <c r="F380">
        <v>26</v>
      </c>
      <c r="G380" t="s">
        <v>55</v>
      </c>
      <c r="H380" t="s">
        <v>60</v>
      </c>
      <c r="I380" t="s">
        <v>29</v>
      </c>
      <c r="J380" t="s">
        <v>13</v>
      </c>
      <c r="K380" t="s">
        <v>56</v>
      </c>
      <c r="L380" t="s">
        <v>26</v>
      </c>
      <c r="M380">
        <v>76.89</v>
      </c>
      <c r="N380">
        <v>1952.34</v>
      </c>
      <c r="O380" t="s">
        <v>69</v>
      </c>
      <c r="P380" t="s">
        <v>55</v>
      </c>
      <c r="Q380">
        <f t="shared" si="15"/>
        <v>0</v>
      </c>
      <c r="R380" t="str">
        <f t="shared" si="16"/>
        <v>25-48 months</v>
      </c>
      <c r="S380" t="str">
        <f t="shared" si="17"/>
        <v>$76-$100</v>
      </c>
    </row>
    <row r="381" spans="1:19" x14ac:dyDescent="0.35">
      <c r="A381" t="s">
        <v>445</v>
      </c>
      <c r="B381">
        <v>28</v>
      </c>
      <c r="C381" t="s">
        <v>55</v>
      </c>
      <c r="D381" t="s">
        <v>56</v>
      </c>
      <c r="E381" t="s">
        <v>55</v>
      </c>
      <c r="F381">
        <v>46</v>
      </c>
      <c r="G381" t="s">
        <v>55</v>
      </c>
      <c r="H381" t="s">
        <v>60</v>
      </c>
      <c r="I381" t="s">
        <v>30</v>
      </c>
      <c r="J381" t="s">
        <v>12</v>
      </c>
      <c r="K381" t="s">
        <v>55</v>
      </c>
      <c r="L381" t="s">
        <v>1066</v>
      </c>
      <c r="M381">
        <v>101.29</v>
      </c>
      <c r="N381">
        <v>4871.07</v>
      </c>
      <c r="O381" t="s">
        <v>66</v>
      </c>
      <c r="P381" t="s">
        <v>55</v>
      </c>
      <c r="Q381">
        <f t="shared" si="15"/>
        <v>0</v>
      </c>
      <c r="R381" t="str">
        <f t="shared" si="16"/>
        <v>25-48 months</v>
      </c>
      <c r="S381" t="str">
        <f t="shared" si="17"/>
        <v>&gt; $100</v>
      </c>
    </row>
    <row r="382" spans="1:19" x14ac:dyDescent="0.35">
      <c r="A382" t="s">
        <v>446</v>
      </c>
      <c r="B382">
        <v>19</v>
      </c>
      <c r="C382" t="s">
        <v>55</v>
      </c>
      <c r="D382" t="s">
        <v>55</v>
      </c>
      <c r="E382" t="s">
        <v>56</v>
      </c>
      <c r="F382">
        <v>20</v>
      </c>
      <c r="G382" t="s">
        <v>55</v>
      </c>
      <c r="H382" t="s">
        <v>60</v>
      </c>
      <c r="I382" t="s">
        <v>30</v>
      </c>
      <c r="J382" t="s">
        <v>13</v>
      </c>
      <c r="K382" t="s">
        <v>56</v>
      </c>
      <c r="L382" t="s">
        <v>1066</v>
      </c>
      <c r="M382">
        <v>96.04</v>
      </c>
      <c r="N382">
        <v>1961.83</v>
      </c>
      <c r="O382" t="s">
        <v>69</v>
      </c>
      <c r="P382" t="s">
        <v>55</v>
      </c>
      <c r="Q382">
        <f t="shared" si="15"/>
        <v>0</v>
      </c>
      <c r="R382" t="str">
        <f t="shared" si="16"/>
        <v>13-24 months</v>
      </c>
      <c r="S382" t="str">
        <f t="shared" si="17"/>
        <v>$76-$100</v>
      </c>
    </row>
    <row r="383" spans="1:19" x14ac:dyDescent="0.35">
      <c r="A383" t="s">
        <v>447</v>
      </c>
      <c r="B383">
        <v>32</v>
      </c>
      <c r="C383" t="s">
        <v>55</v>
      </c>
      <c r="D383" t="s">
        <v>55</v>
      </c>
      <c r="E383" t="s">
        <v>56</v>
      </c>
      <c r="F383">
        <v>20</v>
      </c>
      <c r="G383" t="s">
        <v>55</v>
      </c>
      <c r="H383" t="s">
        <v>60</v>
      </c>
      <c r="I383" t="s">
        <v>30</v>
      </c>
      <c r="J383" t="s">
        <v>14</v>
      </c>
      <c r="K383" t="s">
        <v>55</v>
      </c>
      <c r="L383" t="s">
        <v>24</v>
      </c>
      <c r="M383">
        <v>76.59</v>
      </c>
      <c r="N383">
        <v>1559.83</v>
      </c>
      <c r="O383" t="s">
        <v>69</v>
      </c>
      <c r="P383" t="s">
        <v>55</v>
      </c>
      <c r="Q383">
        <f t="shared" si="15"/>
        <v>0</v>
      </c>
      <c r="R383" t="str">
        <f t="shared" si="16"/>
        <v>13-24 months</v>
      </c>
      <c r="S383" t="str">
        <f t="shared" si="17"/>
        <v>$76-$100</v>
      </c>
    </row>
    <row r="384" spans="1:19" x14ac:dyDescent="0.35">
      <c r="A384" t="s">
        <v>448</v>
      </c>
      <c r="B384">
        <v>69</v>
      </c>
      <c r="C384" t="s">
        <v>56</v>
      </c>
      <c r="D384" t="s">
        <v>56</v>
      </c>
      <c r="E384" t="s">
        <v>56</v>
      </c>
      <c r="F384">
        <v>40</v>
      </c>
      <c r="G384" t="s">
        <v>56</v>
      </c>
      <c r="H384" t="s">
        <v>55</v>
      </c>
      <c r="I384" t="s">
        <v>29</v>
      </c>
      <c r="J384" t="s">
        <v>14</v>
      </c>
      <c r="K384" t="s">
        <v>56</v>
      </c>
      <c r="L384" t="s">
        <v>1066</v>
      </c>
      <c r="M384">
        <v>62.59</v>
      </c>
      <c r="N384">
        <v>2400.87</v>
      </c>
      <c r="O384" t="s">
        <v>58</v>
      </c>
      <c r="P384" t="s">
        <v>56</v>
      </c>
      <c r="Q384">
        <f t="shared" si="15"/>
        <v>1</v>
      </c>
      <c r="R384" t="str">
        <f t="shared" si="16"/>
        <v>25-48 months</v>
      </c>
      <c r="S384" t="str">
        <f t="shared" si="17"/>
        <v>$50-$75</v>
      </c>
    </row>
    <row r="385" spans="1:19" x14ac:dyDescent="0.35">
      <c r="A385" t="s">
        <v>449</v>
      </c>
      <c r="B385">
        <v>64</v>
      </c>
      <c r="C385" t="s">
        <v>56</v>
      </c>
      <c r="D385" t="s">
        <v>56</v>
      </c>
      <c r="E385" t="s">
        <v>56</v>
      </c>
      <c r="F385">
        <v>41</v>
      </c>
      <c r="G385" t="s">
        <v>56</v>
      </c>
      <c r="H385" t="s">
        <v>55</v>
      </c>
      <c r="I385" t="s">
        <v>31</v>
      </c>
      <c r="J385" t="s">
        <v>13</v>
      </c>
      <c r="K385" t="s">
        <v>55</v>
      </c>
      <c r="L385" t="s">
        <v>25</v>
      </c>
      <c r="M385">
        <v>21.64</v>
      </c>
      <c r="N385">
        <v>913.39</v>
      </c>
      <c r="O385" t="s">
        <v>69</v>
      </c>
      <c r="P385" t="s">
        <v>55</v>
      </c>
      <c r="Q385">
        <f t="shared" si="15"/>
        <v>0</v>
      </c>
      <c r="R385" t="str">
        <f t="shared" si="16"/>
        <v>25-48 months</v>
      </c>
      <c r="S385" t="str">
        <f t="shared" si="17"/>
        <v>&lt; $50</v>
      </c>
    </row>
    <row r="386" spans="1:19" x14ac:dyDescent="0.35">
      <c r="A386" t="s">
        <v>450</v>
      </c>
      <c r="B386">
        <v>65</v>
      </c>
      <c r="C386" t="s">
        <v>56</v>
      </c>
      <c r="D386" t="s">
        <v>55</v>
      </c>
      <c r="E386" t="s">
        <v>56</v>
      </c>
      <c r="F386">
        <v>25</v>
      </c>
      <c r="G386" t="s">
        <v>56</v>
      </c>
      <c r="H386" t="s">
        <v>56</v>
      </c>
      <c r="I386" t="s">
        <v>30</v>
      </c>
      <c r="J386" t="s">
        <v>14</v>
      </c>
      <c r="K386" t="s">
        <v>55</v>
      </c>
      <c r="L386" t="s">
        <v>1066</v>
      </c>
      <c r="M386">
        <v>100.62</v>
      </c>
      <c r="N386">
        <v>2544.59</v>
      </c>
      <c r="O386" t="s">
        <v>80</v>
      </c>
      <c r="P386" t="s">
        <v>56</v>
      </c>
      <c r="Q386">
        <f t="shared" si="15"/>
        <v>1</v>
      </c>
      <c r="R386" t="str">
        <f t="shared" si="16"/>
        <v>25-48 months</v>
      </c>
      <c r="S386" t="str">
        <f t="shared" si="17"/>
        <v>&gt; $100</v>
      </c>
    </row>
    <row r="387" spans="1:19" x14ac:dyDescent="0.35">
      <c r="A387" t="s">
        <v>451</v>
      </c>
      <c r="B387">
        <v>40</v>
      </c>
      <c r="C387" t="s">
        <v>55</v>
      </c>
      <c r="D387" t="s">
        <v>56</v>
      </c>
      <c r="E387" t="s">
        <v>55</v>
      </c>
      <c r="F387">
        <v>18</v>
      </c>
      <c r="G387" t="s">
        <v>55</v>
      </c>
      <c r="H387" t="s">
        <v>60</v>
      </c>
      <c r="I387" t="s">
        <v>29</v>
      </c>
      <c r="J387" t="s">
        <v>13</v>
      </c>
      <c r="K387" t="s">
        <v>55</v>
      </c>
      <c r="L387" t="s">
        <v>26</v>
      </c>
      <c r="M387">
        <v>55.5</v>
      </c>
      <c r="N387">
        <v>995.86</v>
      </c>
      <c r="O387" t="s">
        <v>62</v>
      </c>
      <c r="P387" t="s">
        <v>56</v>
      </c>
      <c r="Q387">
        <f t="shared" ref="Q387:Q450" si="18">IF(P387="Yes",1,0)</f>
        <v>1</v>
      </c>
      <c r="R387" t="str">
        <f t="shared" ref="R387:R450" si="19">IF(F387&lt;=12,"0-12 months",IF(F387&lt;=24,"13-24 months",IF(F387&lt;=48,"25-48 months","49+ months")))</f>
        <v>13-24 months</v>
      </c>
      <c r="S387" t="str">
        <f t="shared" ref="S387:S450" si="20">IF(M387&lt;50,"&lt; $50",IF(M387&lt;=75,"$50-$75",IF(M387&lt;=100,"$76-$100","&gt; $100")))</f>
        <v>$50-$75</v>
      </c>
    </row>
    <row r="388" spans="1:19" x14ac:dyDescent="0.35">
      <c r="A388" t="s">
        <v>452</v>
      </c>
      <c r="B388">
        <v>20</v>
      </c>
      <c r="C388" t="s">
        <v>55</v>
      </c>
      <c r="D388" t="s">
        <v>55</v>
      </c>
      <c r="E388" t="s">
        <v>56</v>
      </c>
      <c r="F388">
        <v>35</v>
      </c>
      <c r="G388" t="s">
        <v>56</v>
      </c>
      <c r="H388" t="s">
        <v>55</v>
      </c>
      <c r="I388" t="s">
        <v>31</v>
      </c>
      <c r="J388" t="s">
        <v>14</v>
      </c>
      <c r="K388" t="s">
        <v>56</v>
      </c>
      <c r="L388" t="s">
        <v>26</v>
      </c>
      <c r="M388">
        <v>29.13</v>
      </c>
      <c r="N388">
        <v>1078.96</v>
      </c>
      <c r="O388" t="s">
        <v>64</v>
      </c>
      <c r="P388" t="s">
        <v>55</v>
      </c>
      <c r="Q388">
        <f t="shared" si="18"/>
        <v>0</v>
      </c>
      <c r="R388" t="str">
        <f t="shared" si="19"/>
        <v>25-48 months</v>
      </c>
      <c r="S388" t="str">
        <f t="shared" si="20"/>
        <v>&lt; $50</v>
      </c>
    </row>
    <row r="389" spans="1:19" x14ac:dyDescent="0.35">
      <c r="A389" t="s">
        <v>453</v>
      </c>
      <c r="B389">
        <v>62</v>
      </c>
      <c r="C389" t="s">
        <v>56</v>
      </c>
      <c r="D389" t="s">
        <v>55</v>
      </c>
      <c r="E389" t="s">
        <v>55</v>
      </c>
      <c r="F389">
        <v>32</v>
      </c>
      <c r="G389" t="s">
        <v>56</v>
      </c>
      <c r="H389" t="s">
        <v>55</v>
      </c>
      <c r="I389" t="s">
        <v>30</v>
      </c>
      <c r="J389" t="s">
        <v>14</v>
      </c>
      <c r="K389" t="s">
        <v>55</v>
      </c>
      <c r="L389" t="s">
        <v>24</v>
      </c>
      <c r="M389">
        <v>116.96</v>
      </c>
      <c r="N389">
        <v>3775.03</v>
      </c>
      <c r="O389" t="s">
        <v>69</v>
      </c>
      <c r="P389" t="s">
        <v>55</v>
      </c>
      <c r="Q389">
        <f t="shared" si="18"/>
        <v>0</v>
      </c>
      <c r="R389" t="str">
        <f t="shared" si="19"/>
        <v>25-48 months</v>
      </c>
      <c r="S389" t="str">
        <f t="shared" si="20"/>
        <v>&gt; $100</v>
      </c>
    </row>
    <row r="390" spans="1:19" x14ac:dyDescent="0.35">
      <c r="A390" t="s">
        <v>454</v>
      </c>
      <c r="B390">
        <v>74</v>
      </c>
      <c r="C390" t="s">
        <v>56</v>
      </c>
      <c r="D390" t="s">
        <v>56</v>
      </c>
      <c r="E390" t="s">
        <v>56</v>
      </c>
      <c r="F390">
        <v>58</v>
      </c>
      <c r="G390" t="s">
        <v>56</v>
      </c>
      <c r="H390" t="s">
        <v>55</v>
      </c>
      <c r="I390" t="s">
        <v>29</v>
      </c>
      <c r="J390" t="s">
        <v>12</v>
      </c>
      <c r="K390" t="s">
        <v>55</v>
      </c>
      <c r="L390" t="s">
        <v>25</v>
      </c>
      <c r="M390">
        <v>41.57</v>
      </c>
      <c r="N390">
        <v>2378.48</v>
      </c>
      <c r="O390" t="s">
        <v>80</v>
      </c>
      <c r="P390" t="s">
        <v>55</v>
      </c>
      <c r="Q390">
        <f t="shared" si="18"/>
        <v>0</v>
      </c>
      <c r="R390" t="str">
        <f t="shared" si="19"/>
        <v>49+ months</v>
      </c>
      <c r="S390" t="str">
        <f t="shared" si="20"/>
        <v>&lt; $50</v>
      </c>
    </row>
    <row r="391" spans="1:19" x14ac:dyDescent="0.35">
      <c r="A391" t="s">
        <v>455</v>
      </c>
      <c r="B391">
        <v>30</v>
      </c>
      <c r="C391" t="s">
        <v>55</v>
      </c>
      <c r="D391" t="s">
        <v>55</v>
      </c>
      <c r="E391" t="s">
        <v>55</v>
      </c>
      <c r="F391">
        <v>51</v>
      </c>
      <c r="G391" t="s">
        <v>55</v>
      </c>
      <c r="H391" t="s">
        <v>60</v>
      </c>
      <c r="I391" t="s">
        <v>31</v>
      </c>
      <c r="J391" t="s">
        <v>12</v>
      </c>
      <c r="K391" t="s">
        <v>55</v>
      </c>
      <c r="L391" t="s">
        <v>26</v>
      </c>
      <c r="M391">
        <v>29.03</v>
      </c>
      <c r="N391">
        <v>1514.28</v>
      </c>
      <c r="O391" t="s">
        <v>64</v>
      </c>
      <c r="P391" t="s">
        <v>55</v>
      </c>
      <c r="Q391">
        <f t="shared" si="18"/>
        <v>0</v>
      </c>
      <c r="R391" t="str">
        <f t="shared" si="19"/>
        <v>49+ months</v>
      </c>
      <c r="S391" t="str">
        <f t="shared" si="20"/>
        <v>&lt; $50</v>
      </c>
    </row>
    <row r="392" spans="1:19" x14ac:dyDescent="0.35">
      <c r="A392" t="s">
        <v>456</v>
      </c>
      <c r="B392">
        <v>71</v>
      </c>
      <c r="C392" t="s">
        <v>56</v>
      </c>
      <c r="D392" t="s">
        <v>55</v>
      </c>
      <c r="E392" t="s">
        <v>56</v>
      </c>
      <c r="F392">
        <v>65</v>
      </c>
      <c r="G392" t="s">
        <v>56</v>
      </c>
      <c r="H392" t="s">
        <v>55</v>
      </c>
      <c r="I392" t="s">
        <v>30</v>
      </c>
      <c r="J392" t="s">
        <v>12</v>
      </c>
      <c r="K392" t="s">
        <v>56</v>
      </c>
      <c r="L392" t="s">
        <v>26</v>
      </c>
      <c r="M392">
        <v>99.52</v>
      </c>
      <c r="N392">
        <v>6633.86</v>
      </c>
      <c r="O392" t="s">
        <v>64</v>
      </c>
      <c r="P392" t="s">
        <v>56</v>
      </c>
      <c r="Q392">
        <f t="shared" si="18"/>
        <v>1</v>
      </c>
      <c r="R392" t="str">
        <f t="shared" si="19"/>
        <v>49+ months</v>
      </c>
      <c r="S392" t="str">
        <f t="shared" si="20"/>
        <v>$76-$100</v>
      </c>
    </row>
    <row r="393" spans="1:19" x14ac:dyDescent="0.35">
      <c r="A393" t="s">
        <v>457</v>
      </c>
      <c r="B393">
        <v>23</v>
      </c>
      <c r="C393" t="s">
        <v>55</v>
      </c>
      <c r="D393" t="s">
        <v>55</v>
      </c>
      <c r="E393" t="s">
        <v>55</v>
      </c>
      <c r="F393">
        <v>21</v>
      </c>
      <c r="G393" t="s">
        <v>56</v>
      </c>
      <c r="H393" t="s">
        <v>56</v>
      </c>
      <c r="I393" t="s">
        <v>29</v>
      </c>
      <c r="J393" t="s">
        <v>13</v>
      </c>
      <c r="K393" t="s">
        <v>55</v>
      </c>
      <c r="L393" t="s">
        <v>26</v>
      </c>
      <c r="M393">
        <v>68.290000000000006</v>
      </c>
      <c r="N393">
        <v>1473.13</v>
      </c>
      <c r="O393" t="s">
        <v>58</v>
      </c>
      <c r="P393" t="s">
        <v>55</v>
      </c>
      <c r="Q393">
        <f t="shared" si="18"/>
        <v>0</v>
      </c>
      <c r="R393" t="str">
        <f t="shared" si="19"/>
        <v>13-24 months</v>
      </c>
      <c r="S393" t="str">
        <f t="shared" si="20"/>
        <v>$50-$75</v>
      </c>
    </row>
    <row r="394" spans="1:19" x14ac:dyDescent="0.35">
      <c r="A394" t="s">
        <v>458</v>
      </c>
      <c r="B394">
        <v>28</v>
      </c>
      <c r="C394" t="s">
        <v>55</v>
      </c>
      <c r="D394" t="s">
        <v>55</v>
      </c>
      <c r="E394" t="s">
        <v>55</v>
      </c>
      <c r="F394">
        <v>6</v>
      </c>
      <c r="G394" t="s">
        <v>55</v>
      </c>
      <c r="H394" t="s">
        <v>60</v>
      </c>
      <c r="I394" t="s">
        <v>29</v>
      </c>
      <c r="J394" t="s">
        <v>13</v>
      </c>
      <c r="K394" t="s">
        <v>56</v>
      </c>
      <c r="L394" t="s">
        <v>26</v>
      </c>
      <c r="M394">
        <v>45.78</v>
      </c>
      <c r="N394">
        <v>283.55</v>
      </c>
      <c r="O394" t="s">
        <v>76</v>
      </c>
      <c r="P394" t="s">
        <v>56</v>
      </c>
      <c r="Q394">
        <f t="shared" si="18"/>
        <v>1</v>
      </c>
      <c r="R394" t="str">
        <f t="shared" si="19"/>
        <v>0-12 months</v>
      </c>
      <c r="S394" t="str">
        <f t="shared" si="20"/>
        <v>&lt; $50</v>
      </c>
    </row>
    <row r="395" spans="1:19" x14ac:dyDescent="0.35">
      <c r="A395" t="s">
        <v>459</v>
      </c>
      <c r="B395">
        <v>37</v>
      </c>
      <c r="C395" t="s">
        <v>55</v>
      </c>
      <c r="D395" t="s">
        <v>55</v>
      </c>
      <c r="E395" t="s">
        <v>55</v>
      </c>
      <c r="F395">
        <v>24</v>
      </c>
      <c r="G395" t="s">
        <v>56</v>
      </c>
      <c r="H395" t="s">
        <v>55</v>
      </c>
      <c r="I395" t="s">
        <v>30</v>
      </c>
      <c r="J395" t="s">
        <v>12</v>
      </c>
      <c r="K395" t="s">
        <v>55</v>
      </c>
      <c r="L395" t="s">
        <v>26</v>
      </c>
      <c r="M395">
        <v>94.88</v>
      </c>
      <c r="N395">
        <v>2276.75</v>
      </c>
      <c r="O395" t="s">
        <v>58</v>
      </c>
      <c r="P395" t="s">
        <v>55</v>
      </c>
      <c r="Q395">
        <f t="shared" si="18"/>
        <v>0</v>
      </c>
      <c r="R395" t="str">
        <f t="shared" si="19"/>
        <v>13-24 months</v>
      </c>
      <c r="S395" t="str">
        <f t="shared" si="20"/>
        <v>$76-$100</v>
      </c>
    </row>
    <row r="396" spans="1:19" x14ac:dyDescent="0.35">
      <c r="A396" t="s">
        <v>460</v>
      </c>
      <c r="B396">
        <v>74</v>
      </c>
      <c r="C396" t="s">
        <v>56</v>
      </c>
      <c r="D396" t="s">
        <v>55</v>
      </c>
      <c r="E396" t="s">
        <v>56</v>
      </c>
      <c r="F396">
        <v>28</v>
      </c>
      <c r="G396" t="s">
        <v>55</v>
      </c>
      <c r="H396" t="s">
        <v>60</v>
      </c>
      <c r="I396" t="s">
        <v>29</v>
      </c>
      <c r="J396" t="s">
        <v>12</v>
      </c>
      <c r="K396" t="s">
        <v>55</v>
      </c>
      <c r="L396" t="s">
        <v>26</v>
      </c>
      <c r="M396">
        <v>64</v>
      </c>
      <c r="N396">
        <v>1737.1</v>
      </c>
      <c r="O396" t="s">
        <v>58</v>
      </c>
      <c r="P396" t="s">
        <v>55</v>
      </c>
      <c r="Q396">
        <f t="shared" si="18"/>
        <v>0</v>
      </c>
      <c r="R396" t="str">
        <f t="shared" si="19"/>
        <v>25-48 months</v>
      </c>
      <c r="S396" t="str">
        <f t="shared" si="20"/>
        <v>$50-$75</v>
      </c>
    </row>
    <row r="397" spans="1:19" x14ac:dyDescent="0.35">
      <c r="A397" t="s">
        <v>461</v>
      </c>
      <c r="B397">
        <v>58</v>
      </c>
      <c r="C397" t="s">
        <v>55</v>
      </c>
      <c r="D397" t="s">
        <v>56</v>
      </c>
      <c r="E397" t="s">
        <v>56</v>
      </c>
      <c r="F397">
        <v>24</v>
      </c>
      <c r="G397" t="s">
        <v>55</v>
      </c>
      <c r="H397" t="s">
        <v>60</v>
      </c>
      <c r="I397" t="s">
        <v>30</v>
      </c>
      <c r="J397" t="s">
        <v>12</v>
      </c>
      <c r="K397" t="s">
        <v>56</v>
      </c>
      <c r="L397" t="s">
        <v>1066</v>
      </c>
      <c r="M397">
        <v>111.9</v>
      </c>
      <c r="N397">
        <v>2620.64</v>
      </c>
      <c r="O397" t="s">
        <v>80</v>
      </c>
      <c r="P397" t="s">
        <v>55</v>
      </c>
      <c r="Q397">
        <f t="shared" si="18"/>
        <v>0</v>
      </c>
      <c r="R397" t="str">
        <f t="shared" si="19"/>
        <v>13-24 months</v>
      </c>
      <c r="S397" t="str">
        <f t="shared" si="20"/>
        <v>&gt; $100</v>
      </c>
    </row>
    <row r="398" spans="1:19" x14ac:dyDescent="0.35">
      <c r="A398" t="s">
        <v>462</v>
      </c>
      <c r="B398">
        <v>24</v>
      </c>
      <c r="C398" t="s">
        <v>55</v>
      </c>
      <c r="D398" t="s">
        <v>55</v>
      </c>
      <c r="E398" t="s">
        <v>56</v>
      </c>
      <c r="F398">
        <v>21</v>
      </c>
      <c r="G398" t="s">
        <v>56</v>
      </c>
      <c r="H398" t="s">
        <v>55</v>
      </c>
      <c r="I398" t="s">
        <v>29</v>
      </c>
      <c r="J398" t="s">
        <v>13</v>
      </c>
      <c r="K398" t="s">
        <v>55</v>
      </c>
      <c r="L398" t="s">
        <v>25</v>
      </c>
      <c r="M398">
        <v>43.73</v>
      </c>
      <c r="N398">
        <v>896.21</v>
      </c>
      <c r="O398" t="s">
        <v>64</v>
      </c>
      <c r="P398" t="s">
        <v>55</v>
      </c>
      <c r="Q398">
        <f t="shared" si="18"/>
        <v>0</v>
      </c>
      <c r="R398" t="str">
        <f t="shared" si="19"/>
        <v>13-24 months</v>
      </c>
      <c r="S398" t="str">
        <f t="shared" si="20"/>
        <v>&lt; $50</v>
      </c>
    </row>
    <row r="399" spans="1:19" x14ac:dyDescent="0.35">
      <c r="A399" t="s">
        <v>463</v>
      </c>
      <c r="B399">
        <v>70</v>
      </c>
      <c r="C399" t="s">
        <v>56</v>
      </c>
      <c r="D399" t="s">
        <v>56</v>
      </c>
      <c r="E399" t="s">
        <v>55</v>
      </c>
      <c r="F399">
        <v>71</v>
      </c>
      <c r="G399" t="s">
        <v>55</v>
      </c>
      <c r="H399" t="s">
        <v>60</v>
      </c>
      <c r="I399" t="s">
        <v>30</v>
      </c>
      <c r="J399" t="s">
        <v>12</v>
      </c>
      <c r="K399" t="s">
        <v>55</v>
      </c>
      <c r="L399" t="s">
        <v>26</v>
      </c>
      <c r="M399">
        <v>90.69</v>
      </c>
      <c r="N399">
        <v>6214.79</v>
      </c>
      <c r="O399" t="s">
        <v>80</v>
      </c>
      <c r="P399" t="s">
        <v>56</v>
      </c>
      <c r="Q399">
        <f t="shared" si="18"/>
        <v>1</v>
      </c>
      <c r="R399" t="str">
        <f t="shared" si="19"/>
        <v>49+ months</v>
      </c>
      <c r="S399" t="str">
        <f t="shared" si="20"/>
        <v>$76-$100</v>
      </c>
    </row>
    <row r="400" spans="1:19" x14ac:dyDescent="0.35">
      <c r="A400" t="s">
        <v>464</v>
      </c>
      <c r="B400">
        <v>24</v>
      </c>
      <c r="C400" t="s">
        <v>55</v>
      </c>
      <c r="D400" t="s">
        <v>56</v>
      </c>
      <c r="E400" t="s">
        <v>55</v>
      </c>
      <c r="F400">
        <v>37</v>
      </c>
      <c r="G400" t="s">
        <v>55</v>
      </c>
      <c r="H400" t="s">
        <v>60</v>
      </c>
      <c r="I400" t="s">
        <v>30</v>
      </c>
      <c r="J400" t="s">
        <v>12</v>
      </c>
      <c r="K400" t="s">
        <v>55</v>
      </c>
      <c r="L400" t="s">
        <v>25</v>
      </c>
      <c r="M400">
        <v>100.71</v>
      </c>
      <c r="N400">
        <v>3724.66</v>
      </c>
      <c r="O400" t="s">
        <v>64</v>
      </c>
      <c r="P400" t="s">
        <v>55</v>
      </c>
      <c r="Q400">
        <f t="shared" si="18"/>
        <v>0</v>
      </c>
      <c r="R400" t="str">
        <f t="shared" si="19"/>
        <v>25-48 months</v>
      </c>
      <c r="S400" t="str">
        <f t="shared" si="20"/>
        <v>&gt; $100</v>
      </c>
    </row>
    <row r="401" spans="1:19" x14ac:dyDescent="0.35">
      <c r="A401" t="s">
        <v>465</v>
      </c>
      <c r="B401">
        <v>49</v>
      </c>
      <c r="C401" t="s">
        <v>55</v>
      </c>
      <c r="D401" t="s">
        <v>56</v>
      </c>
      <c r="E401" t="s">
        <v>56</v>
      </c>
      <c r="F401">
        <v>38</v>
      </c>
      <c r="G401" t="s">
        <v>56</v>
      </c>
      <c r="H401" t="s">
        <v>56</v>
      </c>
      <c r="I401" t="s">
        <v>31</v>
      </c>
      <c r="J401" t="s">
        <v>12</v>
      </c>
      <c r="K401" t="s">
        <v>56</v>
      </c>
      <c r="L401" t="s">
        <v>1066</v>
      </c>
      <c r="M401">
        <v>20.49</v>
      </c>
      <c r="N401">
        <v>789.39</v>
      </c>
      <c r="O401" t="s">
        <v>80</v>
      </c>
      <c r="P401" t="s">
        <v>55</v>
      </c>
      <c r="Q401">
        <f t="shared" si="18"/>
        <v>0</v>
      </c>
      <c r="R401" t="str">
        <f t="shared" si="19"/>
        <v>25-48 months</v>
      </c>
      <c r="S401" t="str">
        <f t="shared" si="20"/>
        <v>&lt; $50</v>
      </c>
    </row>
    <row r="402" spans="1:19" x14ac:dyDescent="0.35">
      <c r="A402" t="s">
        <v>466</v>
      </c>
      <c r="B402">
        <v>39</v>
      </c>
      <c r="C402" t="s">
        <v>55</v>
      </c>
      <c r="D402" t="s">
        <v>55</v>
      </c>
      <c r="E402" t="s">
        <v>56</v>
      </c>
      <c r="F402">
        <v>2</v>
      </c>
      <c r="G402" t="s">
        <v>55</v>
      </c>
      <c r="H402" t="s">
        <v>60</v>
      </c>
      <c r="I402" t="s">
        <v>29</v>
      </c>
      <c r="J402" t="s">
        <v>12</v>
      </c>
      <c r="K402" t="s">
        <v>56</v>
      </c>
      <c r="L402" t="s">
        <v>26</v>
      </c>
      <c r="M402">
        <v>60.27</v>
      </c>
      <c r="N402">
        <v>117.99</v>
      </c>
      <c r="O402" t="s">
        <v>69</v>
      </c>
      <c r="P402" t="s">
        <v>56</v>
      </c>
      <c r="Q402">
        <f t="shared" si="18"/>
        <v>1</v>
      </c>
      <c r="R402" t="str">
        <f t="shared" si="19"/>
        <v>0-12 months</v>
      </c>
      <c r="S402" t="str">
        <f t="shared" si="20"/>
        <v>$50-$75</v>
      </c>
    </row>
    <row r="403" spans="1:19" x14ac:dyDescent="0.35">
      <c r="A403" t="s">
        <v>467</v>
      </c>
      <c r="B403">
        <v>39</v>
      </c>
      <c r="C403" t="s">
        <v>55</v>
      </c>
      <c r="D403" t="s">
        <v>55</v>
      </c>
      <c r="E403" t="s">
        <v>55</v>
      </c>
      <c r="F403">
        <v>4</v>
      </c>
      <c r="G403" t="s">
        <v>56</v>
      </c>
      <c r="H403" t="s">
        <v>56</v>
      </c>
      <c r="I403" t="s">
        <v>31</v>
      </c>
      <c r="J403" t="s">
        <v>12</v>
      </c>
      <c r="K403" t="s">
        <v>55</v>
      </c>
      <c r="L403" t="s">
        <v>25</v>
      </c>
      <c r="M403">
        <v>27.57</v>
      </c>
      <c r="N403">
        <v>112.21</v>
      </c>
      <c r="O403" t="s">
        <v>69</v>
      </c>
      <c r="P403" t="s">
        <v>56</v>
      </c>
      <c r="Q403">
        <f t="shared" si="18"/>
        <v>1</v>
      </c>
      <c r="R403" t="str">
        <f t="shared" si="19"/>
        <v>0-12 months</v>
      </c>
      <c r="S403" t="str">
        <f t="shared" si="20"/>
        <v>&lt; $50</v>
      </c>
    </row>
    <row r="404" spans="1:19" x14ac:dyDescent="0.35">
      <c r="A404" t="s">
        <v>468</v>
      </c>
      <c r="B404">
        <v>47</v>
      </c>
      <c r="C404" t="s">
        <v>55</v>
      </c>
      <c r="D404" t="s">
        <v>55</v>
      </c>
      <c r="E404" t="s">
        <v>55</v>
      </c>
      <c r="F404">
        <v>53</v>
      </c>
      <c r="G404" t="s">
        <v>56</v>
      </c>
      <c r="H404" t="s">
        <v>55</v>
      </c>
      <c r="I404" t="s">
        <v>31</v>
      </c>
      <c r="J404" t="s">
        <v>12</v>
      </c>
      <c r="K404" t="s">
        <v>55</v>
      </c>
      <c r="L404" t="s">
        <v>24</v>
      </c>
      <c r="M404">
        <v>18.22</v>
      </c>
      <c r="N404">
        <v>974.63</v>
      </c>
      <c r="O404" t="s">
        <v>66</v>
      </c>
      <c r="P404" t="s">
        <v>55</v>
      </c>
      <c r="Q404">
        <f t="shared" si="18"/>
        <v>0</v>
      </c>
      <c r="R404" t="str">
        <f t="shared" si="19"/>
        <v>49+ months</v>
      </c>
      <c r="S404" t="str">
        <f t="shared" si="20"/>
        <v>&lt; $50</v>
      </c>
    </row>
    <row r="405" spans="1:19" x14ac:dyDescent="0.35">
      <c r="A405" t="s">
        <v>469</v>
      </c>
      <c r="B405">
        <v>40</v>
      </c>
      <c r="C405" t="s">
        <v>55</v>
      </c>
      <c r="D405" t="s">
        <v>56</v>
      </c>
      <c r="E405" t="s">
        <v>56</v>
      </c>
      <c r="F405">
        <v>36</v>
      </c>
      <c r="G405" t="s">
        <v>55</v>
      </c>
      <c r="H405" t="s">
        <v>60</v>
      </c>
      <c r="I405" t="s">
        <v>31</v>
      </c>
      <c r="J405" t="s">
        <v>14</v>
      </c>
      <c r="K405" t="s">
        <v>56</v>
      </c>
      <c r="L405" t="s">
        <v>24</v>
      </c>
      <c r="M405">
        <v>22.67</v>
      </c>
      <c r="N405">
        <v>825.44</v>
      </c>
      <c r="O405" t="s">
        <v>66</v>
      </c>
      <c r="P405" t="s">
        <v>55</v>
      </c>
      <c r="Q405">
        <f t="shared" si="18"/>
        <v>0</v>
      </c>
      <c r="R405" t="str">
        <f t="shared" si="19"/>
        <v>25-48 months</v>
      </c>
      <c r="S405" t="str">
        <f t="shared" si="20"/>
        <v>&lt; $50</v>
      </c>
    </row>
    <row r="406" spans="1:19" x14ac:dyDescent="0.35">
      <c r="A406" t="s">
        <v>470</v>
      </c>
      <c r="B406">
        <v>37</v>
      </c>
      <c r="C406" t="s">
        <v>55</v>
      </c>
      <c r="D406" t="s">
        <v>55</v>
      </c>
      <c r="E406" t="s">
        <v>56</v>
      </c>
      <c r="F406">
        <v>35</v>
      </c>
      <c r="G406" t="s">
        <v>55</v>
      </c>
      <c r="H406" t="s">
        <v>60</v>
      </c>
      <c r="I406" t="s">
        <v>30</v>
      </c>
      <c r="J406" t="s">
        <v>14</v>
      </c>
      <c r="K406" t="s">
        <v>55</v>
      </c>
      <c r="L406" t="s">
        <v>24</v>
      </c>
      <c r="M406">
        <v>117.54</v>
      </c>
      <c r="N406">
        <v>3973.77</v>
      </c>
      <c r="O406" t="s">
        <v>80</v>
      </c>
      <c r="P406" t="s">
        <v>55</v>
      </c>
      <c r="Q406">
        <f t="shared" si="18"/>
        <v>0</v>
      </c>
      <c r="R406" t="str">
        <f t="shared" si="19"/>
        <v>25-48 months</v>
      </c>
      <c r="S406" t="str">
        <f t="shared" si="20"/>
        <v>&gt; $100</v>
      </c>
    </row>
    <row r="407" spans="1:19" x14ac:dyDescent="0.35">
      <c r="A407" t="s">
        <v>471</v>
      </c>
      <c r="B407">
        <v>41</v>
      </c>
      <c r="C407" t="s">
        <v>55</v>
      </c>
      <c r="D407" t="s">
        <v>56</v>
      </c>
      <c r="E407" t="s">
        <v>56</v>
      </c>
      <c r="F407">
        <v>12</v>
      </c>
      <c r="G407" t="s">
        <v>56</v>
      </c>
      <c r="H407" t="s">
        <v>55</v>
      </c>
      <c r="I407" t="s">
        <v>30</v>
      </c>
      <c r="J407" t="s">
        <v>14</v>
      </c>
      <c r="K407" t="s">
        <v>56</v>
      </c>
      <c r="L407" t="s">
        <v>26</v>
      </c>
      <c r="M407">
        <v>116.18</v>
      </c>
      <c r="N407">
        <v>1433.05</v>
      </c>
      <c r="O407" t="s">
        <v>66</v>
      </c>
      <c r="P407" t="s">
        <v>55</v>
      </c>
      <c r="Q407">
        <f t="shared" si="18"/>
        <v>0</v>
      </c>
      <c r="R407" t="str">
        <f t="shared" si="19"/>
        <v>0-12 months</v>
      </c>
      <c r="S407" t="str">
        <f t="shared" si="20"/>
        <v>&gt; $100</v>
      </c>
    </row>
    <row r="408" spans="1:19" x14ac:dyDescent="0.35">
      <c r="A408" t="s">
        <v>472</v>
      </c>
      <c r="B408">
        <v>38</v>
      </c>
      <c r="C408" t="s">
        <v>55</v>
      </c>
      <c r="D408" t="s">
        <v>56</v>
      </c>
      <c r="E408" t="s">
        <v>56</v>
      </c>
      <c r="F408">
        <v>67</v>
      </c>
      <c r="G408" t="s">
        <v>56</v>
      </c>
      <c r="H408" t="s">
        <v>56</v>
      </c>
      <c r="I408" t="s">
        <v>29</v>
      </c>
      <c r="J408" t="s">
        <v>12</v>
      </c>
      <c r="K408" t="s">
        <v>55</v>
      </c>
      <c r="L408" t="s">
        <v>1066</v>
      </c>
      <c r="M408">
        <v>60.89</v>
      </c>
      <c r="N408">
        <v>3836.86</v>
      </c>
      <c r="O408" t="s">
        <v>69</v>
      </c>
      <c r="P408" t="s">
        <v>55</v>
      </c>
      <c r="Q408">
        <f t="shared" si="18"/>
        <v>0</v>
      </c>
      <c r="R408" t="str">
        <f t="shared" si="19"/>
        <v>49+ months</v>
      </c>
      <c r="S408" t="str">
        <f t="shared" si="20"/>
        <v>$50-$75</v>
      </c>
    </row>
    <row r="409" spans="1:19" x14ac:dyDescent="0.35">
      <c r="A409" t="s">
        <v>473</v>
      </c>
      <c r="B409">
        <v>72</v>
      </c>
      <c r="C409" t="s">
        <v>56</v>
      </c>
      <c r="D409" t="s">
        <v>56</v>
      </c>
      <c r="E409" t="s">
        <v>55</v>
      </c>
      <c r="F409">
        <v>60</v>
      </c>
      <c r="G409" t="s">
        <v>56</v>
      </c>
      <c r="H409" t="s">
        <v>55</v>
      </c>
      <c r="I409" t="s">
        <v>31</v>
      </c>
      <c r="J409" t="s">
        <v>13</v>
      </c>
      <c r="K409" t="s">
        <v>55</v>
      </c>
      <c r="L409" t="s">
        <v>26</v>
      </c>
      <c r="M409">
        <v>27.1</v>
      </c>
      <c r="N409">
        <v>1653.09</v>
      </c>
      <c r="O409" t="s">
        <v>62</v>
      </c>
      <c r="P409" t="s">
        <v>56</v>
      </c>
      <c r="Q409">
        <f t="shared" si="18"/>
        <v>1</v>
      </c>
      <c r="R409" t="str">
        <f t="shared" si="19"/>
        <v>49+ months</v>
      </c>
      <c r="S409" t="str">
        <f t="shared" si="20"/>
        <v>&lt; $50</v>
      </c>
    </row>
    <row r="410" spans="1:19" x14ac:dyDescent="0.35">
      <c r="A410" t="s">
        <v>474</v>
      </c>
      <c r="B410">
        <v>30</v>
      </c>
      <c r="C410" t="s">
        <v>55</v>
      </c>
      <c r="D410" t="s">
        <v>55</v>
      </c>
      <c r="E410" t="s">
        <v>55</v>
      </c>
      <c r="F410">
        <v>69</v>
      </c>
      <c r="G410" t="s">
        <v>55</v>
      </c>
      <c r="H410" t="s">
        <v>60</v>
      </c>
      <c r="I410" t="s">
        <v>30</v>
      </c>
      <c r="J410" t="s">
        <v>13</v>
      </c>
      <c r="K410" t="s">
        <v>55</v>
      </c>
      <c r="L410" t="s">
        <v>26</v>
      </c>
      <c r="M410">
        <v>83.68</v>
      </c>
      <c r="N410">
        <v>5438.06</v>
      </c>
      <c r="O410" t="s">
        <v>58</v>
      </c>
      <c r="P410" t="s">
        <v>55</v>
      </c>
      <c r="Q410">
        <f t="shared" si="18"/>
        <v>0</v>
      </c>
      <c r="R410" t="str">
        <f t="shared" si="19"/>
        <v>49+ months</v>
      </c>
      <c r="S410" t="str">
        <f t="shared" si="20"/>
        <v>$76-$100</v>
      </c>
    </row>
    <row r="411" spans="1:19" x14ac:dyDescent="0.35">
      <c r="A411" t="s">
        <v>475</v>
      </c>
      <c r="B411">
        <v>24</v>
      </c>
      <c r="C411" t="s">
        <v>55</v>
      </c>
      <c r="D411" t="s">
        <v>56</v>
      </c>
      <c r="E411" t="s">
        <v>55</v>
      </c>
      <c r="F411">
        <v>71</v>
      </c>
      <c r="G411" t="s">
        <v>56</v>
      </c>
      <c r="H411" t="s">
        <v>55</v>
      </c>
      <c r="I411" t="s">
        <v>30</v>
      </c>
      <c r="J411" t="s">
        <v>14</v>
      </c>
      <c r="K411" t="s">
        <v>56</v>
      </c>
      <c r="L411" t="s">
        <v>26</v>
      </c>
      <c r="M411">
        <v>85.57</v>
      </c>
      <c r="N411">
        <v>6361.44</v>
      </c>
      <c r="O411" t="s">
        <v>80</v>
      </c>
      <c r="P411" t="s">
        <v>55</v>
      </c>
      <c r="Q411">
        <f t="shared" si="18"/>
        <v>0</v>
      </c>
      <c r="R411" t="str">
        <f t="shared" si="19"/>
        <v>49+ months</v>
      </c>
      <c r="S411" t="str">
        <f t="shared" si="20"/>
        <v>$76-$100</v>
      </c>
    </row>
    <row r="412" spans="1:19" x14ac:dyDescent="0.35">
      <c r="A412" t="s">
        <v>476</v>
      </c>
      <c r="B412">
        <v>26</v>
      </c>
      <c r="C412" t="s">
        <v>55</v>
      </c>
      <c r="D412" t="s">
        <v>56</v>
      </c>
      <c r="E412" t="s">
        <v>55</v>
      </c>
      <c r="F412">
        <v>7</v>
      </c>
      <c r="G412" t="s">
        <v>56</v>
      </c>
      <c r="H412" t="s">
        <v>56</v>
      </c>
      <c r="I412" t="s">
        <v>30</v>
      </c>
      <c r="J412" t="s">
        <v>12</v>
      </c>
      <c r="K412" t="s">
        <v>55</v>
      </c>
      <c r="L412" t="s">
        <v>1066</v>
      </c>
      <c r="M412">
        <v>85.62</v>
      </c>
      <c r="N412">
        <v>622.16999999999996</v>
      </c>
      <c r="O412" t="s">
        <v>69</v>
      </c>
      <c r="P412" t="s">
        <v>55</v>
      </c>
      <c r="Q412">
        <f t="shared" si="18"/>
        <v>0</v>
      </c>
      <c r="R412" t="str">
        <f t="shared" si="19"/>
        <v>0-12 months</v>
      </c>
      <c r="S412" t="str">
        <f t="shared" si="20"/>
        <v>$76-$100</v>
      </c>
    </row>
    <row r="413" spans="1:19" x14ac:dyDescent="0.35">
      <c r="A413" t="s">
        <v>477</v>
      </c>
      <c r="B413">
        <v>69</v>
      </c>
      <c r="C413" t="s">
        <v>56</v>
      </c>
      <c r="D413" t="s">
        <v>56</v>
      </c>
      <c r="E413" t="s">
        <v>55</v>
      </c>
      <c r="F413">
        <v>17</v>
      </c>
      <c r="G413" t="s">
        <v>55</v>
      </c>
      <c r="H413" t="s">
        <v>60</v>
      </c>
      <c r="I413" t="s">
        <v>30</v>
      </c>
      <c r="J413" t="s">
        <v>12</v>
      </c>
      <c r="K413" t="s">
        <v>55</v>
      </c>
      <c r="L413" t="s">
        <v>1066</v>
      </c>
      <c r="M413">
        <v>105.51</v>
      </c>
      <c r="N413">
        <v>1786.22</v>
      </c>
      <c r="O413" t="s">
        <v>62</v>
      </c>
      <c r="P413" t="s">
        <v>56</v>
      </c>
      <c r="Q413">
        <f t="shared" si="18"/>
        <v>1</v>
      </c>
      <c r="R413" t="str">
        <f t="shared" si="19"/>
        <v>13-24 months</v>
      </c>
      <c r="S413" t="str">
        <f t="shared" si="20"/>
        <v>&gt; $100</v>
      </c>
    </row>
    <row r="414" spans="1:19" x14ac:dyDescent="0.35">
      <c r="A414" t="s">
        <v>478</v>
      </c>
      <c r="B414">
        <v>27</v>
      </c>
      <c r="C414" t="s">
        <v>55</v>
      </c>
      <c r="D414" t="s">
        <v>55</v>
      </c>
      <c r="E414" t="s">
        <v>55</v>
      </c>
      <c r="F414">
        <v>51</v>
      </c>
      <c r="G414" t="s">
        <v>55</v>
      </c>
      <c r="H414" t="s">
        <v>60</v>
      </c>
      <c r="I414" t="s">
        <v>30</v>
      </c>
      <c r="J414" t="s">
        <v>13</v>
      </c>
      <c r="K414" t="s">
        <v>55</v>
      </c>
      <c r="L414" t="s">
        <v>24</v>
      </c>
      <c r="M414">
        <v>71.510000000000005</v>
      </c>
      <c r="N414">
        <v>3636.22</v>
      </c>
      <c r="O414" t="s">
        <v>64</v>
      </c>
      <c r="P414" t="s">
        <v>55</v>
      </c>
      <c r="Q414">
        <f t="shared" si="18"/>
        <v>0</v>
      </c>
      <c r="R414" t="str">
        <f t="shared" si="19"/>
        <v>49+ months</v>
      </c>
      <c r="S414" t="str">
        <f t="shared" si="20"/>
        <v>$50-$75</v>
      </c>
    </row>
    <row r="415" spans="1:19" x14ac:dyDescent="0.35">
      <c r="A415" t="s">
        <v>479</v>
      </c>
      <c r="B415">
        <v>72</v>
      </c>
      <c r="C415" t="s">
        <v>56</v>
      </c>
      <c r="D415" t="s">
        <v>56</v>
      </c>
      <c r="E415" t="s">
        <v>55</v>
      </c>
      <c r="F415">
        <v>45</v>
      </c>
      <c r="G415" t="s">
        <v>56</v>
      </c>
      <c r="H415" t="s">
        <v>55</v>
      </c>
      <c r="I415" t="s">
        <v>29</v>
      </c>
      <c r="J415" t="s">
        <v>12</v>
      </c>
      <c r="K415" t="s">
        <v>56</v>
      </c>
      <c r="L415" t="s">
        <v>26</v>
      </c>
      <c r="M415">
        <v>65.98</v>
      </c>
      <c r="N415">
        <v>3073.29</v>
      </c>
      <c r="O415" t="s">
        <v>64</v>
      </c>
      <c r="P415" t="s">
        <v>55</v>
      </c>
      <c r="Q415">
        <f t="shared" si="18"/>
        <v>0</v>
      </c>
      <c r="R415" t="str">
        <f t="shared" si="19"/>
        <v>25-48 months</v>
      </c>
      <c r="S415" t="str">
        <f t="shared" si="20"/>
        <v>$50-$75</v>
      </c>
    </row>
    <row r="416" spans="1:19" x14ac:dyDescent="0.35">
      <c r="A416" t="s">
        <v>480</v>
      </c>
      <c r="B416">
        <v>55</v>
      </c>
      <c r="C416" t="s">
        <v>55</v>
      </c>
      <c r="D416" t="s">
        <v>55</v>
      </c>
      <c r="E416" t="s">
        <v>56</v>
      </c>
      <c r="F416">
        <v>32</v>
      </c>
      <c r="G416" t="s">
        <v>55</v>
      </c>
      <c r="H416" t="s">
        <v>60</v>
      </c>
      <c r="I416" t="s">
        <v>29</v>
      </c>
      <c r="J416" t="s">
        <v>12</v>
      </c>
      <c r="K416" t="s">
        <v>55</v>
      </c>
      <c r="L416" t="s">
        <v>26</v>
      </c>
      <c r="M416">
        <v>67.760000000000005</v>
      </c>
      <c r="N416">
        <v>2150.4</v>
      </c>
      <c r="O416" t="s">
        <v>58</v>
      </c>
      <c r="P416" t="s">
        <v>55</v>
      </c>
      <c r="Q416">
        <f t="shared" si="18"/>
        <v>0</v>
      </c>
      <c r="R416" t="str">
        <f t="shared" si="19"/>
        <v>25-48 months</v>
      </c>
      <c r="S416" t="str">
        <f t="shared" si="20"/>
        <v>$50-$75</v>
      </c>
    </row>
    <row r="417" spans="1:19" x14ac:dyDescent="0.35">
      <c r="A417" t="s">
        <v>481</v>
      </c>
      <c r="B417">
        <v>68</v>
      </c>
      <c r="C417" t="s">
        <v>56</v>
      </c>
      <c r="D417" t="s">
        <v>55</v>
      </c>
      <c r="E417" t="s">
        <v>56</v>
      </c>
      <c r="F417">
        <v>23</v>
      </c>
      <c r="G417" t="s">
        <v>56</v>
      </c>
      <c r="H417" t="s">
        <v>55</v>
      </c>
      <c r="I417" t="s">
        <v>29</v>
      </c>
      <c r="J417" t="s">
        <v>13</v>
      </c>
      <c r="K417" t="s">
        <v>55</v>
      </c>
      <c r="L417" t="s">
        <v>26</v>
      </c>
      <c r="M417">
        <v>63.84</v>
      </c>
      <c r="N417">
        <v>1437.55</v>
      </c>
      <c r="O417" t="s">
        <v>64</v>
      </c>
      <c r="P417" t="s">
        <v>56</v>
      </c>
      <c r="Q417">
        <f t="shared" si="18"/>
        <v>1</v>
      </c>
      <c r="R417" t="str">
        <f t="shared" si="19"/>
        <v>13-24 months</v>
      </c>
      <c r="S417" t="str">
        <f t="shared" si="20"/>
        <v>$50-$75</v>
      </c>
    </row>
    <row r="418" spans="1:19" x14ac:dyDescent="0.35">
      <c r="A418" t="s">
        <v>482</v>
      </c>
      <c r="B418">
        <v>29</v>
      </c>
      <c r="C418" t="s">
        <v>55</v>
      </c>
      <c r="D418" t="s">
        <v>55</v>
      </c>
      <c r="E418" t="s">
        <v>55</v>
      </c>
      <c r="F418">
        <v>9</v>
      </c>
      <c r="G418" t="s">
        <v>55</v>
      </c>
      <c r="H418" t="s">
        <v>60</v>
      </c>
      <c r="I418" t="s">
        <v>29</v>
      </c>
      <c r="J418" t="s">
        <v>12</v>
      </c>
      <c r="K418" t="s">
        <v>56</v>
      </c>
      <c r="L418" t="s">
        <v>26</v>
      </c>
      <c r="M418">
        <v>72.680000000000007</v>
      </c>
      <c r="N418">
        <v>684.52</v>
      </c>
      <c r="O418" t="s">
        <v>69</v>
      </c>
      <c r="P418" t="s">
        <v>55</v>
      </c>
      <c r="Q418">
        <f t="shared" si="18"/>
        <v>0</v>
      </c>
      <c r="R418" t="str">
        <f t="shared" si="19"/>
        <v>0-12 months</v>
      </c>
      <c r="S418" t="str">
        <f t="shared" si="20"/>
        <v>$50-$75</v>
      </c>
    </row>
    <row r="419" spans="1:19" x14ac:dyDescent="0.35">
      <c r="A419" t="s">
        <v>483</v>
      </c>
      <c r="B419">
        <v>69</v>
      </c>
      <c r="C419" t="s">
        <v>56</v>
      </c>
      <c r="D419" t="s">
        <v>56</v>
      </c>
      <c r="E419" t="s">
        <v>56</v>
      </c>
      <c r="F419">
        <v>20</v>
      </c>
      <c r="G419" t="s">
        <v>55</v>
      </c>
      <c r="H419" t="s">
        <v>60</v>
      </c>
      <c r="I419" t="s">
        <v>29</v>
      </c>
      <c r="J419" t="s">
        <v>12</v>
      </c>
      <c r="K419" t="s">
        <v>55</v>
      </c>
      <c r="L419" t="s">
        <v>26</v>
      </c>
      <c r="M419">
        <v>67.260000000000005</v>
      </c>
      <c r="N419">
        <v>1315.59</v>
      </c>
      <c r="O419" t="s">
        <v>69</v>
      </c>
      <c r="P419" t="s">
        <v>55</v>
      </c>
      <c r="Q419">
        <f t="shared" si="18"/>
        <v>0</v>
      </c>
      <c r="R419" t="str">
        <f t="shared" si="19"/>
        <v>13-24 months</v>
      </c>
      <c r="S419" t="str">
        <f t="shared" si="20"/>
        <v>$50-$75</v>
      </c>
    </row>
    <row r="420" spans="1:19" x14ac:dyDescent="0.35">
      <c r="A420" t="s">
        <v>484</v>
      </c>
      <c r="B420">
        <v>37</v>
      </c>
      <c r="C420" t="s">
        <v>55</v>
      </c>
      <c r="D420" t="s">
        <v>55</v>
      </c>
      <c r="E420" t="s">
        <v>55</v>
      </c>
      <c r="F420">
        <v>12</v>
      </c>
      <c r="G420" t="s">
        <v>55</v>
      </c>
      <c r="H420" t="s">
        <v>60</v>
      </c>
      <c r="I420" t="s">
        <v>29</v>
      </c>
      <c r="J420" t="s">
        <v>14</v>
      </c>
      <c r="K420" t="s">
        <v>55</v>
      </c>
      <c r="L420" t="s">
        <v>26</v>
      </c>
      <c r="M420">
        <v>76.040000000000006</v>
      </c>
      <c r="N420">
        <v>963.71</v>
      </c>
      <c r="O420" t="s">
        <v>58</v>
      </c>
      <c r="P420" t="s">
        <v>56</v>
      </c>
      <c r="Q420">
        <f t="shared" si="18"/>
        <v>1</v>
      </c>
      <c r="R420" t="str">
        <f t="shared" si="19"/>
        <v>0-12 months</v>
      </c>
      <c r="S420" t="str">
        <f t="shared" si="20"/>
        <v>$76-$100</v>
      </c>
    </row>
    <row r="421" spans="1:19" x14ac:dyDescent="0.35">
      <c r="A421" t="s">
        <v>485</v>
      </c>
      <c r="B421">
        <v>70</v>
      </c>
      <c r="C421" t="s">
        <v>56</v>
      </c>
      <c r="D421" t="s">
        <v>55</v>
      </c>
      <c r="E421" t="s">
        <v>56</v>
      </c>
      <c r="F421">
        <v>37</v>
      </c>
      <c r="G421" t="s">
        <v>56</v>
      </c>
      <c r="H421" t="s">
        <v>55</v>
      </c>
      <c r="I421" t="s">
        <v>31</v>
      </c>
      <c r="J421" t="s">
        <v>13</v>
      </c>
      <c r="K421" t="s">
        <v>55</v>
      </c>
      <c r="L421" t="s">
        <v>1066</v>
      </c>
      <c r="M421">
        <v>22.87</v>
      </c>
      <c r="N421">
        <v>839.61</v>
      </c>
      <c r="O421" t="s">
        <v>62</v>
      </c>
      <c r="P421" t="s">
        <v>55</v>
      </c>
      <c r="Q421">
        <f t="shared" si="18"/>
        <v>0</v>
      </c>
      <c r="R421" t="str">
        <f t="shared" si="19"/>
        <v>25-48 months</v>
      </c>
      <c r="S421" t="str">
        <f t="shared" si="20"/>
        <v>&lt; $50</v>
      </c>
    </row>
    <row r="422" spans="1:19" x14ac:dyDescent="0.35">
      <c r="A422" t="s">
        <v>486</v>
      </c>
      <c r="B422">
        <v>48</v>
      </c>
      <c r="C422" t="s">
        <v>55</v>
      </c>
      <c r="D422" t="s">
        <v>56</v>
      </c>
      <c r="E422" t="s">
        <v>56</v>
      </c>
      <c r="F422">
        <v>72</v>
      </c>
      <c r="G422" t="s">
        <v>55</v>
      </c>
      <c r="H422" t="s">
        <v>60</v>
      </c>
      <c r="I422" t="s">
        <v>30</v>
      </c>
      <c r="J422" t="s">
        <v>14</v>
      </c>
      <c r="K422" t="s">
        <v>56</v>
      </c>
      <c r="L422" t="s">
        <v>26</v>
      </c>
      <c r="M422">
        <v>113.64</v>
      </c>
      <c r="N422">
        <v>7814.43</v>
      </c>
      <c r="O422" t="s">
        <v>69</v>
      </c>
      <c r="P422" t="s">
        <v>56</v>
      </c>
      <c r="Q422">
        <f t="shared" si="18"/>
        <v>1</v>
      </c>
      <c r="R422" t="str">
        <f t="shared" si="19"/>
        <v>49+ months</v>
      </c>
      <c r="S422" t="str">
        <f t="shared" si="20"/>
        <v>&gt; $100</v>
      </c>
    </row>
    <row r="423" spans="1:19" x14ac:dyDescent="0.35">
      <c r="A423" t="s">
        <v>487</v>
      </c>
      <c r="B423">
        <v>19</v>
      </c>
      <c r="C423" t="s">
        <v>55</v>
      </c>
      <c r="D423" t="s">
        <v>56</v>
      </c>
      <c r="E423" t="s">
        <v>55</v>
      </c>
      <c r="F423">
        <v>56</v>
      </c>
      <c r="G423" t="s">
        <v>56</v>
      </c>
      <c r="H423" t="s">
        <v>56</v>
      </c>
      <c r="I423" t="s">
        <v>31</v>
      </c>
      <c r="J423" t="s">
        <v>13</v>
      </c>
      <c r="K423" t="s">
        <v>55</v>
      </c>
      <c r="L423" t="s">
        <v>25</v>
      </c>
      <c r="M423">
        <v>28.72</v>
      </c>
      <c r="N423">
        <v>1646.03</v>
      </c>
      <c r="O423" t="s">
        <v>58</v>
      </c>
      <c r="P423" t="s">
        <v>55</v>
      </c>
      <c r="Q423">
        <f t="shared" si="18"/>
        <v>0</v>
      </c>
      <c r="R423" t="str">
        <f t="shared" si="19"/>
        <v>49+ months</v>
      </c>
      <c r="S423" t="str">
        <f t="shared" si="20"/>
        <v>&lt; $50</v>
      </c>
    </row>
    <row r="424" spans="1:19" x14ac:dyDescent="0.35">
      <c r="A424" t="s">
        <v>488</v>
      </c>
      <c r="B424">
        <v>29</v>
      </c>
      <c r="C424" t="s">
        <v>55</v>
      </c>
      <c r="D424" t="s">
        <v>55</v>
      </c>
      <c r="E424" t="s">
        <v>55</v>
      </c>
      <c r="F424">
        <v>71</v>
      </c>
      <c r="G424" t="s">
        <v>55</v>
      </c>
      <c r="H424" t="s">
        <v>60</v>
      </c>
      <c r="I424" t="s">
        <v>31</v>
      </c>
      <c r="J424" t="s">
        <v>12</v>
      </c>
      <c r="K424" t="s">
        <v>56</v>
      </c>
      <c r="L424" t="s">
        <v>24</v>
      </c>
      <c r="M424">
        <v>18.09</v>
      </c>
      <c r="N424">
        <v>1284.1099999999999</v>
      </c>
      <c r="O424" t="s">
        <v>69</v>
      </c>
      <c r="P424" t="s">
        <v>55</v>
      </c>
      <c r="Q424">
        <f t="shared" si="18"/>
        <v>0</v>
      </c>
      <c r="R424" t="str">
        <f t="shared" si="19"/>
        <v>49+ months</v>
      </c>
      <c r="S424" t="str">
        <f t="shared" si="20"/>
        <v>&lt; $50</v>
      </c>
    </row>
    <row r="425" spans="1:19" x14ac:dyDescent="0.35">
      <c r="A425" t="s">
        <v>489</v>
      </c>
      <c r="B425">
        <v>50</v>
      </c>
      <c r="C425" t="s">
        <v>55</v>
      </c>
      <c r="D425" t="s">
        <v>55</v>
      </c>
      <c r="E425" t="s">
        <v>55</v>
      </c>
      <c r="F425">
        <v>70</v>
      </c>
      <c r="G425" t="s">
        <v>56</v>
      </c>
      <c r="H425" t="s">
        <v>55</v>
      </c>
      <c r="I425" t="s">
        <v>29</v>
      </c>
      <c r="J425" t="s">
        <v>13</v>
      </c>
      <c r="K425" t="s">
        <v>55</v>
      </c>
      <c r="L425" t="s">
        <v>26</v>
      </c>
      <c r="M425">
        <v>59.26</v>
      </c>
      <c r="N425">
        <v>4243.03</v>
      </c>
      <c r="O425" t="s">
        <v>69</v>
      </c>
      <c r="P425" t="s">
        <v>56</v>
      </c>
      <c r="Q425">
        <f t="shared" si="18"/>
        <v>1</v>
      </c>
      <c r="R425" t="str">
        <f t="shared" si="19"/>
        <v>49+ months</v>
      </c>
      <c r="S425" t="str">
        <f t="shared" si="20"/>
        <v>$50-$75</v>
      </c>
    </row>
    <row r="426" spans="1:19" x14ac:dyDescent="0.35">
      <c r="A426" t="s">
        <v>490</v>
      </c>
      <c r="B426">
        <v>51</v>
      </c>
      <c r="C426" t="s">
        <v>55</v>
      </c>
      <c r="D426" t="s">
        <v>55</v>
      </c>
      <c r="E426" t="s">
        <v>55</v>
      </c>
      <c r="F426">
        <v>67</v>
      </c>
      <c r="G426" t="s">
        <v>56</v>
      </c>
      <c r="H426" t="s">
        <v>56</v>
      </c>
      <c r="I426" t="s">
        <v>30</v>
      </c>
      <c r="J426" t="s">
        <v>13</v>
      </c>
      <c r="K426" t="s">
        <v>56</v>
      </c>
      <c r="L426" t="s">
        <v>1066</v>
      </c>
      <c r="M426">
        <v>96.96</v>
      </c>
      <c r="N426">
        <v>6558.4</v>
      </c>
      <c r="O426" t="s">
        <v>76</v>
      </c>
      <c r="P426" t="s">
        <v>55</v>
      </c>
      <c r="Q426">
        <f t="shared" si="18"/>
        <v>0</v>
      </c>
      <c r="R426" t="str">
        <f t="shared" si="19"/>
        <v>49+ months</v>
      </c>
      <c r="S426" t="str">
        <f t="shared" si="20"/>
        <v>$76-$100</v>
      </c>
    </row>
    <row r="427" spans="1:19" x14ac:dyDescent="0.35">
      <c r="A427" t="s">
        <v>491</v>
      </c>
      <c r="B427">
        <v>52</v>
      </c>
      <c r="C427" t="s">
        <v>55</v>
      </c>
      <c r="D427" t="s">
        <v>56</v>
      </c>
      <c r="E427" t="s">
        <v>55</v>
      </c>
      <c r="F427">
        <v>59</v>
      </c>
      <c r="G427" t="s">
        <v>55</v>
      </c>
      <c r="H427" t="s">
        <v>60</v>
      </c>
      <c r="I427" t="s">
        <v>29</v>
      </c>
      <c r="J427" t="s">
        <v>13</v>
      </c>
      <c r="K427" t="s">
        <v>55</v>
      </c>
      <c r="L427" t="s">
        <v>24</v>
      </c>
      <c r="M427">
        <v>78.42</v>
      </c>
      <c r="N427">
        <v>4792.3599999999997</v>
      </c>
      <c r="O427" t="s">
        <v>80</v>
      </c>
      <c r="P427" t="s">
        <v>55</v>
      </c>
      <c r="Q427">
        <f t="shared" si="18"/>
        <v>0</v>
      </c>
      <c r="R427" t="str">
        <f t="shared" si="19"/>
        <v>49+ months</v>
      </c>
      <c r="S427" t="str">
        <f t="shared" si="20"/>
        <v>$76-$100</v>
      </c>
    </row>
    <row r="428" spans="1:19" x14ac:dyDescent="0.35">
      <c r="A428" t="s">
        <v>492</v>
      </c>
      <c r="B428">
        <v>62</v>
      </c>
      <c r="C428" t="s">
        <v>56</v>
      </c>
      <c r="D428" t="s">
        <v>55</v>
      </c>
      <c r="E428" t="s">
        <v>55</v>
      </c>
      <c r="F428">
        <v>8</v>
      </c>
      <c r="G428" t="s">
        <v>56</v>
      </c>
      <c r="H428" t="s">
        <v>55</v>
      </c>
      <c r="I428" t="s">
        <v>29</v>
      </c>
      <c r="J428" t="s">
        <v>13</v>
      </c>
      <c r="K428" t="s">
        <v>55</v>
      </c>
      <c r="L428" t="s">
        <v>1066</v>
      </c>
      <c r="M428">
        <v>64.97</v>
      </c>
      <c r="N428">
        <v>506.46</v>
      </c>
      <c r="O428" t="s">
        <v>58</v>
      </c>
      <c r="P428" t="s">
        <v>56</v>
      </c>
      <c r="Q428">
        <f t="shared" si="18"/>
        <v>1</v>
      </c>
      <c r="R428" t="str">
        <f t="shared" si="19"/>
        <v>0-12 months</v>
      </c>
      <c r="S428" t="str">
        <f t="shared" si="20"/>
        <v>$50-$75</v>
      </c>
    </row>
    <row r="429" spans="1:19" x14ac:dyDescent="0.35">
      <c r="A429" t="s">
        <v>493</v>
      </c>
      <c r="B429">
        <v>22</v>
      </c>
      <c r="C429" t="s">
        <v>55</v>
      </c>
      <c r="D429" t="s">
        <v>55</v>
      </c>
      <c r="E429" t="s">
        <v>55</v>
      </c>
      <c r="F429">
        <v>17</v>
      </c>
      <c r="G429" t="s">
        <v>55</v>
      </c>
      <c r="H429" t="s">
        <v>60</v>
      </c>
      <c r="I429" t="s">
        <v>29</v>
      </c>
      <c r="J429" t="s">
        <v>14</v>
      </c>
      <c r="K429" t="s">
        <v>56</v>
      </c>
      <c r="L429" t="s">
        <v>1066</v>
      </c>
      <c r="M429">
        <v>64.150000000000006</v>
      </c>
      <c r="N429">
        <v>1144.22</v>
      </c>
      <c r="O429" t="s">
        <v>69</v>
      </c>
      <c r="P429" t="s">
        <v>55</v>
      </c>
      <c r="Q429">
        <f t="shared" si="18"/>
        <v>0</v>
      </c>
      <c r="R429" t="str">
        <f t="shared" si="19"/>
        <v>13-24 months</v>
      </c>
      <c r="S429" t="str">
        <f t="shared" si="20"/>
        <v>$50-$75</v>
      </c>
    </row>
    <row r="430" spans="1:19" x14ac:dyDescent="0.35">
      <c r="A430" t="s">
        <v>494</v>
      </c>
      <c r="B430">
        <v>46</v>
      </c>
      <c r="C430" t="s">
        <v>55</v>
      </c>
      <c r="D430" t="s">
        <v>55</v>
      </c>
      <c r="E430" t="s">
        <v>56</v>
      </c>
      <c r="F430">
        <v>34</v>
      </c>
      <c r="G430" t="s">
        <v>56</v>
      </c>
      <c r="H430" t="s">
        <v>55</v>
      </c>
      <c r="I430" t="s">
        <v>29</v>
      </c>
      <c r="J430" t="s">
        <v>13</v>
      </c>
      <c r="K430" t="s">
        <v>56</v>
      </c>
      <c r="L430" t="s">
        <v>26</v>
      </c>
      <c r="M430">
        <v>43.38</v>
      </c>
      <c r="N430">
        <v>1412.1</v>
      </c>
      <c r="O430" t="s">
        <v>62</v>
      </c>
      <c r="P430" t="s">
        <v>55</v>
      </c>
      <c r="Q430">
        <f t="shared" si="18"/>
        <v>0</v>
      </c>
      <c r="R430" t="str">
        <f t="shared" si="19"/>
        <v>25-48 months</v>
      </c>
      <c r="S430" t="str">
        <f t="shared" si="20"/>
        <v>&lt; $50</v>
      </c>
    </row>
    <row r="431" spans="1:19" x14ac:dyDescent="0.35">
      <c r="A431" t="s">
        <v>495</v>
      </c>
      <c r="B431">
        <v>71</v>
      </c>
      <c r="C431" t="s">
        <v>56</v>
      </c>
      <c r="D431" t="s">
        <v>55</v>
      </c>
      <c r="E431" t="s">
        <v>55</v>
      </c>
      <c r="F431">
        <v>50</v>
      </c>
      <c r="G431" t="s">
        <v>55</v>
      </c>
      <c r="H431" t="s">
        <v>60</v>
      </c>
      <c r="I431" t="s">
        <v>30</v>
      </c>
      <c r="J431" t="s">
        <v>13</v>
      </c>
      <c r="K431" t="s">
        <v>56</v>
      </c>
      <c r="L431" t="s">
        <v>26</v>
      </c>
      <c r="M431">
        <v>106.72</v>
      </c>
      <c r="N431">
        <v>5236.8</v>
      </c>
      <c r="O431" t="s">
        <v>66</v>
      </c>
      <c r="P431" t="s">
        <v>55</v>
      </c>
      <c r="Q431">
        <f t="shared" si="18"/>
        <v>0</v>
      </c>
      <c r="R431" t="str">
        <f t="shared" si="19"/>
        <v>49+ months</v>
      </c>
      <c r="S431" t="str">
        <f t="shared" si="20"/>
        <v>&gt; $100</v>
      </c>
    </row>
    <row r="432" spans="1:19" x14ac:dyDescent="0.35">
      <c r="A432" t="s">
        <v>496</v>
      </c>
      <c r="B432">
        <v>70</v>
      </c>
      <c r="C432" t="s">
        <v>56</v>
      </c>
      <c r="D432" t="s">
        <v>56</v>
      </c>
      <c r="E432" t="s">
        <v>56</v>
      </c>
      <c r="F432">
        <v>22</v>
      </c>
      <c r="G432" t="s">
        <v>55</v>
      </c>
      <c r="H432" t="s">
        <v>60</v>
      </c>
      <c r="I432" t="s">
        <v>29</v>
      </c>
      <c r="J432" t="s">
        <v>12</v>
      </c>
      <c r="K432" t="s">
        <v>56</v>
      </c>
      <c r="L432" t="s">
        <v>24</v>
      </c>
      <c r="M432">
        <v>68.22</v>
      </c>
      <c r="N432">
        <v>1496.26</v>
      </c>
      <c r="O432" t="s">
        <v>66</v>
      </c>
      <c r="P432" t="s">
        <v>56</v>
      </c>
      <c r="Q432">
        <f t="shared" si="18"/>
        <v>1</v>
      </c>
      <c r="R432" t="str">
        <f t="shared" si="19"/>
        <v>13-24 months</v>
      </c>
      <c r="S432" t="str">
        <f t="shared" si="20"/>
        <v>$50-$75</v>
      </c>
    </row>
    <row r="433" spans="1:19" x14ac:dyDescent="0.35">
      <c r="A433" t="s">
        <v>497</v>
      </c>
      <c r="B433">
        <v>45</v>
      </c>
      <c r="C433" t="s">
        <v>55</v>
      </c>
      <c r="D433" t="s">
        <v>56</v>
      </c>
      <c r="E433" t="s">
        <v>55</v>
      </c>
      <c r="F433">
        <v>58</v>
      </c>
      <c r="G433" t="s">
        <v>55</v>
      </c>
      <c r="H433" t="s">
        <v>60</v>
      </c>
      <c r="I433" t="s">
        <v>30</v>
      </c>
      <c r="J433" t="s">
        <v>14</v>
      </c>
      <c r="K433" t="s">
        <v>56</v>
      </c>
      <c r="L433" t="s">
        <v>26</v>
      </c>
      <c r="M433">
        <v>96.56</v>
      </c>
      <c r="N433">
        <v>5502.24</v>
      </c>
      <c r="O433" t="s">
        <v>58</v>
      </c>
      <c r="P433" t="s">
        <v>55</v>
      </c>
      <c r="Q433">
        <f t="shared" si="18"/>
        <v>0</v>
      </c>
      <c r="R433" t="str">
        <f t="shared" si="19"/>
        <v>49+ months</v>
      </c>
      <c r="S433" t="str">
        <f t="shared" si="20"/>
        <v>$76-$100</v>
      </c>
    </row>
    <row r="434" spans="1:19" x14ac:dyDescent="0.35">
      <c r="A434" t="s">
        <v>498</v>
      </c>
      <c r="B434">
        <v>59</v>
      </c>
      <c r="C434" t="s">
        <v>55</v>
      </c>
      <c r="D434" t="s">
        <v>55</v>
      </c>
      <c r="E434" t="s">
        <v>55</v>
      </c>
      <c r="F434">
        <v>35</v>
      </c>
      <c r="G434" t="s">
        <v>56</v>
      </c>
      <c r="H434" t="s">
        <v>56</v>
      </c>
      <c r="I434" t="s">
        <v>30</v>
      </c>
      <c r="J434" t="s">
        <v>13</v>
      </c>
      <c r="K434" t="s">
        <v>55</v>
      </c>
      <c r="L434" t="s">
        <v>1066</v>
      </c>
      <c r="M434">
        <v>107.45</v>
      </c>
      <c r="N434">
        <v>3866.49</v>
      </c>
      <c r="O434" t="s">
        <v>62</v>
      </c>
      <c r="P434" t="s">
        <v>55</v>
      </c>
      <c r="Q434">
        <f t="shared" si="18"/>
        <v>0</v>
      </c>
      <c r="R434" t="str">
        <f t="shared" si="19"/>
        <v>25-48 months</v>
      </c>
      <c r="S434" t="str">
        <f t="shared" si="20"/>
        <v>&gt; $100</v>
      </c>
    </row>
    <row r="435" spans="1:19" x14ac:dyDescent="0.35">
      <c r="A435" t="s">
        <v>499</v>
      </c>
      <c r="B435">
        <v>51</v>
      </c>
      <c r="C435" t="s">
        <v>55</v>
      </c>
      <c r="D435" t="s">
        <v>55</v>
      </c>
      <c r="E435" t="s">
        <v>56</v>
      </c>
      <c r="F435">
        <v>41</v>
      </c>
      <c r="G435" t="s">
        <v>56</v>
      </c>
      <c r="H435" t="s">
        <v>55</v>
      </c>
      <c r="I435" t="s">
        <v>29</v>
      </c>
      <c r="J435" t="s">
        <v>12</v>
      </c>
      <c r="K435" t="s">
        <v>56</v>
      </c>
      <c r="L435" t="s">
        <v>24</v>
      </c>
      <c r="M435">
        <v>67.42</v>
      </c>
      <c r="N435">
        <v>2714.97</v>
      </c>
      <c r="O435" t="s">
        <v>76</v>
      </c>
      <c r="P435" t="s">
        <v>55</v>
      </c>
      <c r="Q435">
        <f t="shared" si="18"/>
        <v>0</v>
      </c>
      <c r="R435" t="str">
        <f t="shared" si="19"/>
        <v>25-48 months</v>
      </c>
      <c r="S435" t="str">
        <f t="shared" si="20"/>
        <v>$50-$75</v>
      </c>
    </row>
    <row r="436" spans="1:19" x14ac:dyDescent="0.35">
      <c r="A436" t="s">
        <v>500</v>
      </c>
      <c r="B436">
        <v>30</v>
      </c>
      <c r="C436" t="s">
        <v>55</v>
      </c>
      <c r="D436" t="s">
        <v>56</v>
      </c>
      <c r="E436" t="s">
        <v>56</v>
      </c>
      <c r="F436">
        <v>12</v>
      </c>
      <c r="G436" t="s">
        <v>56</v>
      </c>
      <c r="H436" t="s">
        <v>55</v>
      </c>
      <c r="I436" t="s">
        <v>30</v>
      </c>
      <c r="J436" t="s">
        <v>13</v>
      </c>
      <c r="K436" t="s">
        <v>56</v>
      </c>
      <c r="L436" t="s">
        <v>26</v>
      </c>
      <c r="M436">
        <v>100.23</v>
      </c>
      <c r="N436">
        <v>1184.8599999999999</v>
      </c>
      <c r="O436" t="s">
        <v>69</v>
      </c>
      <c r="P436" t="s">
        <v>55</v>
      </c>
      <c r="Q436">
        <f t="shared" si="18"/>
        <v>0</v>
      </c>
      <c r="R436" t="str">
        <f t="shared" si="19"/>
        <v>0-12 months</v>
      </c>
      <c r="S436" t="str">
        <f t="shared" si="20"/>
        <v>&gt; $100</v>
      </c>
    </row>
    <row r="437" spans="1:19" x14ac:dyDescent="0.35">
      <c r="A437" t="s">
        <v>501</v>
      </c>
      <c r="B437">
        <v>54</v>
      </c>
      <c r="C437" t="s">
        <v>55</v>
      </c>
      <c r="D437" t="s">
        <v>56</v>
      </c>
      <c r="E437" t="s">
        <v>56</v>
      </c>
      <c r="F437">
        <v>24</v>
      </c>
      <c r="G437" t="s">
        <v>55</v>
      </c>
      <c r="H437" t="s">
        <v>60</v>
      </c>
      <c r="I437" t="s">
        <v>30</v>
      </c>
      <c r="J437" t="s">
        <v>13</v>
      </c>
      <c r="K437" t="s">
        <v>56</v>
      </c>
      <c r="L437" t="s">
        <v>1066</v>
      </c>
      <c r="M437">
        <v>116.13</v>
      </c>
      <c r="N437">
        <v>2712.33</v>
      </c>
      <c r="O437" t="s">
        <v>69</v>
      </c>
      <c r="P437" t="s">
        <v>55</v>
      </c>
      <c r="Q437">
        <f t="shared" si="18"/>
        <v>0</v>
      </c>
      <c r="R437" t="str">
        <f t="shared" si="19"/>
        <v>13-24 months</v>
      </c>
      <c r="S437" t="str">
        <f t="shared" si="20"/>
        <v>&gt; $100</v>
      </c>
    </row>
    <row r="438" spans="1:19" x14ac:dyDescent="0.35">
      <c r="A438" t="s">
        <v>502</v>
      </c>
      <c r="B438">
        <v>67</v>
      </c>
      <c r="C438" t="s">
        <v>56</v>
      </c>
      <c r="D438" t="s">
        <v>55</v>
      </c>
      <c r="E438" t="s">
        <v>55</v>
      </c>
      <c r="F438">
        <v>21</v>
      </c>
      <c r="G438" t="s">
        <v>55</v>
      </c>
      <c r="H438" t="s">
        <v>60</v>
      </c>
      <c r="I438" t="s">
        <v>29</v>
      </c>
      <c r="J438" t="s">
        <v>13</v>
      </c>
      <c r="K438" t="s">
        <v>55</v>
      </c>
      <c r="L438" t="s">
        <v>24</v>
      </c>
      <c r="M438">
        <v>79.84</v>
      </c>
      <c r="N438">
        <v>1628</v>
      </c>
      <c r="O438" t="s">
        <v>62</v>
      </c>
      <c r="P438" t="s">
        <v>55</v>
      </c>
      <c r="Q438">
        <f t="shared" si="18"/>
        <v>0</v>
      </c>
      <c r="R438" t="str">
        <f t="shared" si="19"/>
        <v>13-24 months</v>
      </c>
      <c r="S438" t="str">
        <f t="shared" si="20"/>
        <v>$76-$100</v>
      </c>
    </row>
    <row r="439" spans="1:19" x14ac:dyDescent="0.35">
      <c r="A439" t="s">
        <v>503</v>
      </c>
      <c r="B439">
        <v>46</v>
      </c>
      <c r="C439" t="s">
        <v>55</v>
      </c>
      <c r="D439" t="s">
        <v>56</v>
      </c>
      <c r="E439" t="s">
        <v>55</v>
      </c>
      <c r="F439">
        <v>26</v>
      </c>
      <c r="G439" t="s">
        <v>56</v>
      </c>
      <c r="H439" t="s">
        <v>55</v>
      </c>
      <c r="I439" t="s">
        <v>29</v>
      </c>
      <c r="J439" t="s">
        <v>12</v>
      </c>
      <c r="K439" t="s">
        <v>55</v>
      </c>
      <c r="L439" t="s">
        <v>26</v>
      </c>
      <c r="M439">
        <v>65.73</v>
      </c>
      <c r="N439">
        <v>1793.6</v>
      </c>
      <c r="O439" t="s">
        <v>80</v>
      </c>
      <c r="P439" t="s">
        <v>55</v>
      </c>
      <c r="Q439">
        <f t="shared" si="18"/>
        <v>0</v>
      </c>
      <c r="R439" t="str">
        <f t="shared" si="19"/>
        <v>25-48 months</v>
      </c>
      <c r="S439" t="str">
        <f t="shared" si="20"/>
        <v>$50-$75</v>
      </c>
    </row>
    <row r="440" spans="1:19" x14ac:dyDescent="0.35">
      <c r="A440" t="s">
        <v>504</v>
      </c>
      <c r="B440">
        <v>20</v>
      </c>
      <c r="C440" t="s">
        <v>55</v>
      </c>
      <c r="D440" t="s">
        <v>56</v>
      </c>
      <c r="E440" t="s">
        <v>56</v>
      </c>
      <c r="F440">
        <v>33</v>
      </c>
      <c r="G440" t="s">
        <v>56</v>
      </c>
      <c r="H440" t="s">
        <v>55</v>
      </c>
      <c r="I440" t="s">
        <v>29</v>
      </c>
      <c r="J440" t="s">
        <v>12</v>
      </c>
      <c r="K440" t="s">
        <v>56</v>
      </c>
      <c r="L440" t="s">
        <v>25</v>
      </c>
      <c r="M440">
        <v>66.58</v>
      </c>
      <c r="N440">
        <v>2135.56</v>
      </c>
      <c r="O440" t="s">
        <v>64</v>
      </c>
      <c r="P440" t="s">
        <v>55</v>
      </c>
      <c r="Q440">
        <f t="shared" si="18"/>
        <v>0</v>
      </c>
      <c r="R440" t="str">
        <f t="shared" si="19"/>
        <v>25-48 months</v>
      </c>
      <c r="S440" t="str">
        <f t="shared" si="20"/>
        <v>$50-$75</v>
      </c>
    </row>
    <row r="441" spans="1:19" x14ac:dyDescent="0.35">
      <c r="A441" t="s">
        <v>505</v>
      </c>
      <c r="B441">
        <v>54</v>
      </c>
      <c r="C441" t="s">
        <v>55</v>
      </c>
      <c r="D441" t="s">
        <v>56</v>
      </c>
      <c r="E441" t="s">
        <v>55</v>
      </c>
      <c r="F441">
        <v>62</v>
      </c>
      <c r="G441" t="s">
        <v>56</v>
      </c>
      <c r="H441" t="s">
        <v>55</v>
      </c>
      <c r="I441" t="s">
        <v>30</v>
      </c>
      <c r="J441" t="s">
        <v>12</v>
      </c>
      <c r="K441" t="s">
        <v>55</v>
      </c>
      <c r="L441" t="s">
        <v>26</v>
      </c>
      <c r="M441">
        <v>96.77</v>
      </c>
      <c r="N441">
        <v>6353.68</v>
      </c>
      <c r="O441" t="s">
        <v>76</v>
      </c>
      <c r="P441" t="s">
        <v>56</v>
      </c>
      <c r="Q441">
        <f t="shared" si="18"/>
        <v>1</v>
      </c>
      <c r="R441" t="str">
        <f t="shared" si="19"/>
        <v>49+ months</v>
      </c>
      <c r="S441" t="str">
        <f t="shared" si="20"/>
        <v>$76-$100</v>
      </c>
    </row>
    <row r="442" spans="1:19" x14ac:dyDescent="0.35">
      <c r="A442" t="s">
        <v>506</v>
      </c>
      <c r="B442">
        <v>43</v>
      </c>
      <c r="C442" t="s">
        <v>55</v>
      </c>
      <c r="D442" t="s">
        <v>56</v>
      </c>
      <c r="E442" t="s">
        <v>56</v>
      </c>
      <c r="F442">
        <v>47</v>
      </c>
      <c r="G442" t="s">
        <v>55</v>
      </c>
      <c r="H442" t="s">
        <v>60</v>
      </c>
      <c r="I442" t="s">
        <v>29</v>
      </c>
      <c r="J442" t="s">
        <v>12</v>
      </c>
      <c r="K442" t="s">
        <v>55</v>
      </c>
      <c r="L442" t="s">
        <v>1066</v>
      </c>
      <c r="M442">
        <v>51.6</v>
      </c>
      <c r="N442">
        <v>2338.8000000000002</v>
      </c>
      <c r="O442" t="s">
        <v>64</v>
      </c>
      <c r="P442" t="s">
        <v>55</v>
      </c>
      <c r="Q442">
        <f t="shared" si="18"/>
        <v>0</v>
      </c>
      <c r="R442" t="str">
        <f t="shared" si="19"/>
        <v>25-48 months</v>
      </c>
      <c r="S442" t="str">
        <f t="shared" si="20"/>
        <v>$50-$75</v>
      </c>
    </row>
    <row r="443" spans="1:19" x14ac:dyDescent="0.35">
      <c r="A443" t="s">
        <v>507</v>
      </c>
      <c r="B443">
        <v>60</v>
      </c>
      <c r="C443" t="s">
        <v>56</v>
      </c>
      <c r="D443" t="s">
        <v>56</v>
      </c>
      <c r="E443" t="s">
        <v>55</v>
      </c>
      <c r="F443">
        <v>50</v>
      </c>
      <c r="G443" t="s">
        <v>55</v>
      </c>
      <c r="H443" t="s">
        <v>60</v>
      </c>
      <c r="I443" t="s">
        <v>31</v>
      </c>
      <c r="J443" t="s">
        <v>12</v>
      </c>
      <c r="K443" t="s">
        <v>55</v>
      </c>
      <c r="L443" t="s">
        <v>1066</v>
      </c>
      <c r="M443">
        <v>19.68</v>
      </c>
      <c r="N443">
        <v>947.76</v>
      </c>
      <c r="O443" t="s">
        <v>58</v>
      </c>
      <c r="P443" t="s">
        <v>55</v>
      </c>
      <c r="Q443">
        <f t="shared" si="18"/>
        <v>0</v>
      </c>
      <c r="R443" t="str">
        <f t="shared" si="19"/>
        <v>49+ months</v>
      </c>
      <c r="S443" t="str">
        <f t="shared" si="20"/>
        <v>&lt; $50</v>
      </c>
    </row>
    <row r="444" spans="1:19" x14ac:dyDescent="0.35">
      <c r="A444" t="s">
        <v>508</v>
      </c>
      <c r="B444">
        <v>33</v>
      </c>
      <c r="C444" t="s">
        <v>55</v>
      </c>
      <c r="D444" t="s">
        <v>55</v>
      </c>
      <c r="E444" t="s">
        <v>55</v>
      </c>
      <c r="F444">
        <v>9</v>
      </c>
      <c r="G444" t="s">
        <v>55</v>
      </c>
      <c r="H444" t="s">
        <v>60</v>
      </c>
      <c r="I444" t="s">
        <v>29</v>
      </c>
      <c r="J444" t="s">
        <v>12</v>
      </c>
      <c r="K444" t="s">
        <v>55</v>
      </c>
      <c r="L444" t="s">
        <v>25</v>
      </c>
      <c r="M444">
        <v>40.659999999999997</v>
      </c>
      <c r="N444">
        <v>358.88</v>
      </c>
      <c r="O444" t="s">
        <v>69</v>
      </c>
      <c r="P444" t="s">
        <v>56</v>
      </c>
      <c r="Q444">
        <f t="shared" si="18"/>
        <v>1</v>
      </c>
      <c r="R444" t="str">
        <f t="shared" si="19"/>
        <v>0-12 months</v>
      </c>
      <c r="S444" t="str">
        <f t="shared" si="20"/>
        <v>&lt; $50</v>
      </c>
    </row>
    <row r="445" spans="1:19" x14ac:dyDescent="0.35">
      <c r="A445" t="s">
        <v>509</v>
      </c>
      <c r="B445">
        <v>20</v>
      </c>
      <c r="C445" t="s">
        <v>55</v>
      </c>
      <c r="D445" t="s">
        <v>55</v>
      </c>
      <c r="E445" t="s">
        <v>56</v>
      </c>
      <c r="F445">
        <v>28</v>
      </c>
      <c r="G445" t="s">
        <v>55</v>
      </c>
      <c r="H445" t="s">
        <v>60</v>
      </c>
      <c r="I445" t="s">
        <v>31</v>
      </c>
      <c r="J445" t="s">
        <v>14</v>
      </c>
      <c r="K445" t="s">
        <v>56</v>
      </c>
      <c r="L445" t="s">
        <v>1066</v>
      </c>
      <c r="M445">
        <v>20.8</v>
      </c>
      <c r="N445">
        <v>552.49</v>
      </c>
      <c r="O445" t="s">
        <v>64</v>
      </c>
      <c r="P445" t="s">
        <v>55</v>
      </c>
      <c r="Q445">
        <f t="shared" si="18"/>
        <v>0</v>
      </c>
      <c r="R445" t="str">
        <f t="shared" si="19"/>
        <v>25-48 months</v>
      </c>
      <c r="S445" t="str">
        <f t="shared" si="20"/>
        <v>&lt; $50</v>
      </c>
    </row>
    <row r="446" spans="1:19" x14ac:dyDescent="0.35">
      <c r="A446" t="s">
        <v>510</v>
      </c>
      <c r="B446">
        <v>59</v>
      </c>
      <c r="C446" t="s">
        <v>55</v>
      </c>
      <c r="D446" t="s">
        <v>56</v>
      </c>
      <c r="E446" t="s">
        <v>55</v>
      </c>
      <c r="F446">
        <v>6</v>
      </c>
      <c r="G446" t="s">
        <v>56</v>
      </c>
      <c r="H446" t="s">
        <v>56</v>
      </c>
      <c r="I446" t="s">
        <v>30</v>
      </c>
      <c r="J446" t="s">
        <v>13</v>
      </c>
      <c r="K446" t="s">
        <v>55</v>
      </c>
      <c r="L446" t="s">
        <v>1066</v>
      </c>
      <c r="M446">
        <v>74.86</v>
      </c>
      <c r="N446">
        <v>455.15</v>
      </c>
      <c r="O446" t="s">
        <v>80</v>
      </c>
      <c r="P446" t="s">
        <v>55</v>
      </c>
      <c r="Q446">
        <f t="shared" si="18"/>
        <v>0</v>
      </c>
      <c r="R446" t="str">
        <f t="shared" si="19"/>
        <v>0-12 months</v>
      </c>
      <c r="S446" t="str">
        <f t="shared" si="20"/>
        <v>$50-$75</v>
      </c>
    </row>
    <row r="447" spans="1:19" x14ac:dyDescent="0.35">
      <c r="A447" t="s">
        <v>511</v>
      </c>
      <c r="B447">
        <v>70</v>
      </c>
      <c r="C447" t="s">
        <v>56</v>
      </c>
      <c r="D447" t="s">
        <v>56</v>
      </c>
      <c r="E447" t="s">
        <v>56</v>
      </c>
      <c r="F447">
        <v>64</v>
      </c>
      <c r="G447" t="s">
        <v>56</v>
      </c>
      <c r="H447" t="s">
        <v>56</v>
      </c>
      <c r="I447" t="s">
        <v>29</v>
      </c>
      <c r="J447" t="s">
        <v>12</v>
      </c>
      <c r="K447" t="s">
        <v>55</v>
      </c>
      <c r="L447" t="s">
        <v>1066</v>
      </c>
      <c r="M447">
        <v>79.290000000000006</v>
      </c>
      <c r="N447">
        <v>5183.1899999999996</v>
      </c>
      <c r="O447" t="s">
        <v>69</v>
      </c>
      <c r="P447" t="s">
        <v>55</v>
      </c>
      <c r="Q447">
        <f t="shared" si="18"/>
        <v>0</v>
      </c>
      <c r="R447" t="str">
        <f t="shared" si="19"/>
        <v>49+ months</v>
      </c>
      <c r="S447" t="str">
        <f t="shared" si="20"/>
        <v>$76-$100</v>
      </c>
    </row>
    <row r="448" spans="1:19" x14ac:dyDescent="0.35">
      <c r="A448" t="s">
        <v>512</v>
      </c>
      <c r="B448">
        <v>54</v>
      </c>
      <c r="C448" t="s">
        <v>55</v>
      </c>
      <c r="D448" t="s">
        <v>56</v>
      </c>
      <c r="E448" t="s">
        <v>55</v>
      </c>
      <c r="F448">
        <v>28</v>
      </c>
      <c r="G448" t="s">
        <v>56</v>
      </c>
      <c r="H448" t="s">
        <v>56</v>
      </c>
      <c r="I448" t="s">
        <v>29</v>
      </c>
      <c r="J448" t="s">
        <v>12</v>
      </c>
      <c r="K448" t="s">
        <v>56</v>
      </c>
      <c r="L448" t="s">
        <v>1066</v>
      </c>
      <c r="M448">
        <v>46.72</v>
      </c>
      <c r="N448">
        <v>1287.74</v>
      </c>
      <c r="O448" t="s">
        <v>62</v>
      </c>
      <c r="P448" t="s">
        <v>56</v>
      </c>
      <c r="Q448">
        <f t="shared" si="18"/>
        <v>1</v>
      </c>
      <c r="R448" t="str">
        <f t="shared" si="19"/>
        <v>25-48 months</v>
      </c>
      <c r="S448" t="str">
        <f t="shared" si="20"/>
        <v>&lt; $50</v>
      </c>
    </row>
    <row r="449" spans="1:19" x14ac:dyDescent="0.35">
      <c r="A449" t="s">
        <v>513</v>
      </c>
      <c r="B449">
        <v>55</v>
      </c>
      <c r="C449" t="s">
        <v>55</v>
      </c>
      <c r="D449" t="s">
        <v>56</v>
      </c>
      <c r="E449" t="s">
        <v>56</v>
      </c>
      <c r="F449">
        <v>13</v>
      </c>
      <c r="G449" t="s">
        <v>55</v>
      </c>
      <c r="H449" t="s">
        <v>60</v>
      </c>
      <c r="I449" t="s">
        <v>29</v>
      </c>
      <c r="J449" t="s">
        <v>13</v>
      </c>
      <c r="K449" t="s">
        <v>56</v>
      </c>
      <c r="L449" t="s">
        <v>25</v>
      </c>
      <c r="M449">
        <v>43.23</v>
      </c>
      <c r="N449">
        <v>528.76</v>
      </c>
      <c r="O449" t="s">
        <v>69</v>
      </c>
      <c r="P449" t="s">
        <v>55</v>
      </c>
      <c r="Q449">
        <f t="shared" si="18"/>
        <v>0</v>
      </c>
      <c r="R449" t="str">
        <f t="shared" si="19"/>
        <v>13-24 months</v>
      </c>
      <c r="S449" t="str">
        <f t="shared" si="20"/>
        <v>&lt; $50</v>
      </c>
    </row>
    <row r="450" spans="1:19" x14ac:dyDescent="0.35">
      <c r="A450" t="s">
        <v>514</v>
      </c>
      <c r="B450">
        <v>59</v>
      </c>
      <c r="C450" t="s">
        <v>55</v>
      </c>
      <c r="D450" t="s">
        <v>55</v>
      </c>
      <c r="E450" t="s">
        <v>55</v>
      </c>
      <c r="F450">
        <v>61</v>
      </c>
      <c r="G450" t="s">
        <v>56</v>
      </c>
      <c r="H450" t="s">
        <v>56</v>
      </c>
      <c r="I450" t="s">
        <v>29</v>
      </c>
      <c r="J450" t="s">
        <v>12</v>
      </c>
      <c r="K450" t="s">
        <v>55</v>
      </c>
      <c r="L450" t="s">
        <v>24</v>
      </c>
      <c r="M450">
        <v>77.52</v>
      </c>
      <c r="N450">
        <v>4791.4399999999996</v>
      </c>
      <c r="O450" t="s">
        <v>62</v>
      </c>
      <c r="P450" t="s">
        <v>56</v>
      </c>
      <c r="Q450">
        <f t="shared" si="18"/>
        <v>1</v>
      </c>
      <c r="R450" t="str">
        <f t="shared" si="19"/>
        <v>49+ months</v>
      </c>
      <c r="S450" t="str">
        <f t="shared" si="20"/>
        <v>$76-$100</v>
      </c>
    </row>
    <row r="451" spans="1:19" x14ac:dyDescent="0.35">
      <c r="A451" t="s">
        <v>515</v>
      </c>
      <c r="B451">
        <v>63</v>
      </c>
      <c r="C451" t="s">
        <v>56</v>
      </c>
      <c r="D451" t="s">
        <v>55</v>
      </c>
      <c r="E451" t="s">
        <v>56</v>
      </c>
      <c r="F451">
        <v>39</v>
      </c>
      <c r="G451" t="s">
        <v>56</v>
      </c>
      <c r="H451" t="s">
        <v>55</v>
      </c>
      <c r="I451" t="s">
        <v>30</v>
      </c>
      <c r="J451" t="s">
        <v>12</v>
      </c>
      <c r="K451" t="s">
        <v>56</v>
      </c>
      <c r="L451" t="s">
        <v>1066</v>
      </c>
      <c r="M451">
        <v>113.14</v>
      </c>
      <c r="N451">
        <v>4670.21</v>
      </c>
      <c r="O451" t="s">
        <v>64</v>
      </c>
      <c r="P451" t="s">
        <v>55</v>
      </c>
      <c r="Q451">
        <f t="shared" ref="Q451:Q514" si="21">IF(P451="Yes",1,0)</f>
        <v>0</v>
      </c>
      <c r="R451" t="str">
        <f t="shared" ref="R451:R514" si="22">IF(F451&lt;=12,"0-12 months",IF(F451&lt;=24,"13-24 months",IF(F451&lt;=48,"25-48 months","49+ months")))</f>
        <v>25-48 months</v>
      </c>
      <c r="S451" t="str">
        <f t="shared" ref="S451:S514" si="23">IF(M451&lt;50,"&lt; $50",IF(M451&lt;=75,"$50-$75",IF(M451&lt;=100,"$76-$100","&gt; $100")))</f>
        <v>&gt; $100</v>
      </c>
    </row>
    <row r="452" spans="1:19" x14ac:dyDescent="0.35">
      <c r="A452" t="s">
        <v>516</v>
      </c>
      <c r="B452">
        <v>67</v>
      </c>
      <c r="C452" t="s">
        <v>56</v>
      </c>
      <c r="D452" t="s">
        <v>56</v>
      </c>
      <c r="E452" t="s">
        <v>55</v>
      </c>
      <c r="F452">
        <v>7</v>
      </c>
      <c r="G452" t="s">
        <v>56</v>
      </c>
      <c r="H452" t="s">
        <v>55</v>
      </c>
      <c r="I452" t="s">
        <v>30</v>
      </c>
      <c r="J452" t="s">
        <v>14</v>
      </c>
      <c r="K452" t="s">
        <v>55</v>
      </c>
      <c r="L452" t="s">
        <v>24</v>
      </c>
      <c r="M452">
        <v>77.989999999999995</v>
      </c>
      <c r="N452">
        <v>573.62</v>
      </c>
      <c r="O452" t="s">
        <v>76</v>
      </c>
      <c r="P452" t="s">
        <v>56</v>
      </c>
      <c r="Q452">
        <f t="shared" si="21"/>
        <v>1</v>
      </c>
      <c r="R452" t="str">
        <f t="shared" si="22"/>
        <v>0-12 months</v>
      </c>
      <c r="S452" t="str">
        <f t="shared" si="23"/>
        <v>$76-$100</v>
      </c>
    </row>
    <row r="453" spans="1:19" x14ac:dyDescent="0.35">
      <c r="A453" t="s">
        <v>517</v>
      </c>
      <c r="B453">
        <v>36</v>
      </c>
      <c r="C453" t="s">
        <v>55</v>
      </c>
      <c r="D453" t="s">
        <v>56</v>
      </c>
      <c r="E453" t="s">
        <v>55</v>
      </c>
      <c r="F453">
        <v>33</v>
      </c>
      <c r="G453" t="s">
        <v>55</v>
      </c>
      <c r="H453" t="s">
        <v>60</v>
      </c>
      <c r="I453" t="s">
        <v>30</v>
      </c>
      <c r="J453" t="s">
        <v>12</v>
      </c>
      <c r="K453" t="s">
        <v>56</v>
      </c>
      <c r="L453" t="s">
        <v>25</v>
      </c>
      <c r="M453">
        <v>78.790000000000006</v>
      </c>
      <c r="N453">
        <v>2689.15</v>
      </c>
      <c r="O453" t="s">
        <v>80</v>
      </c>
      <c r="P453" t="s">
        <v>55</v>
      </c>
      <c r="Q453">
        <f t="shared" si="21"/>
        <v>0</v>
      </c>
      <c r="R453" t="str">
        <f t="shared" si="22"/>
        <v>25-48 months</v>
      </c>
      <c r="S453" t="str">
        <f t="shared" si="23"/>
        <v>$76-$100</v>
      </c>
    </row>
    <row r="454" spans="1:19" x14ac:dyDescent="0.35">
      <c r="A454" t="s">
        <v>518</v>
      </c>
      <c r="B454">
        <v>22</v>
      </c>
      <c r="C454" t="s">
        <v>55</v>
      </c>
      <c r="D454" t="s">
        <v>56</v>
      </c>
      <c r="E454" t="s">
        <v>55</v>
      </c>
      <c r="F454">
        <v>42</v>
      </c>
      <c r="G454" t="s">
        <v>55</v>
      </c>
      <c r="H454" t="s">
        <v>60</v>
      </c>
      <c r="I454" t="s">
        <v>30</v>
      </c>
      <c r="J454" t="s">
        <v>12</v>
      </c>
      <c r="K454" t="s">
        <v>56</v>
      </c>
      <c r="L454" t="s">
        <v>26</v>
      </c>
      <c r="M454">
        <v>74.900000000000006</v>
      </c>
      <c r="N454">
        <v>3235.55</v>
      </c>
      <c r="O454" t="s">
        <v>64</v>
      </c>
      <c r="P454" t="s">
        <v>55</v>
      </c>
      <c r="Q454">
        <f t="shared" si="21"/>
        <v>0</v>
      </c>
      <c r="R454" t="str">
        <f t="shared" si="22"/>
        <v>25-48 months</v>
      </c>
      <c r="S454" t="str">
        <f t="shared" si="23"/>
        <v>$50-$75</v>
      </c>
    </row>
    <row r="455" spans="1:19" x14ac:dyDescent="0.35">
      <c r="A455" t="s">
        <v>519</v>
      </c>
      <c r="B455">
        <v>75</v>
      </c>
      <c r="C455" t="s">
        <v>56</v>
      </c>
      <c r="D455" t="s">
        <v>56</v>
      </c>
      <c r="E455" t="s">
        <v>56</v>
      </c>
      <c r="F455">
        <v>61</v>
      </c>
      <c r="G455" t="s">
        <v>56</v>
      </c>
      <c r="H455" t="s">
        <v>55</v>
      </c>
      <c r="I455" t="s">
        <v>29</v>
      </c>
      <c r="J455" t="s">
        <v>12</v>
      </c>
      <c r="K455" t="s">
        <v>55</v>
      </c>
      <c r="L455" t="s">
        <v>26</v>
      </c>
      <c r="M455">
        <v>54.94</v>
      </c>
      <c r="N455">
        <v>3334.34</v>
      </c>
      <c r="O455" t="s">
        <v>76</v>
      </c>
      <c r="P455" t="s">
        <v>56</v>
      </c>
      <c r="Q455">
        <f t="shared" si="21"/>
        <v>1</v>
      </c>
      <c r="R455" t="str">
        <f t="shared" si="22"/>
        <v>49+ months</v>
      </c>
      <c r="S455" t="str">
        <f t="shared" si="23"/>
        <v>$50-$75</v>
      </c>
    </row>
    <row r="456" spans="1:19" x14ac:dyDescent="0.35">
      <c r="A456" t="s">
        <v>520</v>
      </c>
      <c r="B456">
        <v>35</v>
      </c>
      <c r="C456" t="s">
        <v>55</v>
      </c>
      <c r="D456" t="s">
        <v>56</v>
      </c>
      <c r="E456" t="s">
        <v>55</v>
      </c>
      <c r="F456">
        <v>17</v>
      </c>
      <c r="G456" t="s">
        <v>56</v>
      </c>
      <c r="H456" t="s">
        <v>56</v>
      </c>
      <c r="I456" t="s">
        <v>30</v>
      </c>
      <c r="J456" t="s">
        <v>12</v>
      </c>
      <c r="K456" t="s">
        <v>55</v>
      </c>
      <c r="L456" t="s">
        <v>24</v>
      </c>
      <c r="M456">
        <v>78.56</v>
      </c>
      <c r="N456">
        <v>1310.45</v>
      </c>
      <c r="O456" t="s">
        <v>58</v>
      </c>
      <c r="P456" t="s">
        <v>55</v>
      </c>
      <c r="Q456">
        <f t="shared" si="21"/>
        <v>0</v>
      </c>
      <c r="R456" t="str">
        <f t="shared" si="22"/>
        <v>13-24 months</v>
      </c>
      <c r="S456" t="str">
        <f t="shared" si="23"/>
        <v>$76-$100</v>
      </c>
    </row>
    <row r="457" spans="1:19" x14ac:dyDescent="0.35">
      <c r="A457" t="s">
        <v>521</v>
      </c>
      <c r="B457">
        <v>28</v>
      </c>
      <c r="C457" t="s">
        <v>55</v>
      </c>
      <c r="D457" t="s">
        <v>56</v>
      </c>
      <c r="E457" t="s">
        <v>56</v>
      </c>
      <c r="F457">
        <v>12</v>
      </c>
      <c r="G457" t="s">
        <v>55</v>
      </c>
      <c r="H457" t="s">
        <v>60</v>
      </c>
      <c r="I457" t="s">
        <v>30</v>
      </c>
      <c r="J457" t="s">
        <v>14</v>
      </c>
      <c r="K457" t="s">
        <v>56</v>
      </c>
      <c r="L457" t="s">
        <v>24</v>
      </c>
      <c r="M457">
        <v>111.85</v>
      </c>
      <c r="N457">
        <v>1306.6300000000001</v>
      </c>
      <c r="O457" t="s">
        <v>69</v>
      </c>
      <c r="P457" t="s">
        <v>55</v>
      </c>
      <c r="Q457">
        <f t="shared" si="21"/>
        <v>0</v>
      </c>
      <c r="R457" t="str">
        <f t="shared" si="22"/>
        <v>0-12 months</v>
      </c>
      <c r="S457" t="str">
        <f t="shared" si="23"/>
        <v>&gt; $100</v>
      </c>
    </row>
    <row r="458" spans="1:19" x14ac:dyDescent="0.35">
      <c r="A458" t="s">
        <v>522</v>
      </c>
      <c r="B458">
        <v>73</v>
      </c>
      <c r="C458" t="s">
        <v>56</v>
      </c>
      <c r="D458" t="s">
        <v>56</v>
      </c>
      <c r="E458" t="s">
        <v>56</v>
      </c>
      <c r="F458">
        <v>42</v>
      </c>
      <c r="G458" t="s">
        <v>56</v>
      </c>
      <c r="H458" t="s">
        <v>55</v>
      </c>
      <c r="I458" t="s">
        <v>30</v>
      </c>
      <c r="J458" t="s">
        <v>13</v>
      </c>
      <c r="K458" t="s">
        <v>56</v>
      </c>
      <c r="L458" t="s">
        <v>25</v>
      </c>
      <c r="M458">
        <v>114.91</v>
      </c>
      <c r="N458">
        <v>4778.6000000000004</v>
      </c>
      <c r="O458" t="s">
        <v>64</v>
      </c>
      <c r="P458" t="s">
        <v>56</v>
      </c>
      <c r="Q458">
        <f t="shared" si="21"/>
        <v>1</v>
      </c>
      <c r="R458" t="str">
        <f t="shared" si="22"/>
        <v>25-48 months</v>
      </c>
      <c r="S458" t="str">
        <f t="shared" si="23"/>
        <v>&gt; $100</v>
      </c>
    </row>
    <row r="459" spans="1:19" x14ac:dyDescent="0.35">
      <c r="A459" t="s">
        <v>523</v>
      </c>
      <c r="B459">
        <v>64</v>
      </c>
      <c r="C459" t="s">
        <v>56</v>
      </c>
      <c r="D459" t="s">
        <v>56</v>
      </c>
      <c r="E459" t="s">
        <v>55</v>
      </c>
      <c r="F459">
        <v>68</v>
      </c>
      <c r="G459" t="s">
        <v>56</v>
      </c>
      <c r="H459" t="s">
        <v>55</v>
      </c>
      <c r="I459" t="s">
        <v>30</v>
      </c>
      <c r="J459" t="s">
        <v>12</v>
      </c>
      <c r="K459" t="s">
        <v>56</v>
      </c>
      <c r="L459" t="s">
        <v>1066</v>
      </c>
      <c r="M459">
        <v>90.33</v>
      </c>
      <c r="N459">
        <v>5934.58</v>
      </c>
      <c r="O459" t="s">
        <v>62</v>
      </c>
      <c r="P459" t="s">
        <v>56</v>
      </c>
      <c r="Q459">
        <f t="shared" si="21"/>
        <v>1</v>
      </c>
      <c r="R459" t="str">
        <f t="shared" si="22"/>
        <v>49+ months</v>
      </c>
      <c r="S459" t="str">
        <f t="shared" si="23"/>
        <v>$76-$100</v>
      </c>
    </row>
    <row r="460" spans="1:19" x14ac:dyDescent="0.35">
      <c r="A460" t="s">
        <v>524</v>
      </c>
      <c r="B460">
        <v>59</v>
      </c>
      <c r="C460" t="s">
        <v>55</v>
      </c>
      <c r="D460" t="s">
        <v>56</v>
      </c>
      <c r="E460" t="s">
        <v>56</v>
      </c>
      <c r="F460">
        <v>62</v>
      </c>
      <c r="G460" t="s">
        <v>56</v>
      </c>
      <c r="H460" t="s">
        <v>55</v>
      </c>
      <c r="I460" t="s">
        <v>29</v>
      </c>
      <c r="J460" t="s">
        <v>14</v>
      </c>
      <c r="K460" t="s">
        <v>56</v>
      </c>
      <c r="L460" t="s">
        <v>25</v>
      </c>
      <c r="M460">
        <v>58.55</v>
      </c>
      <c r="N460">
        <v>3472.68</v>
      </c>
      <c r="O460" t="s">
        <v>62</v>
      </c>
      <c r="P460" t="s">
        <v>55</v>
      </c>
      <c r="Q460">
        <f t="shared" si="21"/>
        <v>0</v>
      </c>
      <c r="R460" t="str">
        <f t="shared" si="22"/>
        <v>49+ months</v>
      </c>
      <c r="S460" t="str">
        <f t="shared" si="23"/>
        <v>$50-$75</v>
      </c>
    </row>
    <row r="461" spans="1:19" x14ac:dyDescent="0.35">
      <c r="A461" t="s">
        <v>525</v>
      </c>
      <c r="B461">
        <v>68</v>
      </c>
      <c r="C461" t="s">
        <v>56</v>
      </c>
      <c r="D461" t="s">
        <v>55</v>
      </c>
      <c r="E461" t="s">
        <v>55</v>
      </c>
      <c r="F461">
        <v>1</v>
      </c>
      <c r="G461" t="s">
        <v>56</v>
      </c>
      <c r="H461" t="s">
        <v>55</v>
      </c>
      <c r="I461" t="s">
        <v>31</v>
      </c>
      <c r="J461" t="s">
        <v>13</v>
      </c>
      <c r="K461" t="s">
        <v>56</v>
      </c>
      <c r="L461" t="s">
        <v>26</v>
      </c>
      <c r="M461">
        <v>27.03</v>
      </c>
      <c r="N461">
        <v>27.67</v>
      </c>
      <c r="O461" t="s">
        <v>58</v>
      </c>
      <c r="P461" t="s">
        <v>55</v>
      </c>
      <c r="Q461">
        <f t="shared" si="21"/>
        <v>0</v>
      </c>
      <c r="R461" t="str">
        <f t="shared" si="22"/>
        <v>0-12 months</v>
      </c>
      <c r="S461" t="str">
        <f t="shared" si="23"/>
        <v>&lt; $50</v>
      </c>
    </row>
    <row r="462" spans="1:19" x14ac:dyDescent="0.35">
      <c r="A462" t="s">
        <v>526</v>
      </c>
      <c r="B462">
        <v>68</v>
      </c>
      <c r="C462" t="s">
        <v>56</v>
      </c>
      <c r="D462" t="s">
        <v>56</v>
      </c>
      <c r="E462" t="s">
        <v>56</v>
      </c>
      <c r="F462">
        <v>43</v>
      </c>
      <c r="G462" t="s">
        <v>56</v>
      </c>
      <c r="H462" t="s">
        <v>55</v>
      </c>
      <c r="I462" t="s">
        <v>29</v>
      </c>
      <c r="J462" t="s">
        <v>14</v>
      </c>
      <c r="K462" t="s">
        <v>55</v>
      </c>
      <c r="L462" t="s">
        <v>25</v>
      </c>
      <c r="M462">
        <v>44.44</v>
      </c>
      <c r="N462">
        <v>1880.1</v>
      </c>
      <c r="O462" t="s">
        <v>76</v>
      </c>
      <c r="P462" t="s">
        <v>55</v>
      </c>
      <c r="Q462">
        <f t="shared" si="21"/>
        <v>0</v>
      </c>
      <c r="R462" t="str">
        <f t="shared" si="22"/>
        <v>25-48 months</v>
      </c>
      <c r="S462" t="str">
        <f t="shared" si="23"/>
        <v>&lt; $50</v>
      </c>
    </row>
    <row r="463" spans="1:19" x14ac:dyDescent="0.35">
      <c r="A463" t="s">
        <v>527</v>
      </c>
      <c r="B463">
        <v>41</v>
      </c>
      <c r="C463" t="s">
        <v>55</v>
      </c>
      <c r="D463" t="s">
        <v>56</v>
      </c>
      <c r="E463" t="s">
        <v>56</v>
      </c>
      <c r="F463">
        <v>72</v>
      </c>
      <c r="G463" t="s">
        <v>56</v>
      </c>
      <c r="H463" t="s">
        <v>56</v>
      </c>
      <c r="I463" t="s">
        <v>29</v>
      </c>
      <c r="J463" t="s">
        <v>12</v>
      </c>
      <c r="K463" t="s">
        <v>56</v>
      </c>
      <c r="L463" t="s">
        <v>1066</v>
      </c>
      <c r="M463">
        <v>69.5</v>
      </c>
      <c r="N463">
        <v>5155.49</v>
      </c>
      <c r="O463" t="s">
        <v>69</v>
      </c>
      <c r="P463" t="s">
        <v>55</v>
      </c>
      <c r="Q463">
        <f t="shared" si="21"/>
        <v>0</v>
      </c>
      <c r="R463" t="str">
        <f t="shared" si="22"/>
        <v>49+ months</v>
      </c>
      <c r="S463" t="str">
        <f t="shared" si="23"/>
        <v>$50-$75</v>
      </c>
    </row>
    <row r="464" spans="1:19" x14ac:dyDescent="0.35">
      <c r="A464" t="s">
        <v>528</v>
      </c>
      <c r="B464">
        <v>31</v>
      </c>
      <c r="C464" t="s">
        <v>55</v>
      </c>
      <c r="D464" t="s">
        <v>56</v>
      </c>
      <c r="E464" t="s">
        <v>55</v>
      </c>
      <c r="F464">
        <v>46</v>
      </c>
      <c r="G464" t="s">
        <v>55</v>
      </c>
      <c r="H464" t="s">
        <v>60</v>
      </c>
      <c r="I464" t="s">
        <v>31</v>
      </c>
      <c r="J464" t="s">
        <v>12</v>
      </c>
      <c r="K464" t="s">
        <v>56</v>
      </c>
      <c r="L464" t="s">
        <v>24</v>
      </c>
      <c r="M464">
        <v>23.43</v>
      </c>
      <c r="N464">
        <v>1077.97</v>
      </c>
      <c r="O464" t="s">
        <v>64</v>
      </c>
      <c r="P464" t="s">
        <v>55</v>
      </c>
      <c r="Q464">
        <f t="shared" si="21"/>
        <v>0</v>
      </c>
      <c r="R464" t="str">
        <f t="shared" si="22"/>
        <v>25-48 months</v>
      </c>
      <c r="S464" t="str">
        <f t="shared" si="23"/>
        <v>&lt; $50</v>
      </c>
    </row>
    <row r="465" spans="1:19" x14ac:dyDescent="0.35">
      <c r="A465" t="s">
        <v>529</v>
      </c>
      <c r="B465">
        <v>63</v>
      </c>
      <c r="C465" t="s">
        <v>56</v>
      </c>
      <c r="D465" t="s">
        <v>55</v>
      </c>
      <c r="E465" t="s">
        <v>55</v>
      </c>
      <c r="F465">
        <v>48</v>
      </c>
      <c r="G465" t="s">
        <v>56</v>
      </c>
      <c r="H465" t="s">
        <v>56</v>
      </c>
      <c r="I465" t="s">
        <v>29</v>
      </c>
      <c r="J465" t="s">
        <v>14</v>
      </c>
      <c r="K465" t="s">
        <v>56</v>
      </c>
      <c r="L465" t="s">
        <v>26</v>
      </c>
      <c r="M465">
        <v>75.92</v>
      </c>
      <c r="N465">
        <v>3551.62</v>
      </c>
      <c r="O465" t="s">
        <v>80</v>
      </c>
      <c r="P465" t="s">
        <v>55</v>
      </c>
      <c r="Q465">
        <f t="shared" si="21"/>
        <v>0</v>
      </c>
      <c r="R465" t="str">
        <f t="shared" si="22"/>
        <v>25-48 months</v>
      </c>
      <c r="S465" t="str">
        <f t="shared" si="23"/>
        <v>$76-$100</v>
      </c>
    </row>
    <row r="466" spans="1:19" x14ac:dyDescent="0.35">
      <c r="A466" t="s">
        <v>530</v>
      </c>
      <c r="B466">
        <v>28</v>
      </c>
      <c r="C466" t="s">
        <v>55</v>
      </c>
      <c r="D466" t="s">
        <v>55</v>
      </c>
      <c r="E466" t="s">
        <v>56</v>
      </c>
      <c r="F466">
        <v>19</v>
      </c>
      <c r="G466" t="s">
        <v>56</v>
      </c>
      <c r="H466" t="s">
        <v>55</v>
      </c>
      <c r="I466" t="s">
        <v>29</v>
      </c>
      <c r="J466" t="s">
        <v>13</v>
      </c>
      <c r="K466" t="s">
        <v>55</v>
      </c>
      <c r="L466" t="s">
        <v>24</v>
      </c>
      <c r="M466">
        <v>67.3</v>
      </c>
      <c r="N466">
        <v>1344.95</v>
      </c>
      <c r="O466" t="s">
        <v>64</v>
      </c>
      <c r="P466" t="s">
        <v>55</v>
      </c>
      <c r="Q466">
        <f t="shared" si="21"/>
        <v>0</v>
      </c>
      <c r="R466" t="str">
        <f t="shared" si="22"/>
        <v>13-24 months</v>
      </c>
      <c r="S466" t="str">
        <f t="shared" si="23"/>
        <v>$50-$75</v>
      </c>
    </row>
    <row r="467" spans="1:19" x14ac:dyDescent="0.35">
      <c r="A467" t="s">
        <v>531</v>
      </c>
      <c r="B467">
        <v>46</v>
      </c>
      <c r="C467" t="s">
        <v>55</v>
      </c>
      <c r="D467" t="s">
        <v>56</v>
      </c>
      <c r="E467" t="s">
        <v>55</v>
      </c>
      <c r="F467">
        <v>25</v>
      </c>
      <c r="G467" t="s">
        <v>56</v>
      </c>
      <c r="H467" t="s">
        <v>55</v>
      </c>
      <c r="I467" t="s">
        <v>30</v>
      </c>
      <c r="J467" t="s">
        <v>12</v>
      </c>
      <c r="K467" t="s">
        <v>55</v>
      </c>
      <c r="L467" t="s">
        <v>24</v>
      </c>
      <c r="M467">
        <v>87.14</v>
      </c>
      <c r="N467">
        <v>2216.6799999999998</v>
      </c>
      <c r="O467" t="s">
        <v>58</v>
      </c>
      <c r="P467" t="s">
        <v>56</v>
      </c>
      <c r="Q467">
        <f t="shared" si="21"/>
        <v>1</v>
      </c>
      <c r="R467" t="str">
        <f t="shared" si="22"/>
        <v>25-48 months</v>
      </c>
      <c r="S467" t="str">
        <f t="shared" si="23"/>
        <v>$76-$100</v>
      </c>
    </row>
    <row r="468" spans="1:19" x14ac:dyDescent="0.35">
      <c r="A468" t="s">
        <v>532</v>
      </c>
      <c r="B468">
        <v>60</v>
      </c>
      <c r="C468" t="s">
        <v>56</v>
      </c>
      <c r="D468" t="s">
        <v>55</v>
      </c>
      <c r="E468" t="s">
        <v>55</v>
      </c>
      <c r="F468">
        <v>39</v>
      </c>
      <c r="G468" t="s">
        <v>55</v>
      </c>
      <c r="H468" t="s">
        <v>60</v>
      </c>
      <c r="I468" t="s">
        <v>29</v>
      </c>
      <c r="J468" t="s">
        <v>12</v>
      </c>
      <c r="K468" t="s">
        <v>55</v>
      </c>
      <c r="L468" t="s">
        <v>26</v>
      </c>
      <c r="M468">
        <v>54.88</v>
      </c>
      <c r="N468">
        <v>2085.91</v>
      </c>
      <c r="O468" t="s">
        <v>62</v>
      </c>
      <c r="P468" t="s">
        <v>55</v>
      </c>
      <c r="Q468">
        <f t="shared" si="21"/>
        <v>0</v>
      </c>
      <c r="R468" t="str">
        <f t="shared" si="22"/>
        <v>25-48 months</v>
      </c>
      <c r="S468" t="str">
        <f t="shared" si="23"/>
        <v>$50-$75</v>
      </c>
    </row>
    <row r="469" spans="1:19" x14ac:dyDescent="0.35">
      <c r="A469" t="s">
        <v>533</v>
      </c>
      <c r="B469">
        <v>40</v>
      </c>
      <c r="C469" t="s">
        <v>55</v>
      </c>
      <c r="D469" t="s">
        <v>55</v>
      </c>
      <c r="E469" t="s">
        <v>55</v>
      </c>
      <c r="F469">
        <v>22</v>
      </c>
      <c r="G469" t="s">
        <v>56</v>
      </c>
      <c r="H469" t="s">
        <v>55</v>
      </c>
      <c r="I469" t="s">
        <v>29</v>
      </c>
      <c r="J469" t="s">
        <v>12</v>
      </c>
      <c r="K469" t="s">
        <v>56</v>
      </c>
      <c r="L469" t="s">
        <v>1066</v>
      </c>
      <c r="M469">
        <v>67.709999999999994</v>
      </c>
      <c r="N469">
        <v>1519.36</v>
      </c>
      <c r="O469" t="s">
        <v>62</v>
      </c>
      <c r="P469" t="s">
        <v>56</v>
      </c>
      <c r="Q469">
        <f t="shared" si="21"/>
        <v>1</v>
      </c>
      <c r="R469" t="str">
        <f t="shared" si="22"/>
        <v>13-24 months</v>
      </c>
      <c r="S469" t="str">
        <f t="shared" si="23"/>
        <v>$50-$75</v>
      </c>
    </row>
    <row r="470" spans="1:19" x14ac:dyDescent="0.35">
      <c r="A470" t="s">
        <v>534</v>
      </c>
      <c r="B470">
        <v>25</v>
      </c>
      <c r="C470" t="s">
        <v>55</v>
      </c>
      <c r="D470" t="s">
        <v>56</v>
      </c>
      <c r="E470" t="s">
        <v>55</v>
      </c>
      <c r="F470">
        <v>17</v>
      </c>
      <c r="G470" t="s">
        <v>55</v>
      </c>
      <c r="H470" t="s">
        <v>60</v>
      </c>
      <c r="I470" t="s">
        <v>30</v>
      </c>
      <c r="J470" t="s">
        <v>12</v>
      </c>
      <c r="K470" t="s">
        <v>56</v>
      </c>
      <c r="L470" t="s">
        <v>1066</v>
      </c>
      <c r="M470">
        <v>118.9</v>
      </c>
      <c r="N470">
        <v>1935.91</v>
      </c>
      <c r="O470" t="s">
        <v>62</v>
      </c>
      <c r="P470" t="s">
        <v>55</v>
      </c>
      <c r="Q470">
        <f t="shared" si="21"/>
        <v>0</v>
      </c>
      <c r="R470" t="str">
        <f t="shared" si="22"/>
        <v>13-24 months</v>
      </c>
      <c r="S470" t="str">
        <f t="shared" si="23"/>
        <v>&gt; $100</v>
      </c>
    </row>
    <row r="471" spans="1:19" x14ac:dyDescent="0.35">
      <c r="A471" t="s">
        <v>535</v>
      </c>
      <c r="B471">
        <v>52</v>
      </c>
      <c r="C471" t="s">
        <v>55</v>
      </c>
      <c r="D471" t="s">
        <v>55</v>
      </c>
      <c r="E471" t="s">
        <v>56</v>
      </c>
      <c r="F471">
        <v>4</v>
      </c>
      <c r="G471" t="s">
        <v>55</v>
      </c>
      <c r="H471" t="s">
        <v>60</v>
      </c>
      <c r="I471" t="s">
        <v>30</v>
      </c>
      <c r="J471" t="s">
        <v>13</v>
      </c>
      <c r="K471" t="s">
        <v>55</v>
      </c>
      <c r="L471" t="s">
        <v>25</v>
      </c>
      <c r="M471">
        <v>77.8</v>
      </c>
      <c r="N471">
        <v>328.76</v>
      </c>
      <c r="O471" t="s">
        <v>58</v>
      </c>
      <c r="P471" t="s">
        <v>55</v>
      </c>
      <c r="Q471">
        <f t="shared" si="21"/>
        <v>0</v>
      </c>
      <c r="R471" t="str">
        <f t="shared" si="22"/>
        <v>0-12 months</v>
      </c>
      <c r="S471" t="str">
        <f t="shared" si="23"/>
        <v>$76-$100</v>
      </c>
    </row>
    <row r="472" spans="1:19" x14ac:dyDescent="0.35">
      <c r="A472" t="s">
        <v>536</v>
      </c>
      <c r="B472">
        <v>39</v>
      </c>
      <c r="C472" t="s">
        <v>55</v>
      </c>
      <c r="D472" t="s">
        <v>55</v>
      </c>
      <c r="E472" t="s">
        <v>55</v>
      </c>
      <c r="F472">
        <v>38</v>
      </c>
      <c r="G472" t="s">
        <v>56</v>
      </c>
      <c r="H472" t="s">
        <v>55</v>
      </c>
      <c r="I472" t="s">
        <v>31</v>
      </c>
      <c r="J472" t="s">
        <v>13</v>
      </c>
      <c r="K472" t="s">
        <v>55</v>
      </c>
      <c r="L472" t="s">
        <v>26</v>
      </c>
      <c r="M472">
        <v>19.350000000000001</v>
      </c>
      <c r="N472">
        <v>733.45</v>
      </c>
      <c r="O472" t="s">
        <v>69</v>
      </c>
      <c r="P472" t="s">
        <v>56</v>
      </c>
      <c r="Q472">
        <f t="shared" si="21"/>
        <v>1</v>
      </c>
      <c r="R472" t="str">
        <f t="shared" si="22"/>
        <v>25-48 months</v>
      </c>
      <c r="S472" t="str">
        <f t="shared" si="23"/>
        <v>&lt; $50</v>
      </c>
    </row>
    <row r="473" spans="1:19" x14ac:dyDescent="0.35">
      <c r="A473" t="s">
        <v>537</v>
      </c>
      <c r="B473">
        <v>53</v>
      </c>
      <c r="C473" t="s">
        <v>55</v>
      </c>
      <c r="D473" t="s">
        <v>56</v>
      </c>
      <c r="E473" t="s">
        <v>55</v>
      </c>
      <c r="F473">
        <v>4</v>
      </c>
      <c r="G473" t="s">
        <v>56</v>
      </c>
      <c r="H473" t="s">
        <v>55</v>
      </c>
      <c r="I473" t="s">
        <v>30</v>
      </c>
      <c r="J473" t="s">
        <v>12</v>
      </c>
      <c r="K473" t="s">
        <v>56</v>
      </c>
      <c r="L473" t="s">
        <v>1066</v>
      </c>
      <c r="M473">
        <v>79.760000000000005</v>
      </c>
      <c r="N473">
        <v>320.05</v>
      </c>
      <c r="O473" t="s">
        <v>66</v>
      </c>
      <c r="P473" t="s">
        <v>55</v>
      </c>
      <c r="Q473">
        <f t="shared" si="21"/>
        <v>0</v>
      </c>
      <c r="R473" t="str">
        <f t="shared" si="22"/>
        <v>0-12 months</v>
      </c>
      <c r="S473" t="str">
        <f t="shared" si="23"/>
        <v>$76-$100</v>
      </c>
    </row>
    <row r="474" spans="1:19" x14ac:dyDescent="0.35">
      <c r="A474" t="s">
        <v>538</v>
      </c>
      <c r="B474">
        <v>35</v>
      </c>
      <c r="C474" t="s">
        <v>55</v>
      </c>
      <c r="D474" t="s">
        <v>56</v>
      </c>
      <c r="E474" t="s">
        <v>56</v>
      </c>
      <c r="F474">
        <v>11</v>
      </c>
      <c r="G474" t="s">
        <v>55</v>
      </c>
      <c r="H474" t="s">
        <v>60</v>
      </c>
      <c r="I474" t="s">
        <v>29</v>
      </c>
      <c r="J474" t="s">
        <v>13</v>
      </c>
      <c r="K474" t="s">
        <v>56</v>
      </c>
      <c r="L474" t="s">
        <v>25</v>
      </c>
      <c r="M474">
        <v>55.78</v>
      </c>
      <c r="N474">
        <v>612.88</v>
      </c>
      <c r="O474" t="s">
        <v>58</v>
      </c>
      <c r="P474" t="s">
        <v>55</v>
      </c>
      <c r="Q474">
        <f t="shared" si="21"/>
        <v>0</v>
      </c>
      <c r="R474" t="str">
        <f t="shared" si="22"/>
        <v>0-12 months</v>
      </c>
      <c r="S474" t="str">
        <f t="shared" si="23"/>
        <v>$50-$75</v>
      </c>
    </row>
    <row r="475" spans="1:19" x14ac:dyDescent="0.35">
      <c r="A475" t="s">
        <v>539</v>
      </c>
      <c r="B475">
        <v>21</v>
      </c>
      <c r="C475" t="s">
        <v>55</v>
      </c>
      <c r="D475" t="s">
        <v>55</v>
      </c>
      <c r="E475" t="s">
        <v>55</v>
      </c>
      <c r="F475">
        <v>19</v>
      </c>
      <c r="G475" t="s">
        <v>55</v>
      </c>
      <c r="H475" t="s">
        <v>60</v>
      </c>
      <c r="I475" t="s">
        <v>29</v>
      </c>
      <c r="J475" t="s">
        <v>12</v>
      </c>
      <c r="K475" t="s">
        <v>55</v>
      </c>
      <c r="L475" t="s">
        <v>26</v>
      </c>
      <c r="M475">
        <v>53.8</v>
      </c>
      <c r="N475">
        <v>998.66</v>
      </c>
      <c r="O475" t="s">
        <v>58</v>
      </c>
      <c r="P475" t="s">
        <v>55</v>
      </c>
      <c r="Q475">
        <f t="shared" si="21"/>
        <v>0</v>
      </c>
      <c r="R475" t="str">
        <f t="shared" si="22"/>
        <v>13-24 months</v>
      </c>
      <c r="S475" t="str">
        <f t="shared" si="23"/>
        <v>$50-$75</v>
      </c>
    </row>
    <row r="476" spans="1:19" x14ac:dyDescent="0.35">
      <c r="A476" t="s">
        <v>540</v>
      </c>
      <c r="B476">
        <v>23</v>
      </c>
      <c r="C476" t="s">
        <v>55</v>
      </c>
      <c r="D476" t="s">
        <v>56</v>
      </c>
      <c r="E476" t="s">
        <v>55</v>
      </c>
      <c r="F476">
        <v>54</v>
      </c>
      <c r="G476" t="s">
        <v>55</v>
      </c>
      <c r="H476" t="s">
        <v>60</v>
      </c>
      <c r="I476" t="s">
        <v>31</v>
      </c>
      <c r="J476" t="s">
        <v>12</v>
      </c>
      <c r="K476" t="s">
        <v>55</v>
      </c>
      <c r="L476" t="s">
        <v>1066</v>
      </c>
      <c r="M476">
        <v>22.97</v>
      </c>
      <c r="N476">
        <v>1290.32</v>
      </c>
      <c r="O476" t="s">
        <v>62</v>
      </c>
      <c r="P476" t="s">
        <v>55</v>
      </c>
      <c r="Q476">
        <f t="shared" si="21"/>
        <v>0</v>
      </c>
      <c r="R476" t="str">
        <f t="shared" si="22"/>
        <v>49+ months</v>
      </c>
      <c r="S476" t="str">
        <f t="shared" si="23"/>
        <v>&lt; $50</v>
      </c>
    </row>
    <row r="477" spans="1:19" x14ac:dyDescent="0.35">
      <c r="A477" t="s">
        <v>541</v>
      </c>
      <c r="B477">
        <v>31</v>
      </c>
      <c r="C477" t="s">
        <v>55</v>
      </c>
      <c r="D477" t="s">
        <v>55</v>
      </c>
      <c r="E477" t="s">
        <v>55</v>
      </c>
      <c r="F477">
        <v>68</v>
      </c>
      <c r="G477" t="s">
        <v>56</v>
      </c>
      <c r="H477" t="s">
        <v>55</v>
      </c>
      <c r="I477" t="s">
        <v>31</v>
      </c>
      <c r="J477" t="s">
        <v>13</v>
      </c>
      <c r="K477" t="s">
        <v>55</v>
      </c>
      <c r="L477" t="s">
        <v>26</v>
      </c>
      <c r="M477">
        <v>22.91</v>
      </c>
      <c r="N477">
        <v>1635.35</v>
      </c>
      <c r="O477" t="s">
        <v>58</v>
      </c>
      <c r="P477" t="s">
        <v>55</v>
      </c>
      <c r="Q477">
        <f t="shared" si="21"/>
        <v>0</v>
      </c>
      <c r="R477" t="str">
        <f t="shared" si="22"/>
        <v>49+ months</v>
      </c>
      <c r="S477" t="str">
        <f t="shared" si="23"/>
        <v>&lt; $50</v>
      </c>
    </row>
    <row r="478" spans="1:19" x14ac:dyDescent="0.35">
      <c r="A478" t="s">
        <v>542</v>
      </c>
      <c r="B478">
        <v>47</v>
      </c>
      <c r="C478" t="s">
        <v>55</v>
      </c>
      <c r="D478" t="s">
        <v>56</v>
      </c>
      <c r="E478" t="s">
        <v>56</v>
      </c>
      <c r="F478">
        <v>24</v>
      </c>
      <c r="G478" t="s">
        <v>55</v>
      </c>
      <c r="H478" t="s">
        <v>60</v>
      </c>
      <c r="I478" t="s">
        <v>31</v>
      </c>
      <c r="J478" t="s">
        <v>13</v>
      </c>
      <c r="K478" t="s">
        <v>56</v>
      </c>
      <c r="L478" t="s">
        <v>1066</v>
      </c>
      <c r="M478">
        <v>21.62</v>
      </c>
      <c r="N478">
        <v>524.19000000000005</v>
      </c>
      <c r="O478" t="s">
        <v>69</v>
      </c>
      <c r="P478" t="s">
        <v>55</v>
      </c>
      <c r="Q478">
        <f t="shared" si="21"/>
        <v>0</v>
      </c>
      <c r="R478" t="str">
        <f t="shared" si="22"/>
        <v>13-24 months</v>
      </c>
      <c r="S478" t="str">
        <f t="shared" si="23"/>
        <v>&lt; $50</v>
      </c>
    </row>
    <row r="479" spans="1:19" x14ac:dyDescent="0.35">
      <c r="A479" t="s">
        <v>543</v>
      </c>
      <c r="B479">
        <v>47</v>
      </c>
      <c r="C479" t="s">
        <v>55</v>
      </c>
      <c r="D479" t="s">
        <v>56</v>
      </c>
      <c r="E479" t="s">
        <v>56</v>
      </c>
      <c r="F479">
        <v>1</v>
      </c>
      <c r="G479" t="s">
        <v>55</v>
      </c>
      <c r="H479" t="s">
        <v>60</v>
      </c>
      <c r="I479" t="s">
        <v>30</v>
      </c>
      <c r="J479" t="s">
        <v>14</v>
      </c>
      <c r="K479" t="s">
        <v>55</v>
      </c>
      <c r="L479" t="s">
        <v>26</v>
      </c>
      <c r="M479">
        <v>103.3</v>
      </c>
      <c r="N479">
        <v>100.67</v>
      </c>
      <c r="O479" t="s">
        <v>69</v>
      </c>
      <c r="P479" t="s">
        <v>56</v>
      </c>
      <c r="Q479">
        <f t="shared" si="21"/>
        <v>1</v>
      </c>
      <c r="R479" t="str">
        <f t="shared" si="22"/>
        <v>0-12 months</v>
      </c>
      <c r="S479" t="str">
        <f t="shared" si="23"/>
        <v>&gt; $100</v>
      </c>
    </row>
    <row r="480" spans="1:19" x14ac:dyDescent="0.35">
      <c r="A480" t="s">
        <v>544</v>
      </c>
      <c r="B480">
        <v>59</v>
      </c>
      <c r="C480" t="s">
        <v>55</v>
      </c>
      <c r="D480" t="s">
        <v>56</v>
      </c>
      <c r="E480" t="s">
        <v>56</v>
      </c>
      <c r="F480">
        <v>16</v>
      </c>
      <c r="G480" t="s">
        <v>55</v>
      </c>
      <c r="H480" t="s">
        <v>60</v>
      </c>
      <c r="I480" t="s">
        <v>29</v>
      </c>
      <c r="J480" t="s">
        <v>14</v>
      </c>
      <c r="K480" t="s">
        <v>56</v>
      </c>
      <c r="L480" t="s">
        <v>24</v>
      </c>
      <c r="M480">
        <v>54.47</v>
      </c>
      <c r="N480">
        <v>869.48</v>
      </c>
      <c r="O480" t="s">
        <v>76</v>
      </c>
      <c r="P480" t="s">
        <v>55</v>
      </c>
      <c r="Q480">
        <f t="shared" si="21"/>
        <v>0</v>
      </c>
      <c r="R480" t="str">
        <f t="shared" si="22"/>
        <v>13-24 months</v>
      </c>
      <c r="S480" t="str">
        <f t="shared" si="23"/>
        <v>$50-$75</v>
      </c>
    </row>
    <row r="481" spans="1:19" x14ac:dyDescent="0.35">
      <c r="A481" t="s">
        <v>545</v>
      </c>
      <c r="B481">
        <v>58</v>
      </c>
      <c r="C481" t="s">
        <v>55</v>
      </c>
      <c r="D481" t="s">
        <v>55</v>
      </c>
      <c r="E481" t="s">
        <v>56</v>
      </c>
      <c r="F481">
        <v>48</v>
      </c>
      <c r="G481" t="s">
        <v>56</v>
      </c>
      <c r="H481" t="s">
        <v>55</v>
      </c>
      <c r="I481" t="s">
        <v>29</v>
      </c>
      <c r="J481" t="s">
        <v>12</v>
      </c>
      <c r="K481" t="s">
        <v>56</v>
      </c>
      <c r="L481" t="s">
        <v>26</v>
      </c>
      <c r="M481">
        <v>58.44</v>
      </c>
      <c r="N481">
        <v>2870.18</v>
      </c>
      <c r="O481" t="s">
        <v>80</v>
      </c>
      <c r="P481" t="s">
        <v>56</v>
      </c>
      <c r="Q481">
        <f t="shared" si="21"/>
        <v>1</v>
      </c>
      <c r="R481" t="str">
        <f t="shared" si="22"/>
        <v>25-48 months</v>
      </c>
      <c r="S481" t="str">
        <f t="shared" si="23"/>
        <v>$50-$75</v>
      </c>
    </row>
    <row r="482" spans="1:19" x14ac:dyDescent="0.35">
      <c r="A482" t="s">
        <v>546</v>
      </c>
      <c r="B482">
        <v>35</v>
      </c>
      <c r="C482" t="s">
        <v>55</v>
      </c>
      <c r="D482" t="s">
        <v>55</v>
      </c>
      <c r="E482" t="s">
        <v>55</v>
      </c>
      <c r="F482">
        <v>46</v>
      </c>
      <c r="G482" t="s">
        <v>55</v>
      </c>
      <c r="H482" t="s">
        <v>60</v>
      </c>
      <c r="I482" t="s">
        <v>30</v>
      </c>
      <c r="J482" t="s">
        <v>12</v>
      </c>
      <c r="K482" t="s">
        <v>56</v>
      </c>
      <c r="L482" t="s">
        <v>24</v>
      </c>
      <c r="M482">
        <v>108.32</v>
      </c>
      <c r="N482">
        <v>4793.33</v>
      </c>
      <c r="O482" t="s">
        <v>66</v>
      </c>
      <c r="P482" t="s">
        <v>56</v>
      </c>
      <c r="Q482">
        <f t="shared" si="21"/>
        <v>1</v>
      </c>
      <c r="R482" t="str">
        <f t="shared" si="22"/>
        <v>25-48 months</v>
      </c>
      <c r="S482" t="str">
        <f t="shared" si="23"/>
        <v>&gt; $100</v>
      </c>
    </row>
    <row r="483" spans="1:19" x14ac:dyDescent="0.35">
      <c r="A483" t="s">
        <v>547</v>
      </c>
      <c r="B483">
        <v>28</v>
      </c>
      <c r="C483" t="s">
        <v>55</v>
      </c>
      <c r="D483" t="s">
        <v>55</v>
      </c>
      <c r="E483" t="s">
        <v>55</v>
      </c>
      <c r="F483">
        <v>39</v>
      </c>
      <c r="G483" t="s">
        <v>55</v>
      </c>
      <c r="H483" t="s">
        <v>60</v>
      </c>
      <c r="I483" t="s">
        <v>30</v>
      </c>
      <c r="J483" t="s">
        <v>12</v>
      </c>
      <c r="K483" t="s">
        <v>55</v>
      </c>
      <c r="L483" t="s">
        <v>1066</v>
      </c>
      <c r="M483">
        <v>70.64</v>
      </c>
      <c r="N483">
        <v>2760.97</v>
      </c>
      <c r="O483" t="s">
        <v>64</v>
      </c>
      <c r="P483" t="s">
        <v>56</v>
      </c>
      <c r="Q483">
        <f t="shared" si="21"/>
        <v>1</v>
      </c>
      <c r="R483" t="str">
        <f t="shared" si="22"/>
        <v>25-48 months</v>
      </c>
      <c r="S483" t="str">
        <f t="shared" si="23"/>
        <v>$50-$75</v>
      </c>
    </row>
    <row r="484" spans="1:19" x14ac:dyDescent="0.35">
      <c r="A484" t="s">
        <v>548</v>
      </c>
      <c r="B484">
        <v>44</v>
      </c>
      <c r="C484" t="s">
        <v>55</v>
      </c>
      <c r="D484" t="s">
        <v>55</v>
      </c>
      <c r="E484" t="s">
        <v>56</v>
      </c>
      <c r="F484">
        <v>14</v>
      </c>
      <c r="G484" t="s">
        <v>56</v>
      </c>
      <c r="H484" t="s">
        <v>55</v>
      </c>
      <c r="I484" t="s">
        <v>30</v>
      </c>
      <c r="J484" t="s">
        <v>13</v>
      </c>
      <c r="K484" t="s">
        <v>56</v>
      </c>
      <c r="L484" t="s">
        <v>24</v>
      </c>
      <c r="M484">
        <v>115.8</v>
      </c>
      <c r="N484">
        <v>1546.61</v>
      </c>
      <c r="O484" t="s">
        <v>80</v>
      </c>
      <c r="P484" t="s">
        <v>56</v>
      </c>
      <c r="Q484">
        <f t="shared" si="21"/>
        <v>1</v>
      </c>
      <c r="R484" t="str">
        <f t="shared" si="22"/>
        <v>13-24 months</v>
      </c>
      <c r="S484" t="str">
        <f t="shared" si="23"/>
        <v>&gt; $100</v>
      </c>
    </row>
    <row r="485" spans="1:19" x14ac:dyDescent="0.35">
      <c r="A485" t="s">
        <v>549</v>
      </c>
      <c r="B485">
        <v>48</v>
      </c>
      <c r="C485" t="s">
        <v>55</v>
      </c>
      <c r="D485" t="s">
        <v>55</v>
      </c>
      <c r="E485" t="s">
        <v>55</v>
      </c>
      <c r="F485">
        <v>47</v>
      </c>
      <c r="G485" t="s">
        <v>55</v>
      </c>
      <c r="H485" t="s">
        <v>60</v>
      </c>
      <c r="I485" t="s">
        <v>30</v>
      </c>
      <c r="J485" t="s">
        <v>14</v>
      </c>
      <c r="K485" t="s">
        <v>55</v>
      </c>
      <c r="L485" t="s">
        <v>26</v>
      </c>
      <c r="M485">
        <v>85.23</v>
      </c>
      <c r="N485">
        <v>4123.32</v>
      </c>
      <c r="O485" t="s">
        <v>62</v>
      </c>
      <c r="P485" t="s">
        <v>56</v>
      </c>
      <c r="Q485">
        <f t="shared" si="21"/>
        <v>1</v>
      </c>
      <c r="R485" t="str">
        <f t="shared" si="22"/>
        <v>25-48 months</v>
      </c>
      <c r="S485" t="str">
        <f t="shared" si="23"/>
        <v>$76-$100</v>
      </c>
    </row>
    <row r="486" spans="1:19" x14ac:dyDescent="0.35">
      <c r="A486" t="s">
        <v>550</v>
      </c>
      <c r="B486">
        <v>72</v>
      </c>
      <c r="C486" t="s">
        <v>56</v>
      </c>
      <c r="D486" t="s">
        <v>56</v>
      </c>
      <c r="E486" t="s">
        <v>56</v>
      </c>
      <c r="F486">
        <v>40</v>
      </c>
      <c r="G486" t="s">
        <v>56</v>
      </c>
      <c r="H486" t="s">
        <v>55</v>
      </c>
      <c r="I486" t="s">
        <v>30</v>
      </c>
      <c r="J486" t="s">
        <v>12</v>
      </c>
      <c r="K486" t="s">
        <v>56</v>
      </c>
      <c r="L486" t="s">
        <v>26</v>
      </c>
      <c r="M486">
        <v>108.73</v>
      </c>
      <c r="N486">
        <v>4483.5</v>
      </c>
      <c r="O486" t="s">
        <v>80</v>
      </c>
      <c r="P486" t="s">
        <v>56</v>
      </c>
      <c r="Q486">
        <f t="shared" si="21"/>
        <v>1</v>
      </c>
      <c r="R486" t="str">
        <f t="shared" si="22"/>
        <v>25-48 months</v>
      </c>
      <c r="S486" t="str">
        <f t="shared" si="23"/>
        <v>&gt; $100</v>
      </c>
    </row>
    <row r="487" spans="1:19" x14ac:dyDescent="0.35">
      <c r="A487" t="s">
        <v>551</v>
      </c>
      <c r="B487">
        <v>20</v>
      </c>
      <c r="C487" t="s">
        <v>55</v>
      </c>
      <c r="D487" t="s">
        <v>56</v>
      </c>
      <c r="E487" t="s">
        <v>55</v>
      </c>
      <c r="F487">
        <v>16</v>
      </c>
      <c r="G487" t="s">
        <v>56</v>
      </c>
      <c r="H487" t="s">
        <v>56</v>
      </c>
      <c r="I487" t="s">
        <v>31</v>
      </c>
      <c r="J487" t="s">
        <v>13</v>
      </c>
      <c r="K487" t="s">
        <v>56</v>
      </c>
      <c r="L487" t="s">
        <v>1066</v>
      </c>
      <c r="M487">
        <v>29.04</v>
      </c>
      <c r="N487">
        <v>448.21</v>
      </c>
      <c r="O487" t="s">
        <v>62</v>
      </c>
      <c r="P487" t="s">
        <v>55</v>
      </c>
      <c r="Q487">
        <f t="shared" si="21"/>
        <v>0</v>
      </c>
      <c r="R487" t="str">
        <f t="shared" si="22"/>
        <v>13-24 months</v>
      </c>
      <c r="S487" t="str">
        <f t="shared" si="23"/>
        <v>&lt; $50</v>
      </c>
    </row>
    <row r="488" spans="1:19" x14ac:dyDescent="0.35">
      <c r="A488" t="s">
        <v>552</v>
      </c>
      <c r="B488">
        <v>60</v>
      </c>
      <c r="C488" t="s">
        <v>56</v>
      </c>
      <c r="D488" t="s">
        <v>55</v>
      </c>
      <c r="E488" t="s">
        <v>56</v>
      </c>
      <c r="F488">
        <v>12</v>
      </c>
      <c r="G488" t="s">
        <v>55</v>
      </c>
      <c r="H488" t="s">
        <v>60</v>
      </c>
      <c r="I488" t="s">
        <v>30</v>
      </c>
      <c r="J488" t="s">
        <v>14</v>
      </c>
      <c r="K488" t="s">
        <v>55</v>
      </c>
      <c r="L488" t="s">
        <v>24</v>
      </c>
      <c r="M488">
        <v>112.76</v>
      </c>
      <c r="N488">
        <v>1398.72</v>
      </c>
      <c r="O488" t="s">
        <v>58</v>
      </c>
      <c r="P488" t="s">
        <v>55</v>
      </c>
      <c r="Q488">
        <f t="shared" si="21"/>
        <v>0</v>
      </c>
      <c r="R488" t="str">
        <f t="shared" si="22"/>
        <v>0-12 months</v>
      </c>
      <c r="S488" t="str">
        <f t="shared" si="23"/>
        <v>&gt; $100</v>
      </c>
    </row>
    <row r="489" spans="1:19" x14ac:dyDescent="0.35">
      <c r="A489" t="s">
        <v>553</v>
      </c>
      <c r="B489">
        <v>54</v>
      </c>
      <c r="C489" t="s">
        <v>55</v>
      </c>
      <c r="D489" t="s">
        <v>56</v>
      </c>
      <c r="E489" t="s">
        <v>56</v>
      </c>
      <c r="F489">
        <v>2</v>
      </c>
      <c r="G489" t="s">
        <v>56</v>
      </c>
      <c r="H489" t="s">
        <v>55</v>
      </c>
      <c r="I489" t="s">
        <v>29</v>
      </c>
      <c r="J489" t="s">
        <v>12</v>
      </c>
      <c r="K489" t="s">
        <v>56</v>
      </c>
      <c r="L489" t="s">
        <v>25</v>
      </c>
      <c r="M489">
        <v>43.95</v>
      </c>
      <c r="N489">
        <v>84.88</v>
      </c>
      <c r="O489" t="s">
        <v>69</v>
      </c>
      <c r="P489" t="s">
        <v>55</v>
      </c>
      <c r="Q489">
        <f t="shared" si="21"/>
        <v>0</v>
      </c>
      <c r="R489" t="str">
        <f t="shared" si="22"/>
        <v>0-12 months</v>
      </c>
      <c r="S489" t="str">
        <f t="shared" si="23"/>
        <v>&lt; $50</v>
      </c>
    </row>
    <row r="490" spans="1:19" x14ac:dyDescent="0.35">
      <c r="A490" t="s">
        <v>554</v>
      </c>
      <c r="B490">
        <v>48</v>
      </c>
      <c r="C490" t="s">
        <v>55</v>
      </c>
      <c r="D490" t="s">
        <v>55</v>
      </c>
      <c r="E490" t="s">
        <v>56</v>
      </c>
      <c r="F490">
        <v>57</v>
      </c>
      <c r="G490" t="s">
        <v>56</v>
      </c>
      <c r="H490" t="s">
        <v>56</v>
      </c>
      <c r="I490" t="s">
        <v>29</v>
      </c>
      <c r="J490" t="s">
        <v>12</v>
      </c>
      <c r="K490" t="s">
        <v>55</v>
      </c>
      <c r="L490" t="s">
        <v>24</v>
      </c>
      <c r="M490">
        <v>60.57</v>
      </c>
      <c r="N490">
        <v>3414.2</v>
      </c>
      <c r="O490" t="s">
        <v>76</v>
      </c>
      <c r="P490" t="s">
        <v>55</v>
      </c>
      <c r="Q490">
        <f t="shared" si="21"/>
        <v>0</v>
      </c>
      <c r="R490" t="str">
        <f t="shared" si="22"/>
        <v>49+ months</v>
      </c>
      <c r="S490" t="str">
        <f t="shared" si="23"/>
        <v>$50-$75</v>
      </c>
    </row>
    <row r="491" spans="1:19" x14ac:dyDescent="0.35">
      <c r="A491" t="s">
        <v>555</v>
      </c>
      <c r="B491">
        <v>25</v>
      </c>
      <c r="C491" t="s">
        <v>55</v>
      </c>
      <c r="D491" t="s">
        <v>55</v>
      </c>
      <c r="E491" t="s">
        <v>56</v>
      </c>
      <c r="F491">
        <v>67</v>
      </c>
      <c r="G491" t="s">
        <v>55</v>
      </c>
      <c r="H491" t="s">
        <v>60</v>
      </c>
      <c r="I491" t="s">
        <v>30</v>
      </c>
      <c r="J491" t="s">
        <v>13</v>
      </c>
      <c r="K491" t="s">
        <v>56</v>
      </c>
      <c r="L491" t="s">
        <v>26</v>
      </c>
      <c r="M491">
        <v>94.69</v>
      </c>
      <c r="N491">
        <v>6256.51</v>
      </c>
      <c r="O491" t="s">
        <v>69</v>
      </c>
      <c r="P491" t="s">
        <v>55</v>
      </c>
      <c r="Q491">
        <f t="shared" si="21"/>
        <v>0</v>
      </c>
      <c r="R491" t="str">
        <f t="shared" si="22"/>
        <v>49+ months</v>
      </c>
      <c r="S491" t="str">
        <f t="shared" si="23"/>
        <v>$76-$100</v>
      </c>
    </row>
    <row r="492" spans="1:19" x14ac:dyDescent="0.35">
      <c r="A492" t="s">
        <v>556</v>
      </c>
      <c r="B492">
        <v>37</v>
      </c>
      <c r="C492" t="s">
        <v>55</v>
      </c>
      <c r="D492" t="s">
        <v>55</v>
      </c>
      <c r="E492" t="s">
        <v>56</v>
      </c>
      <c r="F492">
        <v>71</v>
      </c>
      <c r="G492" t="s">
        <v>55</v>
      </c>
      <c r="H492" t="s">
        <v>60</v>
      </c>
      <c r="I492" t="s">
        <v>30</v>
      </c>
      <c r="J492" t="s">
        <v>12</v>
      </c>
      <c r="K492" t="s">
        <v>56</v>
      </c>
      <c r="L492" t="s">
        <v>25</v>
      </c>
      <c r="M492">
        <v>110.12</v>
      </c>
      <c r="N492">
        <v>8230.48</v>
      </c>
      <c r="O492" t="s">
        <v>80</v>
      </c>
      <c r="P492" t="s">
        <v>56</v>
      </c>
      <c r="Q492">
        <f t="shared" si="21"/>
        <v>1</v>
      </c>
      <c r="R492" t="str">
        <f t="shared" si="22"/>
        <v>49+ months</v>
      </c>
      <c r="S492" t="str">
        <f t="shared" si="23"/>
        <v>&gt; $100</v>
      </c>
    </row>
    <row r="493" spans="1:19" x14ac:dyDescent="0.35">
      <c r="A493" t="s">
        <v>557</v>
      </c>
      <c r="B493">
        <v>61</v>
      </c>
      <c r="C493" t="s">
        <v>56</v>
      </c>
      <c r="D493" t="s">
        <v>55</v>
      </c>
      <c r="E493" t="s">
        <v>56</v>
      </c>
      <c r="F493">
        <v>51</v>
      </c>
      <c r="G493" t="s">
        <v>56</v>
      </c>
      <c r="H493" t="s">
        <v>56</v>
      </c>
      <c r="I493" t="s">
        <v>30</v>
      </c>
      <c r="J493" t="s">
        <v>12</v>
      </c>
      <c r="K493" t="s">
        <v>56</v>
      </c>
      <c r="L493" t="s">
        <v>1066</v>
      </c>
      <c r="M493">
        <v>114.62</v>
      </c>
      <c r="N493">
        <v>5613.24</v>
      </c>
      <c r="O493" t="s">
        <v>62</v>
      </c>
      <c r="P493" t="s">
        <v>56</v>
      </c>
      <c r="Q493">
        <f t="shared" si="21"/>
        <v>1</v>
      </c>
      <c r="R493" t="str">
        <f t="shared" si="22"/>
        <v>49+ months</v>
      </c>
      <c r="S493" t="str">
        <f t="shared" si="23"/>
        <v>&gt; $100</v>
      </c>
    </row>
    <row r="494" spans="1:19" x14ac:dyDescent="0.35">
      <c r="A494" t="s">
        <v>558</v>
      </c>
      <c r="B494">
        <v>39</v>
      </c>
      <c r="C494" t="s">
        <v>55</v>
      </c>
      <c r="D494" t="s">
        <v>56</v>
      </c>
      <c r="E494" t="s">
        <v>55</v>
      </c>
      <c r="F494">
        <v>16</v>
      </c>
      <c r="G494" t="s">
        <v>55</v>
      </c>
      <c r="H494" t="s">
        <v>60</v>
      </c>
      <c r="I494" t="s">
        <v>30</v>
      </c>
      <c r="J494" t="s">
        <v>13</v>
      </c>
      <c r="K494" t="s">
        <v>55</v>
      </c>
      <c r="L494" t="s">
        <v>1066</v>
      </c>
      <c r="M494">
        <v>108.3</v>
      </c>
      <c r="N494">
        <v>1752.27</v>
      </c>
      <c r="O494" t="s">
        <v>66</v>
      </c>
      <c r="P494" t="s">
        <v>55</v>
      </c>
      <c r="Q494">
        <f t="shared" si="21"/>
        <v>0</v>
      </c>
      <c r="R494" t="str">
        <f t="shared" si="22"/>
        <v>13-24 months</v>
      </c>
      <c r="S494" t="str">
        <f t="shared" si="23"/>
        <v>&gt; $100</v>
      </c>
    </row>
    <row r="495" spans="1:19" x14ac:dyDescent="0.35">
      <c r="A495" t="s">
        <v>559</v>
      </c>
      <c r="B495">
        <v>59</v>
      </c>
      <c r="C495" t="s">
        <v>55</v>
      </c>
      <c r="D495" t="s">
        <v>55</v>
      </c>
      <c r="E495" t="s">
        <v>55</v>
      </c>
      <c r="F495">
        <v>61</v>
      </c>
      <c r="G495" t="s">
        <v>55</v>
      </c>
      <c r="H495" t="s">
        <v>60</v>
      </c>
      <c r="I495" t="s">
        <v>29</v>
      </c>
      <c r="J495" t="s">
        <v>14</v>
      </c>
      <c r="K495" t="s">
        <v>55</v>
      </c>
      <c r="L495" t="s">
        <v>26</v>
      </c>
      <c r="M495">
        <v>58.19</v>
      </c>
      <c r="N495">
        <v>3388.66</v>
      </c>
      <c r="O495" t="s">
        <v>62</v>
      </c>
      <c r="P495" t="s">
        <v>55</v>
      </c>
      <c r="Q495">
        <f t="shared" si="21"/>
        <v>0</v>
      </c>
      <c r="R495" t="str">
        <f t="shared" si="22"/>
        <v>49+ months</v>
      </c>
      <c r="S495" t="str">
        <f t="shared" si="23"/>
        <v>$50-$75</v>
      </c>
    </row>
    <row r="496" spans="1:19" x14ac:dyDescent="0.35">
      <c r="A496" t="s">
        <v>560</v>
      </c>
      <c r="B496">
        <v>58</v>
      </c>
      <c r="C496" t="s">
        <v>55</v>
      </c>
      <c r="D496" t="s">
        <v>56</v>
      </c>
      <c r="E496" t="s">
        <v>56</v>
      </c>
      <c r="F496">
        <v>13</v>
      </c>
      <c r="G496" t="s">
        <v>56</v>
      </c>
      <c r="H496" t="s">
        <v>55</v>
      </c>
      <c r="I496" t="s">
        <v>29</v>
      </c>
      <c r="J496" t="s">
        <v>12</v>
      </c>
      <c r="K496" t="s">
        <v>56</v>
      </c>
      <c r="L496" t="s">
        <v>24</v>
      </c>
      <c r="M496">
        <v>67.17</v>
      </c>
      <c r="N496">
        <v>836.82</v>
      </c>
      <c r="O496" t="s">
        <v>80</v>
      </c>
      <c r="P496" t="s">
        <v>55</v>
      </c>
      <c r="Q496">
        <f t="shared" si="21"/>
        <v>0</v>
      </c>
      <c r="R496" t="str">
        <f t="shared" si="22"/>
        <v>13-24 months</v>
      </c>
      <c r="S496" t="str">
        <f t="shared" si="23"/>
        <v>$50-$75</v>
      </c>
    </row>
    <row r="497" spans="1:19" x14ac:dyDescent="0.35">
      <c r="A497" t="s">
        <v>561</v>
      </c>
      <c r="B497">
        <v>66</v>
      </c>
      <c r="C497" t="s">
        <v>56</v>
      </c>
      <c r="D497" t="s">
        <v>56</v>
      </c>
      <c r="E497" t="s">
        <v>55</v>
      </c>
      <c r="F497">
        <v>60</v>
      </c>
      <c r="G497" t="s">
        <v>55</v>
      </c>
      <c r="H497" t="s">
        <v>60</v>
      </c>
      <c r="I497" t="s">
        <v>30</v>
      </c>
      <c r="J497" t="s">
        <v>12</v>
      </c>
      <c r="K497" t="s">
        <v>55</v>
      </c>
      <c r="L497" t="s">
        <v>24</v>
      </c>
      <c r="M497">
        <v>110.47</v>
      </c>
      <c r="N497">
        <v>6660.44</v>
      </c>
      <c r="O497" t="s">
        <v>66</v>
      </c>
      <c r="P497" t="s">
        <v>56</v>
      </c>
      <c r="Q497">
        <f t="shared" si="21"/>
        <v>1</v>
      </c>
      <c r="R497" t="str">
        <f t="shared" si="22"/>
        <v>49+ months</v>
      </c>
      <c r="S497" t="str">
        <f t="shared" si="23"/>
        <v>&gt; $100</v>
      </c>
    </row>
    <row r="498" spans="1:19" x14ac:dyDescent="0.35">
      <c r="A498" t="s">
        <v>562</v>
      </c>
      <c r="B498">
        <v>20</v>
      </c>
      <c r="C498" t="s">
        <v>55</v>
      </c>
      <c r="D498" t="s">
        <v>55</v>
      </c>
      <c r="E498" t="s">
        <v>56</v>
      </c>
      <c r="F498">
        <v>50</v>
      </c>
      <c r="G498" t="s">
        <v>55</v>
      </c>
      <c r="H498" t="s">
        <v>60</v>
      </c>
      <c r="I498" t="s">
        <v>29</v>
      </c>
      <c r="J498" t="s">
        <v>12</v>
      </c>
      <c r="K498" t="s">
        <v>56</v>
      </c>
      <c r="L498" t="s">
        <v>26</v>
      </c>
      <c r="M498">
        <v>62.27</v>
      </c>
      <c r="N498">
        <v>3248.14</v>
      </c>
      <c r="O498" t="s">
        <v>69</v>
      </c>
      <c r="P498" t="s">
        <v>56</v>
      </c>
      <c r="Q498">
        <f t="shared" si="21"/>
        <v>1</v>
      </c>
      <c r="R498" t="str">
        <f t="shared" si="22"/>
        <v>49+ months</v>
      </c>
      <c r="S498" t="str">
        <f t="shared" si="23"/>
        <v>$50-$75</v>
      </c>
    </row>
    <row r="499" spans="1:19" x14ac:dyDescent="0.35">
      <c r="A499" t="s">
        <v>563</v>
      </c>
      <c r="B499">
        <v>28</v>
      </c>
      <c r="C499" t="s">
        <v>55</v>
      </c>
      <c r="D499" t="s">
        <v>55</v>
      </c>
      <c r="E499" t="s">
        <v>55</v>
      </c>
      <c r="F499">
        <v>18</v>
      </c>
      <c r="G499" t="s">
        <v>55</v>
      </c>
      <c r="H499" t="s">
        <v>60</v>
      </c>
      <c r="I499" t="s">
        <v>30</v>
      </c>
      <c r="J499" t="s">
        <v>12</v>
      </c>
      <c r="K499" t="s">
        <v>56</v>
      </c>
      <c r="L499" t="s">
        <v>24</v>
      </c>
      <c r="M499">
        <v>94.53</v>
      </c>
      <c r="N499">
        <v>1712.52</v>
      </c>
      <c r="O499" t="s">
        <v>64</v>
      </c>
      <c r="P499" t="s">
        <v>55</v>
      </c>
      <c r="Q499">
        <f t="shared" si="21"/>
        <v>0</v>
      </c>
      <c r="R499" t="str">
        <f t="shared" si="22"/>
        <v>13-24 months</v>
      </c>
      <c r="S499" t="str">
        <f t="shared" si="23"/>
        <v>$76-$100</v>
      </c>
    </row>
    <row r="500" spans="1:19" x14ac:dyDescent="0.35">
      <c r="A500" t="s">
        <v>564</v>
      </c>
      <c r="B500">
        <v>48</v>
      </c>
      <c r="C500" t="s">
        <v>55</v>
      </c>
      <c r="D500" t="s">
        <v>56</v>
      </c>
      <c r="E500" t="s">
        <v>56</v>
      </c>
      <c r="F500">
        <v>51</v>
      </c>
      <c r="G500" t="s">
        <v>55</v>
      </c>
      <c r="H500" t="s">
        <v>60</v>
      </c>
      <c r="I500" t="s">
        <v>30</v>
      </c>
      <c r="J500" t="s">
        <v>13</v>
      </c>
      <c r="K500" t="s">
        <v>55</v>
      </c>
      <c r="L500" t="s">
        <v>1066</v>
      </c>
      <c r="M500">
        <v>84.22</v>
      </c>
      <c r="N500">
        <v>4069.17</v>
      </c>
      <c r="O500" t="s">
        <v>62</v>
      </c>
      <c r="P500" t="s">
        <v>55</v>
      </c>
      <c r="Q500">
        <f t="shared" si="21"/>
        <v>0</v>
      </c>
      <c r="R500" t="str">
        <f t="shared" si="22"/>
        <v>49+ months</v>
      </c>
      <c r="S500" t="str">
        <f t="shared" si="23"/>
        <v>$76-$100</v>
      </c>
    </row>
    <row r="501" spans="1:19" x14ac:dyDescent="0.35">
      <c r="A501" t="s">
        <v>565</v>
      </c>
      <c r="B501">
        <v>71</v>
      </c>
      <c r="C501" t="s">
        <v>56</v>
      </c>
      <c r="D501" t="s">
        <v>55</v>
      </c>
      <c r="E501" t="s">
        <v>55</v>
      </c>
      <c r="F501">
        <v>4</v>
      </c>
      <c r="G501" t="s">
        <v>55</v>
      </c>
      <c r="H501" t="s">
        <v>60</v>
      </c>
      <c r="I501" t="s">
        <v>29</v>
      </c>
      <c r="J501" t="s">
        <v>12</v>
      </c>
      <c r="K501" t="s">
        <v>55</v>
      </c>
      <c r="L501" t="s">
        <v>26</v>
      </c>
      <c r="M501">
        <v>54.29</v>
      </c>
      <c r="N501">
        <v>213.28</v>
      </c>
      <c r="O501" t="s">
        <v>62</v>
      </c>
      <c r="P501" t="s">
        <v>55</v>
      </c>
      <c r="Q501">
        <f t="shared" si="21"/>
        <v>0</v>
      </c>
      <c r="R501" t="str">
        <f t="shared" si="22"/>
        <v>0-12 months</v>
      </c>
      <c r="S501" t="str">
        <f t="shared" si="23"/>
        <v>$50-$75</v>
      </c>
    </row>
    <row r="502" spans="1:19" x14ac:dyDescent="0.35">
      <c r="A502" t="s">
        <v>566</v>
      </c>
      <c r="B502">
        <v>33</v>
      </c>
      <c r="C502" t="s">
        <v>55</v>
      </c>
      <c r="D502" t="s">
        <v>55</v>
      </c>
      <c r="E502" t="s">
        <v>56</v>
      </c>
      <c r="F502">
        <v>9</v>
      </c>
      <c r="G502" t="s">
        <v>56</v>
      </c>
      <c r="H502" t="s">
        <v>56</v>
      </c>
      <c r="I502" t="s">
        <v>31</v>
      </c>
      <c r="J502" t="s">
        <v>12</v>
      </c>
      <c r="K502" t="s">
        <v>55</v>
      </c>
      <c r="L502" t="s">
        <v>26</v>
      </c>
      <c r="M502">
        <v>25.89</v>
      </c>
      <c r="N502">
        <v>230.84</v>
      </c>
      <c r="O502" t="s">
        <v>64</v>
      </c>
      <c r="P502" t="s">
        <v>55</v>
      </c>
      <c r="Q502">
        <f t="shared" si="21"/>
        <v>0</v>
      </c>
      <c r="R502" t="str">
        <f t="shared" si="22"/>
        <v>0-12 months</v>
      </c>
      <c r="S502" t="str">
        <f t="shared" si="23"/>
        <v>&lt; $50</v>
      </c>
    </row>
    <row r="503" spans="1:19" x14ac:dyDescent="0.35">
      <c r="A503" t="s">
        <v>567</v>
      </c>
      <c r="B503">
        <v>35</v>
      </c>
      <c r="C503" t="s">
        <v>55</v>
      </c>
      <c r="D503" t="s">
        <v>56</v>
      </c>
      <c r="E503" t="s">
        <v>55</v>
      </c>
      <c r="F503">
        <v>3</v>
      </c>
      <c r="G503" t="s">
        <v>55</v>
      </c>
      <c r="H503" t="s">
        <v>60</v>
      </c>
      <c r="I503" t="s">
        <v>31</v>
      </c>
      <c r="J503" t="s">
        <v>13</v>
      </c>
      <c r="K503" t="s">
        <v>55</v>
      </c>
      <c r="L503" t="s">
        <v>24</v>
      </c>
      <c r="M503">
        <v>27.7</v>
      </c>
      <c r="N503">
        <v>79.11</v>
      </c>
      <c r="O503" t="s">
        <v>76</v>
      </c>
      <c r="P503" t="s">
        <v>55</v>
      </c>
      <c r="Q503">
        <f t="shared" si="21"/>
        <v>0</v>
      </c>
      <c r="R503" t="str">
        <f t="shared" si="22"/>
        <v>0-12 months</v>
      </c>
      <c r="S503" t="str">
        <f t="shared" si="23"/>
        <v>&lt; $50</v>
      </c>
    </row>
    <row r="504" spans="1:19" x14ac:dyDescent="0.35">
      <c r="A504" t="s">
        <v>568</v>
      </c>
      <c r="B504">
        <v>49</v>
      </c>
      <c r="C504" t="s">
        <v>55</v>
      </c>
      <c r="D504" t="s">
        <v>55</v>
      </c>
      <c r="E504" t="s">
        <v>56</v>
      </c>
      <c r="F504">
        <v>39</v>
      </c>
      <c r="G504" t="s">
        <v>55</v>
      </c>
      <c r="H504" t="s">
        <v>60</v>
      </c>
      <c r="I504" t="s">
        <v>30</v>
      </c>
      <c r="J504" t="s">
        <v>12</v>
      </c>
      <c r="K504" t="s">
        <v>56</v>
      </c>
      <c r="L504" t="s">
        <v>1066</v>
      </c>
      <c r="M504">
        <v>96.79</v>
      </c>
      <c r="N504">
        <v>3678.49</v>
      </c>
      <c r="O504" t="s">
        <v>58</v>
      </c>
      <c r="P504" t="s">
        <v>56</v>
      </c>
      <c r="Q504">
        <f t="shared" si="21"/>
        <v>1</v>
      </c>
      <c r="R504" t="str">
        <f t="shared" si="22"/>
        <v>25-48 months</v>
      </c>
      <c r="S504" t="str">
        <f t="shared" si="23"/>
        <v>$76-$100</v>
      </c>
    </row>
    <row r="505" spans="1:19" x14ac:dyDescent="0.35">
      <c r="A505" t="s">
        <v>569</v>
      </c>
      <c r="B505">
        <v>43</v>
      </c>
      <c r="C505" t="s">
        <v>55</v>
      </c>
      <c r="D505" t="s">
        <v>56</v>
      </c>
      <c r="E505" t="s">
        <v>56</v>
      </c>
      <c r="F505">
        <v>13</v>
      </c>
      <c r="G505" t="s">
        <v>55</v>
      </c>
      <c r="H505" t="s">
        <v>60</v>
      </c>
      <c r="I505" t="s">
        <v>29</v>
      </c>
      <c r="J505" t="s">
        <v>12</v>
      </c>
      <c r="K505" t="s">
        <v>55</v>
      </c>
      <c r="L505" t="s">
        <v>24</v>
      </c>
      <c r="M505">
        <v>53.89</v>
      </c>
      <c r="N505">
        <v>664.98</v>
      </c>
      <c r="O505" t="s">
        <v>58</v>
      </c>
      <c r="P505" t="s">
        <v>55</v>
      </c>
      <c r="Q505">
        <f t="shared" si="21"/>
        <v>0</v>
      </c>
      <c r="R505" t="str">
        <f t="shared" si="22"/>
        <v>13-24 months</v>
      </c>
      <c r="S505" t="str">
        <f t="shared" si="23"/>
        <v>$50-$75</v>
      </c>
    </row>
    <row r="506" spans="1:19" x14ac:dyDescent="0.35">
      <c r="A506" t="s">
        <v>570</v>
      </c>
      <c r="B506">
        <v>69</v>
      </c>
      <c r="C506" t="s">
        <v>56</v>
      </c>
      <c r="D506" t="s">
        <v>55</v>
      </c>
      <c r="E506" t="s">
        <v>55</v>
      </c>
      <c r="F506">
        <v>70</v>
      </c>
      <c r="G506" t="s">
        <v>55</v>
      </c>
      <c r="H506" t="s">
        <v>60</v>
      </c>
      <c r="I506" t="s">
        <v>30</v>
      </c>
      <c r="J506" t="s">
        <v>12</v>
      </c>
      <c r="K506" t="s">
        <v>55</v>
      </c>
      <c r="L506" t="s">
        <v>1066</v>
      </c>
      <c r="M506">
        <v>97.38</v>
      </c>
      <c r="N506">
        <v>7128.17</v>
      </c>
      <c r="O506" t="s">
        <v>58</v>
      </c>
      <c r="P506" t="s">
        <v>55</v>
      </c>
      <c r="Q506">
        <f t="shared" si="21"/>
        <v>0</v>
      </c>
      <c r="R506" t="str">
        <f t="shared" si="22"/>
        <v>49+ months</v>
      </c>
      <c r="S506" t="str">
        <f t="shared" si="23"/>
        <v>$76-$100</v>
      </c>
    </row>
    <row r="507" spans="1:19" x14ac:dyDescent="0.35">
      <c r="A507" t="s">
        <v>571</v>
      </c>
      <c r="B507">
        <v>73</v>
      </c>
      <c r="C507" t="s">
        <v>56</v>
      </c>
      <c r="D507" t="s">
        <v>56</v>
      </c>
      <c r="E507" t="s">
        <v>55</v>
      </c>
      <c r="F507">
        <v>28</v>
      </c>
      <c r="G507" t="s">
        <v>55</v>
      </c>
      <c r="H507" t="s">
        <v>60</v>
      </c>
      <c r="I507" t="s">
        <v>29</v>
      </c>
      <c r="J507" t="s">
        <v>12</v>
      </c>
      <c r="K507" t="s">
        <v>55</v>
      </c>
      <c r="L507" t="s">
        <v>25</v>
      </c>
      <c r="M507">
        <v>69.06</v>
      </c>
      <c r="N507">
        <v>1831.55</v>
      </c>
      <c r="O507" t="s">
        <v>64</v>
      </c>
      <c r="P507" t="s">
        <v>56</v>
      </c>
      <c r="Q507">
        <f t="shared" si="21"/>
        <v>1</v>
      </c>
      <c r="R507" t="str">
        <f t="shared" si="22"/>
        <v>25-48 months</v>
      </c>
      <c r="S507" t="str">
        <f t="shared" si="23"/>
        <v>$50-$75</v>
      </c>
    </row>
    <row r="508" spans="1:19" x14ac:dyDescent="0.35">
      <c r="A508" t="s">
        <v>572</v>
      </c>
      <c r="B508">
        <v>27</v>
      </c>
      <c r="C508" t="s">
        <v>55</v>
      </c>
      <c r="D508" t="s">
        <v>56</v>
      </c>
      <c r="E508" t="s">
        <v>56</v>
      </c>
      <c r="F508">
        <v>39</v>
      </c>
      <c r="G508" t="s">
        <v>55</v>
      </c>
      <c r="H508" t="s">
        <v>60</v>
      </c>
      <c r="I508" t="s">
        <v>31</v>
      </c>
      <c r="J508" t="s">
        <v>12</v>
      </c>
      <c r="K508" t="s">
        <v>56</v>
      </c>
      <c r="L508" t="s">
        <v>1066</v>
      </c>
      <c r="M508">
        <v>28.15</v>
      </c>
      <c r="N508">
        <v>1067.1500000000001</v>
      </c>
      <c r="O508" t="s">
        <v>62</v>
      </c>
      <c r="P508" t="s">
        <v>55</v>
      </c>
      <c r="Q508">
        <f t="shared" si="21"/>
        <v>0</v>
      </c>
      <c r="R508" t="str">
        <f t="shared" si="22"/>
        <v>25-48 months</v>
      </c>
      <c r="S508" t="str">
        <f t="shared" si="23"/>
        <v>&lt; $50</v>
      </c>
    </row>
    <row r="509" spans="1:19" x14ac:dyDescent="0.35">
      <c r="A509" t="s">
        <v>573</v>
      </c>
      <c r="B509">
        <v>34</v>
      </c>
      <c r="C509" t="s">
        <v>55</v>
      </c>
      <c r="D509" t="s">
        <v>56</v>
      </c>
      <c r="E509" t="s">
        <v>55</v>
      </c>
      <c r="F509">
        <v>31</v>
      </c>
      <c r="G509" t="s">
        <v>56</v>
      </c>
      <c r="H509" t="s">
        <v>56</v>
      </c>
      <c r="I509" t="s">
        <v>30</v>
      </c>
      <c r="J509" t="s">
        <v>13</v>
      </c>
      <c r="K509" t="s">
        <v>55</v>
      </c>
      <c r="L509" t="s">
        <v>24</v>
      </c>
      <c r="M509">
        <v>97.99</v>
      </c>
      <c r="N509">
        <v>3014.41</v>
      </c>
      <c r="O509" t="s">
        <v>80</v>
      </c>
      <c r="P509" t="s">
        <v>55</v>
      </c>
      <c r="Q509">
        <f t="shared" si="21"/>
        <v>0</v>
      </c>
      <c r="R509" t="str">
        <f t="shared" si="22"/>
        <v>25-48 months</v>
      </c>
      <c r="S509" t="str">
        <f t="shared" si="23"/>
        <v>$76-$100</v>
      </c>
    </row>
    <row r="510" spans="1:19" x14ac:dyDescent="0.35">
      <c r="A510" t="s">
        <v>574</v>
      </c>
      <c r="B510">
        <v>30</v>
      </c>
      <c r="C510" t="s">
        <v>55</v>
      </c>
      <c r="D510" t="s">
        <v>56</v>
      </c>
      <c r="E510" t="s">
        <v>55</v>
      </c>
      <c r="F510">
        <v>18</v>
      </c>
      <c r="G510" t="s">
        <v>55</v>
      </c>
      <c r="H510" t="s">
        <v>60</v>
      </c>
      <c r="I510" t="s">
        <v>30</v>
      </c>
      <c r="J510" t="s">
        <v>13</v>
      </c>
      <c r="K510" t="s">
        <v>56</v>
      </c>
      <c r="L510" t="s">
        <v>1066</v>
      </c>
      <c r="M510">
        <v>72.11</v>
      </c>
      <c r="N510">
        <v>1332.63</v>
      </c>
      <c r="O510" t="s">
        <v>80</v>
      </c>
      <c r="P510" t="s">
        <v>55</v>
      </c>
      <c r="Q510">
        <f t="shared" si="21"/>
        <v>0</v>
      </c>
      <c r="R510" t="str">
        <f t="shared" si="22"/>
        <v>13-24 months</v>
      </c>
      <c r="S510" t="str">
        <f t="shared" si="23"/>
        <v>$50-$75</v>
      </c>
    </row>
    <row r="511" spans="1:19" x14ac:dyDescent="0.35">
      <c r="A511" t="s">
        <v>575</v>
      </c>
      <c r="B511">
        <v>73</v>
      </c>
      <c r="C511" t="s">
        <v>56</v>
      </c>
      <c r="D511" t="s">
        <v>56</v>
      </c>
      <c r="E511" t="s">
        <v>55</v>
      </c>
      <c r="F511">
        <v>39</v>
      </c>
      <c r="G511" t="s">
        <v>55</v>
      </c>
      <c r="H511" t="s">
        <v>60</v>
      </c>
      <c r="I511" t="s">
        <v>31</v>
      </c>
      <c r="J511" t="s">
        <v>14</v>
      </c>
      <c r="K511" t="s">
        <v>56</v>
      </c>
      <c r="L511" t="s">
        <v>24</v>
      </c>
      <c r="M511">
        <v>28.08</v>
      </c>
      <c r="N511">
        <v>1140.1600000000001</v>
      </c>
      <c r="O511" t="s">
        <v>58</v>
      </c>
      <c r="P511" t="s">
        <v>55</v>
      </c>
      <c r="Q511">
        <f t="shared" si="21"/>
        <v>0</v>
      </c>
      <c r="R511" t="str">
        <f t="shared" si="22"/>
        <v>25-48 months</v>
      </c>
      <c r="S511" t="str">
        <f t="shared" si="23"/>
        <v>&lt; $50</v>
      </c>
    </row>
    <row r="512" spans="1:19" x14ac:dyDescent="0.35">
      <c r="A512" t="s">
        <v>576</v>
      </c>
      <c r="B512">
        <v>65</v>
      </c>
      <c r="C512" t="s">
        <v>56</v>
      </c>
      <c r="D512" t="s">
        <v>56</v>
      </c>
      <c r="E512" t="s">
        <v>55</v>
      </c>
      <c r="F512">
        <v>64</v>
      </c>
      <c r="G512" t="s">
        <v>56</v>
      </c>
      <c r="H512" t="s">
        <v>55</v>
      </c>
      <c r="I512" t="s">
        <v>31</v>
      </c>
      <c r="J512" t="s">
        <v>13</v>
      </c>
      <c r="K512" t="s">
        <v>55</v>
      </c>
      <c r="L512" t="s">
        <v>26</v>
      </c>
      <c r="M512">
        <v>25.01</v>
      </c>
      <c r="N512">
        <v>1579.5</v>
      </c>
      <c r="O512" t="s">
        <v>62</v>
      </c>
      <c r="P512" t="s">
        <v>55</v>
      </c>
      <c r="Q512">
        <f t="shared" si="21"/>
        <v>0</v>
      </c>
      <c r="R512" t="str">
        <f t="shared" si="22"/>
        <v>49+ months</v>
      </c>
      <c r="S512" t="str">
        <f t="shared" si="23"/>
        <v>&lt; $50</v>
      </c>
    </row>
    <row r="513" spans="1:19" x14ac:dyDescent="0.35">
      <c r="A513" t="s">
        <v>577</v>
      </c>
      <c r="B513">
        <v>45</v>
      </c>
      <c r="C513" t="s">
        <v>55</v>
      </c>
      <c r="D513" t="s">
        <v>56</v>
      </c>
      <c r="E513" t="s">
        <v>56</v>
      </c>
      <c r="F513">
        <v>14</v>
      </c>
      <c r="G513" t="s">
        <v>55</v>
      </c>
      <c r="H513" t="s">
        <v>60</v>
      </c>
      <c r="I513" t="s">
        <v>30</v>
      </c>
      <c r="J513" t="s">
        <v>12</v>
      </c>
      <c r="K513" t="s">
        <v>55</v>
      </c>
      <c r="L513" t="s">
        <v>25</v>
      </c>
      <c r="M513">
        <v>72.8</v>
      </c>
      <c r="N513">
        <v>1023.29</v>
      </c>
      <c r="O513" t="s">
        <v>80</v>
      </c>
      <c r="P513" t="s">
        <v>55</v>
      </c>
      <c r="Q513">
        <f t="shared" si="21"/>
        <v>0</v>
      </c>
      <c r="R513" t="str">
        <f t="shared" si="22"/>
        <v>13-24 months</v>
      </c>
      <c r="S513" t="str">
        <f t="shared" si="23"/>
        <v>$50-$75</v>
      </c>
    </row>
    <row r="514" spans="1:19" x14ac:dyDescent="0.35">
      <c r="A514" t="s">
        <v>578</v>
      </c>
      <c r="B514">
        <v>38</v>
      </c>
      <c r="C514" t="s">
        <v>55</v>
      </c>
      <c r="D514" t="s">
        <v>55</v>
      </c>
      <c r="E514" t="s">
        <v>55</v>
      </c>
      <c r="F514">
        <v>32</v>
      </c>
      <c r="G514" t="s">
        <v>56</v>
      </c>
      <c r="H514" t="s">
        <v>55</v>
      </c>
      <c r="I514" t="s">
        <v>31</v>
      </c>
      <c r="J514" t="s">
        <v>13</v>
      </c>
      <c r="K514" t="s">
        <v>55</v>
      </c>
      <c r="L514" t="s">
        <v>26</v>
      </c>
      <c r="M514">
        <v>29.6</v>
      </c>
      <c r="N514">
        <v>959.23</v>
      </c>
      <c r="O514" t="s">
        <v>69</v>
      </c>
      <c r="P514" t="s">
        <v>55</v>
      </c>
      <c r="Q514">
        <f t="shared" si="21"/>
        <v>0</v>
      </c>
      <c r="R514" t="str">
        <f t="shared" si="22"/>
        <v>25-48 months</v>
      </c>
      <c r="S514" t="str">
        <f t="shared" si="23"/>
        <v>&lt; $50</v>
      </c>
    </row>
    <row r="515" spans="1:19" x14ac:dyDescent="0.35">
      <c r="A515" t="s">
        <v>579</v>
      </c>
      <c r="B515">
        <v>69</v>
      </c>
      <c r="C515" t="s">
        <v>56</v>
      </c>
      <c r="D515" t="s">
        <v>56</v>
      </c>
      <c r="E515" t="s">
        <v>56</v>
      </c>
      <c r="F515">
        <v>33</v>
      </c>
      <c r="G515" t="s">
        <v>55</v>
      </c>
      <c r="H515" t="s">
        <v>60</v>
      </c>
      <c r="I515" t="s">
        <v>29</v>
      </c>
      <c r="J515" t="s">
        <v>13</v>
      </c>
      <c r="K515" t="s">
        <v>55</v>
      </c>
      <c r="L515" t="s">
        <v>25</v>
      </c>
      <c r="M515">
        <v>67.41</v>
      </c>
      <c r="N515">
        <v>2233.85</v>
      </c>
      <c r="O515" t="s">
        <v>64</v>
      </c>
      <c r="P515" t="s">
        <v>55</v>
      </c>
      <c r="Q515">
        <f t="shared" ref="Q515:Q578" si="24">IF(P515="Yes",1,0)</f>
        <v>0</v>
      </c>
      <c r="R515" t="str">
        <f t="shared" ref="R515:R578" si="25">IF(F515&lt;=12,"0-12 months",IF(F515&lt;=24,"13-24 months",IF(F515&lt;=48,"25-48 months","49+ months")))</f>
        <v>25-48 months</v>
      </c>
      <c r="S515" t="str">
        <f t="shared" ref="S515:S578" si="26">IF(M515&lt;50,"&lt; $50",IF(M515&lt;=75,"$50-$75",IF(M515&lt;=100,"$76-$100","&gt; $100")))</f>
        <v>$50-$75</v>
      </c>
    </row>
    <row r="516" spans="1:19" x14ac:dyDescent="0.35">
      <c r="A516" t="s">
        <v>580</v>
      </c>
      <c r="B516">
        <v>42</v>
      </c>
      <c r="C516" t="s">
        <v>55</v>
      </c>
      <c r="D516" t="s">
        <v>56</v>
      </c>
      <c r="E516" t="s">
        <v>55</v>
      </c>
      <c r="F516">
        <v>33</v>
      </c>
      <c r="G516" t="s">
        <v>56</v>
      </c>
      <c r="H516" t="s">
        <v>56</v>
      </c>
      <c r="I516" t="s">
        <v>30</v>
      </c>
      <c r="J516" t="s">
        <v>14</v>
      </c>
      <c r="K516" t="s">
        <v>56</v>
      </c>
      <c r="L516" t="s">
        <v>25</v>
      </c>
      <c r="M516">
        <v>101.57</v>
      </c>
      <c r="N516">
        <v>3504.44</v>
      </c>
      <c r="O516" t="s">
        <v>64</v>
      </c>
      <c r="P516" t="s">
        <v>55</v>
      </c>
      <c r="Q516">
        <f t="shared" si="24"/>
        <v>0</v>
      </c>
      <c r="R516" t="str">
        <f t="shared" si="25"/>
        <v>25-48 months</v>
      </c>
      <c r="S516" t="str">
        <f t="shared" si="26"/>
        <v>&gt; $100</v>
      </c>
    </row>
    <row r="517" spans="1:19" x14ac:dyDescent="0.35">
      <c r="A517" t="s">
        <v>581</v>
      </c>
      <c r="B517">
        <v>68</v>
      </c>
      <c r="C517" t="s">
        <v>56</v>
      </c>
      <c r="D517" t="s">
        <v>56</v>
      </c>
      <c r="E517" t="s">
        <v>55</v>
      </c>
      <c r="F517">
        <v>11</v>
      </c>
      <c r="G517" t="s">
        <v>55</v>
      </c>
      <c r="H517" t="s">
        <v>60</v>
      </c>
      <c r="I517" t="s">
        <v>31</v>
      </c>
      <c r="J517" t="s">
        <v>12</v>
      </c>
      <c r="K517" t="s">
        <v>55</v>
      </c>
      <c r="L517" t="s">
        <v>25</v>
      </c>
      <c r="M517">
        <v>21.99</v>
      </c>
      <c r="N517">
        <v>239.64</v>
      </c>
      <c r="O517" t="s">
        <v>80</v>
      </c>
      <c r="P517" t="s">
        <v>55</v>
      </c>
      <c r="Q517">
        <f t="shared" si="24"/>
        <v>0</v>
      </c>
      <c r="R517" t="str">
        <f t="shared" si="25"/>
        <v>0-12 months</v>
      </c>
      <c r="S517" t="str">
        <f t="shared" si="26"/>
        <v>&lt; $50</v>
      </c>
    </row>
    <row r="518" spans="1:19" x14ac:dyDescent="0.35">
      <c r="A518" t="s">
        <v>582</v>
      </c>
      <c r="B518">
        <v>70</v>
      </c>
      <c r="C518" t="s">
        <v>56</v>
      </c>
      <c r="D518" t="s">
        <v>56</v>
      </c>
      <c r="E518" t="s">
        <v>55</v>
      </c>
      <c r="F518">
        <v>65</v>
      </c>
      <c r="G518" t="s">
        <v>55</v>
      </c>
      <c r="H518" t="s">
        <v>60</v>
      </c>
      <c r="I518" t="s">
        <v>30</v>
      </c>
      <c r="J518" t="s">
        <v>13</v>
      </c>
      <c r="K518" t="s">
        <v>55</v>
      </c>
      <c r="L518" t="s">
        <v>24</v>
      </c>
      <c r="M518">
        <v>71.37</v>
      </c>
      <c r="N518">
        <v>4389.71</v>
      </c>
      <c r="O518" t="s">
        <v>69</v>
      </c>
      <c r="P518" t="s">
        <v>55</v>
      </c>
      <c r="Q518">
        <f t="shared" si="24"/>
        <v>0</v>
      </c>
      <c r="R518" t="str">
        <f t="shared" si="25"/>
        <v>49+ months</v>
      </c>
      <c r="S518" t="str">
        <f t="shared" si="26"/>
        <v>$50-$75</v>
      </c>
    </row>
    <row r="519" spans="1:19" x14ac:dyDescent="0.35">
      <c r="A519" t="s">
        <v>583</v>
      </c>
      <c r="B519">
        <v>46</v>
      </c>
      <c r="C519" t="s">
        <v>55</v>
      </c>
      <c r="D519" t="s">
        <v>56</v>
      </c>
      <c r="E519" t="s">
        <v>56</v>
      </c>
      <c r="F519">
        <v>52</v>
      </c>
      <c r="G519" t="s">
        <v>55</v>
      </c>
      <c r="H519" t="s">
        <v>60</v>
      </c>
      <c r="I519" t="s">
        <v>30</v>
      </c>
      <c r="J519" t="s">
        <v>12</v>
      </c>
      <c r="K519" t="s">
        <v>56</v>
      </c>
      <c r="L519" t="s">
        <v>26</v>
      </c>
      <c r="M519">
        <v>82.48</v>
      </c>
      <c r="N519">
        <v>4398.88</v>
      </c>
      <c r="O519" t="s">
        <v>69</v>
      </c>
      <c r="P519" t="s">
        <v>55</v>
      </c>
      <c r="Q519">
        <f t="shared" si="24"/>
        <v>0</v>
      </c>
      <c r="R519" t="str">
        <f t="shared" si="25"/>
        <v>49+ months</v>
      </c>
      <c r="S519" t="str">
        <f t="shared" si="26"/>
        <v>$76-$100</v>
      </c>
    </row>
    <row r="520" spans="1:19" x14ac:dyDescent="0.35">
      <c r="A520" t="s">
        <v>584</v>
      </c>
      <c r="B520">
        <v>66</v>
      </c>
      <c r="C520" t="s">
        <v>56</v>
      </c>
      <c r="D520" t="s">
        <v>56</v>
      </c>
      <c r="E520" t="s">
        <v>55</v>
      </c>
      <c r="F520">
        <v>41</v>
      </c>
      <c r="G520" t="s">
        <v>56</v>
      </c>
      <c r="H520" t="s">
        <v>56</v>
      </c>
      <c r="I520" t="s">
        <v>29</v>
      </c>
      <c r="J520" t="s">
        <v>13</v>
      </c>
      <c r="K520" t="s">
        <v>55</v>
      </c>
      <c r="L520" t="s">
        <v>1066</v>
      </c>
      <c r="M520">
        <v>47.95</v>
      </c>
      <c r="N520">
        <v>1945.78</v>
      </c>
      <c r="O520" t="s">
        <v>64</v>
      </c>
      <c r="P520" t="s">
        <v>56</v>
      </c>
      <c r="Q520">
        <f t="shared" si="24"/>
        <v>1</v>
      </c>
      <c r="R520" t="str">
        <f t="shared" si="25"/>
        <v>25-48 months</v>
      </c>
      <c r="S520" t="str">
        <f t="shared" si="26"/>
        <v>&lt; $50</v>
      </c>
    </row>
    <row r="521" spans="1:19" x14ac:dyDescent="0.35">
      <c r="A521" t="s">
        <v>585</v>
      </c>
      <c r="B521">
        <v>71</v>
      </c>
      <c r="C521" t="s">
        <v>56</v>
      </c>
      <c r="D521" t="s">
        <v>56</v>
      </c>
      <c r="E521" t="s">
        <v>56</v>
      </c>
      <c r="F521">
        <v>3</v>
      </c>
      <c r="G521" t="s">
        <v>56</v>
      </c>
      <c r="H521" t="s">
        <v>55</v>
      </c>
      <c r="I521" t="s">
        <v>31</v>
      </c>
      <c r="J521" t="s">
        <v>14</v>
      </c>
      <c r="K521" t="s">
        <v>56</v>
      </c>
      <c r="L521" t="s">
        <v>26</v>
      </c>
      <c r="M521">
        <v>28.22</v>
      </c>
      <c r="N521">
        <v>80.09</v>
      </c>
      <c r="O521" t="s">
        <v>58</v>
      </c>
      <c r="P521" t="s">
        <v>55</v>
      </c>
      <c r="Q521">
        <f t="shared" si="24"/>
        <v>0</v>
      </c>
      <c r="R521" t="str">
        <f t="shared" si="25"/>
        <v>0-12 months</v>
      </c>
      <c r="S521" t="str">
        <f t="shared" si="26"/>
        <v>&lt; $50</v>
      </c>
    </row>
    <row r="522" spans="1:19" x14ac:dyDescent="0.35">
      <c r="A522" t="s">
        <v>586</v>
      </c>
      <c r="B522">
        <v>34</v>
      </c>
      <c r="C522" t="s">
        <v>55</v>
      </c>
      <c r="D522" t="s">
        <v>56</v>
      </c>
      <c r="E522" t="s">
        <v>56</v>
      </c>
      <c r="F522">
        <v>48</v>
      </c>
      <c r="G522" t="s">
        <v>56</v>
      </c>
      <c r="H522" t="s">
        <v>56</v>
      </c>
      <c r="I522" t="s">
        <v>30</v>
      </c>
      <c r="J522" t="s">
        <v>12</v>
      </c>
      <c r="K522" t="s">
        <v>55</v>
      </c>
      <c r="L522" t="s">
        <v>1066</v>
      </c>
      <c r="M522">
        <v>94.71</v>
      </c>
      <c r="N522">
        <v>4395.78</v>
      </c>
      <c r="O522" t="s">
        <v>66</v>
      </c>
      <c r="P522" t="s">
        <v>56</v>
      </c>
      <c r="Q522">
        <f t="shared" si="24"/>
        <v>1</v>
      </c>
      <c r="R522" t="str">
        <f t="shared" si="25"/>
        <v>25-48 months</v>
      </c>
      <c r="S522" t="str">
        <f t="shared" si="26"/>
        <v>$76-$100</v>
      </c>
    </row>
    <row r="523" spans="1:19" x14ac:dyDescent="0.35">
      <c r="A523" t="s">
        <v>587</v>
      </c>
      <c r="B523">
        <v>70</v>
      </c>
      <c r="C523" t="s">
        <v>56</v>
      </c>
      <c r="D523" t="s">
        <v>55</v>
      </c>
      <c r="E523" t="s">
        <v>55</v>
      </c>
      <c r="F523">
        <v>64</v>
      </c>
      <c r="G523" t="s">
        <v>55</v>
      </c>
      <c r="H523" t="s">
        <v>60</v>
      </c>
      <c r="I523" t="s">
        <v>30</v>
      </c>
      <c r="J523" t="s">
        <v>14</v>
      </c>
      <c r="K523" t="s">
        <v>56</v>
      </c>
      <c r="L523" t="s">
        <v>25</v>
      </c>
      <c r="M523">
        <v>84.15</v>
      </c>
      <c r="N523">
        <v>5500.11</v>
      </c>
      <c r="O523" t="s">
        <v>64</v>
      </c>
      <c r="P523" t="s">
        <v>55</v>
      </c>
      <c r="Q523">
        <f t="shared" si="24"/>
        <v>0</v>
      </c>
      <c r="R523" t="str">
        <f t="shared" si="25"/>
        <v>49+ months</v>
      </c>
      <c r="S523" t="str">
        <f t="shared" si="26"/>
        <v>$76-$100</v>
      </c>
    </row>
    <row r="524" spans="1:19" x14ac:dyDescent="0.35">
      <c r="A524" t="s">
        <v>588</v>
      </c>
      <c r="B524">
        <v>68</v>
      </c>
      <c r="C524" t="s">
        <v>56</v>
      </c>
      <c r="D524" t="s">
        <v>56</v>
      </c>
      <c r="E524" t="s">
        <v>56</v>
      </c>
      <c r="F524">
        <v>38</v>
      </c>
      <c r="G524" t="s">
        <v>56</v>
      </c>
      <c r="H524" t="s">
        <v>55</v>
      </c>
      <c r="I524" t="s">
        <v>31</v>
      </c>
      <c r="J524" t="s">
        <v>14</v>
      </c>
      <c r="K524" t="s">
        <v>55</v>
      </c>
      <c r="L524" t="s">
        <v>24</v>
      </c>
      <c r="M524">
        <v>25.77</v>
      </c>
      <c r="N524">
        <v>930.58</v>
      </c>
      <c r="O524" t="s">
        <v>66</v>
      </c>
      <c r="P524" t="s">
        <v>55</v>
      </c>
      <c r="Q524">
        <f t="shared" si="24"/>
        <v>0</v>
      </c>
      <c r="R524" t="str">
        <f t="shared" si="25"/>
        <v>25-48 months</v>
      </c>
      <c r="S524" t="str">
        <f t="shared" si="26"/>
        <v>&lt; $50</v>
      </c>
    </row>
    <row r="525" spans="1:19" x14ac:dyDescent="0.35">
      <c r="A525" t="s">
        <v>589</v>
      </c>
      <c r="B525">
        <v>38</v>
      </c>
      <c r="C525" t="s">
        <v>55</v>
      </c>
      <c r="D525" t="s">
        <v>55</v>
      </c>
      <c r="E525" t="s">
        <v>56</v>
      </c>
      <c r="F525">
        <v>50</v>
      </c>
      <c r="G525" t="s">
        <v>55</v>
      </c>
      <c r="H525" t="s">
        <v>60</v>
      </c>
      <c r="I525" t="s">
        <v>29</v>
      </c>
      <c r="J525" t="s">
        <v>12</v>
      </c>
      <c r="K525" t="s">
        <v>56</v>
      </c>
      <c r="L525" t="s">
        <v>26</v>
      </c>
      <c r="M525">
        <v>77.239999999999995</v>
      </c>
      <c r="N525">
        <v>3848.53</v>
      </c>
      <c r="O525" t="s">
        <v>58</v>
      </c>
      <c r="P525" t="s">
        <v>56</v>
      </c>
      <c r="Q525">
        <f t="shared" si="24"/>
        <v>1</v>
      </c>
      <c r="R525" t="str">
        <f t="shared" si="25"/>
        <v>49+ months</v>
      </c>
      <c r="S525" t="str">
        <f t="shared" si="26"/>
        <v>$76-$100</v>
      </c>
    </row>
    <row r="526" spans="1:19" x14ac:dyDescent="0.35">
      <c r="A526" t="s">
        <v>590</v>
      </c>
      <c r="B526">
        <v>60</v>
      </c>
      <c r="C526" t="s">
        <v>56</v>
      </c>
      <c r="D526" t="s">
        <v>56</v>
      </c>
      <c r="E526" t="s">
        <v>56</v>
      </c>
      <c r="F526">
        <v>33</v>
      </c>
      <c r="G526" t="s">
        <v>55</v>
      </c>
      <c r="H526" t="s">
        <v>60</v>
      </c>
      <c r="I526" t="s">
        <v>29</v>
      </c>
      <c r="J526" t="s">
        <v>12</v>
      </c>
      <c r="K526" t="s">
        <v>55</v>
      </c>
      <c r="L526" t="s">
        <v>1066</v>
      </c>
      <c r="M526">
        <v>45.29</v>
      </c>
      <c r="N526">
        <v>1564.92</v>
      </c>
      <c r="O526" t="s">
        <v>62</v>
      </c>
      <c r="P526" t="s">
        <v>56</v>
      </c>
      <c r="Q526">
        <f t="shared" si="24"/>
        <v>1</v>
      </c>
      <c r="R526" t="str">
        <f t="shared" si="25"/>
        <v>25-48 months</v>
      </c>
      <c r="S526" t="str">
        <f t="shared" si="26"/>
        <v>&lt; $50</v>
      </c>
    </row>
    <row r="527" spans="1:19" x14ac:dyDescent="0.35">
      <c r="A527" t="s">
        <v>591</v>
      </c>
      <c r="B527">
        <v>34</v>
      </c>
      <c r="C527" t="s">
        <v>55</v>
      </c>
      <c r="D527" t="s">
        <v>56</v>
      </c>
      <c r="E527" t="s">
        <v>55</v>
      </c>
      <c r="F527">
        <v>44</v>
      </c>
      <c r="G527" t="s">
        <v>56</v>
      </c>
      <c r="H527" t="s">
        <v>56</v>
      </c>
      <c r="I527" t="s">
        <v>31</v>
      </c>
      <c r="J527" t="s">
        <v>13</v>
      </c>
      <c r="K527" t="s">
        <v>55</v>
      </c>
      <c r="L527" t="s">
        <v>26</v>
      </c>
      <c r="M527">
        <v>19.399999999999999</v>
      </c>
      <c r="N527">
        <v>806.91</v>
      </c>
      <c r="O527" t="s">
        <v>66</v>
      </c>
      <c r="P527" t="s">
        <v>56</v>
      </c>
      <c r="Q527">
        <f t="shared" si="24"/>
        <v>1</v>
      </c>
      <c r="R527" t="str">
        <f t="shared" si="25"/>
        <v>25-48 months</v>
      </c>
      <c r="S527" t="str">
        <f t="shared" si="26"/>
        <v>&lt; $50</v>
      </c>
    </row>
    <row r="528" spans="1:19" x14ac:dyDescent="0.35">
      <c r="A528" t="s">
        <v>592</v>
      </c>
      <c r="B528">
        <v>71</v>
      </c>
      <c r="C528" t="s">
        <v>56</v>
      </c>
      <c r="D528" t="s">
        <v>55</v>
      </c>
      <c r="E528" t="s">
        <v>55</v>
      </c>
      <c r="F528">
        <v>56</v>
      </c>
      <c r="G528" t="s">
        <v>55</v>
      </c>
      <c r="H528" t="s">
        <v>60</v>
      </c>
      <c r="I528" t="s">
        <v>30</v>
      </c>
      <c r="J528" t="s">
        <v>13</v>
      </c>
      <c r="K528" t="s">
        <v>55</v>
      </c>
      <c r="L528" t="s">
        <v>24</v>
      </c>
      <c r="M528">
        <v>91.79</v>
      </c>
      <c r="N528">
        <v>4933.59</v>
      </c>
      <c r="O528" t="s">
        <v>64</v>
      </c>
      <c r="P528" t="s">
        <v>55</v>
      </c>
      <c r="Q528">
        <f t="shared" si="24"/>
        <v>0</v>
      </c>
      <c r="R528" t="str">
        <f t="shared" si="25"/>
        <v>49+ months</v>
      </c>
      <c r="S528" t="str">
        <f t="shared" si="26"/>
        <v>$76-$100</v>
      </c>
    </row>
    <row r="529" spans="1:19" x14ac:dyDescent="0.35">
      <c r="A529" t="s">
        <v>593</v>
      </c>
      <c r="B529">
        <v>66</v>
      </c>
      <c r="C529" t="s">
        <v>56</v>
      </c>
      <c r="D529" t="s">
        <v>56</v>
      </c>
      <c r="E529" t="s">
        <v>55</v>
      </c>
      <c r="F529">
        <v>7</v>
      </c>
      <c r="G529" t="s">
        <v>56</v>
      </c>
      <c r="H529" t="s">
        <v>56</v>
      </c>
      <c r="I529" t="s">
        <v>30</v>
      </c>
      <c r="J529" t="s">
        <v>12</v>
      </c>
      <c r="K529" t="s">
        <v>55</v>
      </c>
      <c r="L529" t="s">
        <v>26</v>
      </c>
      <c r="M529">
        <v>93.36</v>
      </c>
      <c r="N529">
        <v>623.41</v>
      </c>
      <c r="O529" t="s">
        <v>64</v>
      </c>
      <c r="P529" t="s">
        <v>55</v>
      </c>
      <c r="Q529">
        <f t="shared" si="24"/>
        <v>0</v>
      </c>
      <c r="R529" t="str">
        <f t="shared" si="25"/>
        <v>0-12 months</v>
      </c>
      <c r="S529" t="str">
        <f t="shared" si="26"/>
        <v>$76-$100</v>
      </c>
    </row>
    <row r="530" spans="1:19" x14ac:dyDescent="0.35">
      <c r="A530" t="s">
        <v>594</v>
      </c>
      <c r="B530">
        <v>20</v>
      </c>
      <c r="C530" t="s">
        <v>55</v>
      </c>
      <c r="D530" t="s">
        <v>55</v>
      </c>
      <c r="E530" t="s">
        <v>55</v>
      </c>
      <c r="F530">
        <v>72</v>
      </c>
      <c r="G530" t="s">
        <v>55</v>
      </c>
      <c r="H530" t="s">
        <v>60</v>
      </c>
      <c r="I530" t="s">
        <v>29</v>
      </c>
      <c r="J530" t="s">
        <v>12</v>
      </c>
      <c r="K530" t="s">
        <v>56</v>
      </c>
      <c r="L530" t="s">
        <v>26</v>
      </c>
      <c r="M530">
        <v>43.74</v>
      </c>
      <c r="N530">
        <v>3288.42</v>
      </c>
      <c r="O530" t="s">
        <v>62</v>
      </c>
      <c r="P530" t="s">
        <v>56</v>
      </c>
      <c r="Q530">
        <f t="shared" si="24"/>
        <v>1</v>
      </c>
      <c r="R530" t="str">
        <f t="shared" si="25"/>
        <v>49+ months</v>
      </c>
      <c r="S530" t="str">
        <f t="shared" si="26"/>
        <v>&lt; $50</v>
      </c>
    </row>
    <row r="531" spans="1:19" x14ac:dyDescent="0.35">
      <c r="A531" t="s">
        <v>595</v>
      </c>
      <c r="B531">
        <v>65</v>
      </c>
      <c r="C531" t="s">
        <v>56</v>
      </c>
      <c r="D531" t="s">
        <v>55</v>
      </c>
      <c r="E531" t="s">
        <v>56</v>
      </c>
      <c r="F531">
        <v>1</v>
      </c>
      <c r="G531" t="s">
        <v>56</v>
      </c>
      <c r="H531" t="s">
        <v>55</v>
      </c>
      <c r="I531" t="s">
        <v>29</v>
      </c>
      <c r="J531" t="s">
        <v>12</v>
      </c>
      <c r="K531" t="s">
        <v>55</v>
      </c>
      <c r="L531" t="s">
        <v>1066</v>
      </c>
      <c r="M531">
        <v>75.489999999999995</v>
      </c>
      <c r="N531">
        <v>71.2</v>
      </c>
      <c r="O531" t="s">
        <v>69</v>
      </c>
      <c r="P531" t="s">
        <v>55</v>
      </c>
      <c r="Q531">
        <f t="shared" si="24"/>
        <v>0</v>
      </c>
      <c r="R531" t="str">
        <f t="shared" si="25"/>
        <v>0-12 months</v>
      </c>
      <c r="S531" t="str">
        <f t="shared" si="26"/>
        <v>$76-$100</v>
      </c>
    </row>
    <row r="532" spans="1:19" x14ac:dyDescent="0.35">
      <c r="A532" t="s">
        <v>596</v>
      </c>
      <c r="B532">
        <v>25</v>
      </c>
      <c r="C532" t="s">
        <v>55</v>
      </c>
      <c r="D532" t="s">
        <v>55</v>
      </c>
      <c r="E532" t="s">
        <v>55</v>
      </c>
      <c r="F532">
        <v>14</v>
      </c>
      <c r="G532" t="s">
        <v>56</v>
      </c>
      <c r="H532" t="s">
        <v>56</v>
      </c>
      <c r="I532" t="s">
        <v>31</v>
      </c>
      <c r="J532" t="s">
        <v>12</v>
      </c>
      <c r="K532" t="s">
        <v>55</v>
      </c>
      <c r="L532" t="s">
        <v>24</v>
      </c>
      <c r="M532">
        <v>29.46</v>
      </c>
      <c r="N532">
        <v>417.1</v>
      </c>
      <c r="O532" t="s">
        <v>80</v>
      </c>
      <c r="P532" t="s">
        <v>56</v>
      </c>
      <c r="Q532">
        <f t="shared" si="24"/>
        <v>1</v>
      </c>
      <c r="R532" t="str">
        <f t="shared" si="25"/>
        <v>13-24 months</v>
      </c>
      <c r="S532" t="str">
        <f t="shared" si="26"/>
        <v>&lt; $50</v>
      </c>
    </row>
    <row r="533" spans="1:19" x14ac:dyDescent="0.35">
      <c r="A533" t="s">
        <v>597</v>
      </c>
      <c r="B533">
        <v>59</v>
      </c>
      <c r="C533" t="s">
        <v>55</v>
      </c>
      <c r="D533" t="s">
        <v>55</v>
      </c>
      <c r="E533" t="s">
        <v>55</v>
      </c>
      <c r="F533">
        <v>17</v>
      </c>
      <c r="G533" t="s">
        <v>56</v>
      </c>
      <c r="H533" t="s">
        <v>55</v>
      </c>
      <c r="I533" t="s">
        <v>30</v>
      </c>
      <c r="J533" t="s">
        <v>12</v>
      </c>
      <c r="K533" t="s">
        <v>56</v>
      </c>
      <c r="L533" t="s">
        <v>1066</v>
      </c>
      <c r="M533">
        <v>97.36</v>
      </c>
      <c r="N533">
        <v>1675.44</v>
      </c>
      <c r="O533" t="s">
        <v>76</v>
      </c>
      <c r="P533" t="s">
        <v>56</v>
      </c>
      <c r="Q533">
        <f t="shared" si="24"/>
        <v>1</v>
      </c>
      <c r="R533" t="str">
        <f t="shared" si="25"/>
        <v>13-24 months</v>
      </c>
      <c r="S533" t="str">
        <f t="shared" si="26"/>
        <v>$76-$100</v>
      </c>
    </row>
    <row r="534" spans="1:19" x14ac:dyDescent="0.35">
      <c r="A534" t="s">
        <v>598</v>
      </c>
      <c r="B534">
        <v>29</v>
      </c>
      <c r="C534" t="s">
        <v>55</v>
      </c>
      <c r="D534" t="s">
        <v>56</v>
      </c>
      <c r="E534" t="s">
        <v>55</v>
      </c>
      <c r="F534">
        <v>12</v>
      </c>
      <c r="G534" t="s">
        <v>56</v>
      </c>
      <c r="H534" t="s">
        <v>56</v>
      </c>
      <c r="I534" t="s">
        <v>30</v>
      </c>
      <c r="J534" t="s">
        <v>13</v>
      </c>
      <c r="K534" t="s">
        <v>55</v>
      </c>
      <c r="L534" t="s">
        <v>1066</v>
      </c>
      <c r="M534">
        <v>117.72</v>
      </c>
      <c r="N534">
        <v>1354.01</v>
      </c>
      <c r="O534" t="s">
        <v>66</v>
      </c>
      <c r="P534" t="s">
        <v>56</v>
      </c>
      <c r="Q534">
        <f t="shared" si="24"/>
        <v>1</v>
      </c>
      <c r="R534" t="str">
        <f t="shared" si="25"/>
        <v>0-12 months</v>
      </c>
      <c r="S534" t="str">
        <f t="shared" si="26"/>
        <v>&gt; $100</v>
      </c>
    </row>
    <row r="535" spans="1:19" x14ac:dyDescent="0.35">
      <c r="A535" t="s">
        <v>599</v>
      </c>
      <c r="B535">
        <v>45</v>
      </c>
      <c r="C535" t="s">
        <v>55</v>
      </c>
      <c r="D535" t="s">
        <v>55</v>
      </c>
      <c r="E535" t="s">
        <v>56</v>
      </c>
      <c r="F535">
        <v>46</v>
      </c>
      <c r="G535" t="s">
        <v>55</v>
      </c>
      <c r="H535" t="s">
        <v>60</v>
      </c>
      <c r="I535" t="s">
        <v>29</v>
      </c>
      <c r="J535" t="s">
        <v>12</v>
      </c>
      <c r="K535" t="s">
        <v>55</v>
      </c>
      <c r="L535" t="s">
        <v>24</v>
      </c>
      <c r="M535">
        <v>55.52</v>
      </c>
      <c r="N535">
        <v>2482.9699999999998</v>
      </c>
      <c r="O535" t="s">
        <v>80</v>
      </c>
      <c r="P535" t="s">
        <v>55</v>
      </c>
      <c r="Q535">
        <f t="shared" si="24"/>
        <v>0</v>
      </c>
      <c r="R535" t="str">
        <f t="shared" si="25"/>
        <v>25-48 months</v>
      </c>
      <c r="S535" t="str">
        <f t="shared" si="26"/>
        <v>$50-$75</v>
      </c>
    </row>
    <row r="536" spans="1:19" x14ac:dyDescent="0.35">
      <c r="A536" t="s">
        <v>600</v>
      </c>
      <c r="B536">
        <v>66</v>
      </c>
      <c r="C536" t="s">
        <v>56</v>
      </c>
      <c r="D536" t="s">
        <v>55</v>
      </c>
      <c r="E536" t="s">
        <v>55</v>
      </c>
      <c r="F536">
        <v>24</v>
      </c>
      <c r="G536" t="s">
        <v>55</v>
      </c>
      <c r="H536" t="s">
        <v>60</v>
      </c>
      <c r="I536" t="s">
        <v>30</v>
      </c>
      <c r="J536" t="s">
        <v>12</v>
      </c>
      <c r="K536" t="s">
        <v>55</v>
      </c>
      <c r="L536" t="s">
        <v>25</v>
      </c>
      <c r="M536">
        <v>103.82</v>
      </c>
      <c r="N536">
        <v>2535.8200000000002</v>
      </c>
      <c r="O536" t="s">
        <v>64</v>
      </c>
      <c r="P536" t="s">
        <v>55</v>
      </c>
      <c r="Q536">
        <f t="shared" si="24"/>
        <v>0</v>
      </c>
      <c r="R536" t="str">
        <f t="shared" si="25"/>
        <v>13-24 months</v>
      </c>
      <c r="S536" t="str">
        <f t="shared" si="26"/>
        <v>&gt; $100</v>
      </c>
    </row>
    <row r="537" spans="1:19" x14ac:dyDescent="0.35">
      <c r="A537" t="s">
        <v>601</v>
      </c>
      <c r="B537">
        <v>51</v>
      </c>
      <c r="C537" t="s">
        <v>55</v>
      </c>
      <c r="D537" t="s">
        <v>56</v>
      </c>
      <c r="E537" t="s">
        <v>55</v>
      </c>
      <c r="F537">
        <v>60</v>
      </c>
      <c r="G537" t="s">
        <v>55</v>
      </c>
      <c r="H537" t="s">
        <v>60</v>
      </c>
      <c r="I537" t="s">
        <v>30</v>
      </c>
      <c r="J537" t="s">
        <v>12</v>
      </c>
      <c r="K537" t="s">
        <v>56</v>
      </c>
      <c r="L537" t="s">
        <v>1066</v>
      </c>
      <c r="M537">
        <v>85.02</v>
      </c>
      <c r="N537">
        <v>4947.34</v>
      </c>
      <c r="O537" t="s">
        <v>58</v>
      </c>
      <c r="P537" t="s">
        <v>55</v>
      </c>
      <c r="Q537">
        <f t="shared" si="24"/>
        <v>0</v>
      </c>
      <c r="R537" t="str">
        <f t="shared" si="25"/>
        <v>49+ months</v>
      </c>
      <c r="S537" t="str">
        <f t="shared" si="26"/>
        <v>$76-$100</v>
      </c>
    </row>
    <row r="538" spans="1:19" x14ac:dyDescent="0.35">
      <c r="A538" t="s">
        <v>602</v>
      </c>
      <c r="B538">
        <v>21</v>
      </c>
      <c r="C538" t="s">
        <v>55</v>
      </c>
      <c r="D538" t="s">
        <v>56</v>
      </c>
      <c r="E538" t="s">
        <v>56</v>
      </c>
      <c r="F538">
        <v>66</v>
      </c>
      <c r="G538" t="s">
        <v>55</v>
      </c>
      <c r="H538" t="s">
        <v>60</v>
      </c>
      <c r="I538" t="s">
        <v>30</v>
      </c>
      <c r="J538" t="s">
        <v>12</v>
      </c>
      <c r="K538" t="s">
        <v>55</v>
      </c>
      <c r="L538" t="s">
        <v>1066</v>
      </c>
      <c r="M538">
        <v>98.42</v>
      </c>
      <c r="N538">
        <v>6303.48</v>
      </c>
      <c r="O538" t="s">
        <v>80</v>
      </c>
      <c r="P538" t="s">
        <v>56</v>
      </c>
      <c r="Q538">
        <f t="shared" si="24"/>
        <v>1</v>
      </c>
      <c r="R538" t="str">
        <f t="shared" si="25"/>
        <v>49+ months</v>
      </c>
      <c r="S538" t="str">
        <f t="shared" si="26"/>
        <v>$76-$100</v>
      </c>
    </row>
    <row r="539" spans="1:19" x14ac:dyDescent="0.35">
      <c r="A539" t="s">
        <v>603</v>
      </c>
      <c r="B539">
        <v>67</v>
      </c>
      <c r="C539" t="s">
        <v>56</v>
      </c>
      <c r="D539" t="s">
        <v>56</v>
      </c>
      <c r="E539" t="s">
        <v>56</v>
      </c>
      <c r="F539">
        <v>60</v>
      </c>
      <c r="G539" t="s">
        <v>56</v>
      </c>
      <c r="H539" t="s">
        <v>55</v>
      </c>
      <c r="I539" t="s">
        <v>30</v>
      </c>
      <c r="J539" t="s">
        <v>12</v>
      </c>
      <c r="K539" t="s">
        <v>55</v>
      </c>
      <c r="L539" t="s">
        <v>25</v>
      </c>
      <c r="M539">
        <v>84.88</v>
      </c>
      <c r="N539">
        <v>5146.1000000000004</v>
      </c>
      <c r="O539" t="s">
        <v>69</v>
      </c>
      <c r="P539" t="s">
        <v>55</v>
      </c>
      <c r="Q539">
        <f t="shared" si="24"/>
        <v>0</v>
      </c>
      <c r="R539" t="str">
        <f t="shared" si="25"/>
        <v>49+ months</v>
      </c>
      <c r="S539" t="str">
        <f t="shared" si="26"/>
        <v>$76-$100</v>
      </c>
    </row>
    <row r="540" spans="1:19" x14ac:dyDescent="0.35">
      <c r="A540" t="s">
        <v>604</v>
      </c>
      <c r="B540">
        <v>46</v>
      </c>
      <c r="C540" t="s">
        <v>55</v>
      </c>
      <c r="D540" t="s">
        <v>55</v>
      </c>
      <c r="E540" t="s">
        <v>55</v>
      </c>
      <c r="F540">
        <v>24</v>
      </c>
      <c r="G540" t="s">
        <v>56</v>
      </c>
      <c r="H540" t="s">
        <v>55</v>
      </c>
      <c r="I540" t="s">
        <v>30</v>
      </c>
      <c r="J540" t="s">
        <v>13</v>
      </c>
      <c r="K540" t="s">
        <v>56</v>
      </c>
      <c r="L540" t="s">
        <v>24</v>
      </c>
      <c r="M540">
        <v>70.900000000000006</v>
      </c>
      <c r="N540">
        <v>1680.15</v>
      </c>
      <c r="O540" t="s">
        <v>69</v>
      </c>
      <c r="P540" t="s">
        <v>56</v>
      </c>
      <c r="Q540">
        <f t="shared" si="24"/>
        <v>1</v>
      </c>
      <c r="R540" t="str">
        <f t="shared" si="25"/>
        <v>13-24 months</v>
      </c>
      <c r="S540" t="str">
        <f t="shared" si="26"/>
        <v>$50-$75</v>
      </c>
    </row>
    <row r="541" spans="1:19" x14ac:dyDescent="0.35">
      <c r="A541" t="s">
        <v>605</v>
      </c>
      <c r="B541">
        <v>48</v>
      </c>
      <c r="C541" t="s">
        <v>55</v>
      </c>
      <c r="D541" t="s">
        <v>55</v>
      </c>
      <c r="E541" t="s">
        <v>55</v>
      </c>
      <c r="F541">
        <v>63</v>
      </c>
      <c r="G541" t="s">
        <v>55</v>
      </c>
      <c r="H541" t="s">
        <v>60</v>
      </c>
      <c r="I541" t="s">
        <v>30</v>
      </c>
      <c r="J541" t="s">
        <v>13</v>
      </c>
      <c r="K541" t="s">
        <v>55</v>
      </c>
      <c r="L541" t="s">
        <v>1066</v>
      </c>
      <c r="M541">
        <v>74.38</v>
      </c>
      <c r="N541">
        <v>4480.76</v>
      </c>
      <c r="O541" t="s">
        <v>66</v>
      </c>
      <c r="P541" t="s">
        <v>56</v>
      </c>
      <c r="Q541">
        <f t="shared" si="24"/>
        <v>1</v>
      </c>
      <c r="R541" t="str">
        <f t="shared" si="25"/>
        <v>49+ months</v>
      </c>
      <c r="S541" t="str">
        <f t="shared" si="26"/>
        <v>$50-$75</v>
      </c>
    </row>
    <row r="542" spans="1:19" x14ac:dyDescent="0.35">
      <c r="A542" t="s">
        <v>606</v>
      </c>
      <c r="B542">
        <v>19</v>
      </c>
      <c r="C542" t="s">
        <v>55</v>
      </c>
      <c r="D542" t="s">
        <v>56</v>
      </c>
      <c r="E542" t="s">
        <v>56</v>
      </c>
      <c r="F542">
        <v>27</v>
      </c>
      <c r="G542" t="s">
        <v>56</v>
      </c>
      <c r="H542" t="s">
        <v>55</v>
      </c>
      <c r="I542" t="s">
        <v>29</v>
      </c>
      <c r="J542" t="s">
        <v>12</v>
      </c>
      <c r="K542" t="s">
        <v>56</v>
      </c>
      <c r="L542" t="s">
        <v>26</v>
      </c>
      <c r="M542">
        <v>70.790000000000006</v>
      </c>
      <c r="N542">
        <v>1830.63</v>
      </c>
      <c r="O542" t="s">
        <v>80</v>
      </c>
      <c r="P542" t="s">
        <v>55</v>
      </c>
      <c r="Q542">
        <f t="shared" si="24"/>
        <v>0</v>
      </c>
      <c r="R542" t="str">
        <f t="shared" si="25"/>
        <v>25-48 months</v>
      </c>
      <c r="S542" t="str">
        <f t="shared" si="26"/>
        <v>$50-$75</v>
      </c>
    </row>
    <row r="543" spans="1:19" x14ac:dyDescent="0.35">
      <c r="A543" t="s">
        <v>607</v>
      </c>
      <c r="B543">
        <v>28</v>
      </c>
      <c r="C543" t="s">
        <v>55</v>
      </c>
      <c r="D543" t="s">
        <v>56</v>
      </c>
      <c r="E543" t="s">
        <v>55</v>
      </c>
      <c r="F543">
        <v>63</v>
      </c>
      <c r="G543" t="s">
        <v>55</v>
      </c>
      <c r="H543" t="s">
        <v>60</v>
      </c>
      <c r="I543" t="s">
        <v>29</v>
      </c>
      <c r="J543" t="s">
        <v>13</v>
      </c>
      <c r="K543" t="s">
        <v>56</v>
      </c>
      <c r="L543" t="s">
        <v>26</v>
      </c>
      <c r="M543">
        <v>73.180000000000007</v>
      </c>
      <c r="N543">
        <v>4550.4399999999996</v>
      </c>
      <c r="O543" t="s">
        <v>80</v>
      </c>
      <c r="P543" t="s">
        <v>55</v>
      </c>
      <c r="Q543">
        <f t="shared" si="24"/>
        <v>0</v>
      </c>
      <c r="R543" t="str">
        <f t="shared" si="25"/>
        <v>49+ months</v>
      </c>
      <c r="S543" t="str">
        <f t="shared" si="26"/>
        <v>$50-$75</v>
      </c>
    </row>
    <row r="544" spans="1:19" x14ac:dyDescent="0.35">
      <c r="A544" t="s">
        <v>608</v>
      </c>
      <c r="B544">
        <v>58</v>
      </c>
      <c r="C544" t="s">
        <v>55</v>
      </c>
      <c r="D544" t="s">
        <v>55</v>
      </c>
      <c r="E544" t="s">
        <v>55</v>
      </c>
      <c r="F544">
        <v>64</v>
      </c>
      <c r="G544" t="s">
        <v>55</v>
      </c>
      <c r="H544" t="s">
        <v>60</v>
      </c>
      <c r="I544" t="s">
        <v>29</v>
      </c>
      <c r="J544" t="s">
        <v>12</v>
      </c>
      <c r="K544" t="s">
        <v>55</v>
      </c>
      <c r="L544" t="s">
        <v>24</v>
      </c>
      <c r="M544">
        <v>63.64</v>
      </c>
      <c r="N544">
        <v>4127.45</v>
      </c>
      <c r="O544" t="s">
        <v>66</v>
      </c>
      <c r="P544" t="s">
        <v>55</v>
      </c>
      <c r="Q544">
        <f t="shared" si="24"/>
        <v>0</v>
      </c>
      <c r="R544" t="str">
        <f t="shared" si="25"/>
        <v>49+ months</v>
      </c>
      <c r="S544" t="str">
        <f t="shared" si="26"/>
        <v>$50-$75</v>
      </c>
    </row>
    <row r="545" spans="1:19" x14ac:dyDescent="0.35">
      <c r="A545" t="s">
        <v>609</v>
      </c>
      <c r="B545">
        <v>73</v>
      </c>
      <c r="C545" t="s">
        <v>56</v>
      </c>
      <c r="D545" t="s">
        <v>55</v>
      </c>
      <c r="E545" t="s">
        <v>56</v>
      </c>
      <c r="F545">
        <v>8</v>
      </c>
      <c r="G545" t="s">
        <v>55</v>
      </c>
      <c r="H545" t="s">
        <v>60</v>
      </c>
      <c r="I545" t="s">
        <v>29</v>
      </c>
      <c r="J545" t="s">
        <v>13</v>
      </c>
      <c r="K545" t="s">
        <v>56</v>
      </c>
      <c r="L545" t="s">
        <v>26</v>
      </c>
      <c r="M545">
        <v>65.930000000000007</v>
      </c>
      <c r="N545">
        <v>552.07000000000005</v>
      </c>
      <c r="O545" t="s">
        <v>58</v>
      </c>
      <c r="P545" t="s">
        <v>56</v>
      </c>
      <c r="Q545">
        <f t="shared" si="24"/>
        <v>1</v>
      </c>
      <c r="R545" t="str">
        <f t="shared" si="25"/>
        <v>0-12 months</v>
      </c>
      <c r="S545" t="str">
        <f t="shared" si="26"/>
        <v>$50-$75</v>
      </c>
    </row>
    <row r="546" spans="1:19" x14ac:dyDescent="0.35">
      <c r="A546" t="s">
        <v>610</v>
      </c>
      <c r="B546">
        <v>59</v>
      </c>
      <c r="C546" t="s">
        <v>55</v>
      </c>
      <c r="D546" t="s">
        <v>55</v>
      </c>
      <c r="E546" t="s">
        <v>55</v>
      </c>
      <c r="F546">
        <v>56</v>
      </c>
      <c r="G546" t="s">
        <v>55</v>
      </c>
      <c r="H546" t="s">
        <v>60</v>
      </c>
      <c r="I546" t="s">
        <v>30</v>
      </c>
      <c r="J546" t="s">
        <v>13</v>
      </c>
      <c r="K546" t="s">
        <v>55</v>
      </c>
      <c r="L546" t="s">
        <v>26</v>
      </c>
      <c r="M546">
        <v>81.61</v>
      </c>
      <c r="N546">
        <v>4416.4399999999996</v>
      </c>
      <c r="O546" t="s">
        <v>76</v>
      </c>
      <c r="P546" t="s">
        <v>55</v>
      </c>
      <c r="Q546">
        <f t="shared" si="24"/>
        <v>0</v>
      </c>
      <c r="R546" t="str">
        <f t="shared" si="25"/>
        <v>49+ months</v>
      </c>
      <c r="S546" t="str">
        <f t="shared" si="26"/>
        <v>$76-$100</v>
      </c>
    </row>
    <row r="547" spans="1:19" x14ac:dyDescent="0.35">
      <c r="A547" t="s">
        <v>611</v>
      </c>
      <c r="B547">
        <v>56</v>
      </c>
      <c r="C547" t="s">
        <v>55</v>
      </c>
      <c r="D547" t="s">
        <v>55</v>
      </c>
      <c r="E547" t="s">
        <v>56</v>
      </c>
      <c r="F547">
        <v>38</v>
      </c>
      <c r="G547" t="s">
        <v>55</v>
      </c>
      <c r="H547" t="s">
        <v>60</v>
      </c>
      <c r="I547" t="s">
        <v>29</v>
      </c>
      <c r="J547" t="s">
        <v>14</v>
      </c>
      <c r="K547" t="s">
        <v>55</v>
      </c>
      <c r="L547" t="s">
        <v>1066</v>
      </c>
      <c r="M547">
        <v>71.989999999999995</v>
      </c>
      <c r="N547">
        <v>2848.72</v>
      </c>
      <c r="O547" t="s">
        <v>76</v>
      </c>
      <c r="P547" t="s">
        <v>55</v>
      </c>
      <c r="Q547">
        <f t="shared" si="24"/>
        <v>0</v>
      </c>
      <c r="R547" t="str">
        <f t="shared" si="25"/>
        <v>25-48 months</v>
      </c>
      <c r="S547" t="str">
        <f t="shared" si="26"/>
        <v>$50-$75</v>
      </c>
    </row>
    <row r="548" spans="1:19" x14ac:dyDescent="0.35">
      <c r="A548" t="s">
        <v>612</v>
      </c>
      <c r="B548">
        <v>62</v>
      </c>
      <c r="C548" t="s">
        <v>56</v>
      </c>
      <c r="D548" t="s">
        <v>56</v>
      </c>
      <c r="E548" t="s">
        <v>55</v>
      </c>
      <c r="F548">
        <v>17</v>
      </c>
      <c r="G548" t="s">
        <v>56</v>
      </c>
      <c r="H548" t="s">
        <v>55</v>
      </c>
      <c r="I548" t="s">
        <v>30</v>
      </c>
      <c r="J548" t="s">
        <v>12</v>
      </c>
      <c r="K548" t="s">
        <v>55</v>
      </c>
      <c r="L548" t="s">
        <v>25</v>
      </c>
      <c r="M548">
        <v>94.69</v>
      </c>
      <c r="N548">
        <v>1558.49</v>
      </c>
      <c r="O548" t="s">
        <v>80</v>
      </c>
      <c r="P548" t="s">
        <v>55</v>
      </c>
      <c r="Q548">
        <f t="shared" si="24"/>
        <v>0</v>
      </c>
      <c r="R548" t="str">
        <f t="shared" si="25"/>
        <v>13-24 months</v>
      </c>
      <c r="S548" t="str">
        <f t="shared" si="26"/>
        <v>$76-$100</v>
      </c>
    </row>
    <row r="549" spans="1:19" x14ac:dyDescent="0.35">
      <c r="A549" t="s">
        <v>613</v>
      </c>
      <c r="B549">
        <v>40</v>
      </c>
      <c r="C549" t="s">
        <v>55</v>
      </c>
      <c r="D549" t="s">
        <v>55</v>
      </c>
      <c r="E549" t="s">
        <v>55</v>
      </c>
      <c r="F549">
        <v>21</v>
      </c>
      <c r="G549" t="s">
        <v>56</v>
      </c>
      <c r="H549" t="s">
        <v>55</v>
      </c>
      <c r="I549" t="s">
        <v>30</v>
      </c>
      <c r="J549" t="s">
        <v>12</v>
      </c>
      <c r="K549" t="s">
        <v>56</v>
      </c>
      <c r="L549" t="s">
        <v>1066</v>
      </c>
      <c r="M549">
        <v>76.03</v>
      </c>
      <c r="N549">
        <v>1543.77</v>
      </c>
      <c r="O549" t="s">
        <v>76</v>
      </c>
      <c r="P549" t="s">
        <v>56</v>
      </c>
      <c r="Q549">
        <f t="shared" si="24"/>
        <v>1</v>
      </c>
      <c r="R549" t="str">
        <f t="shared" si="25"/>
        <v>13-24 months</v>
      </c>
      <c r="S549" t="str">
        <f t="shared" si="26"/>
        <v>$76-$100</v>
      </c>
    </row>
    <row r="550" spans="1:19" x14ac:dyDescent="0.35">
      <c r="A550" t="s">
        <v>614</v>
      </c>
      <c r="B550">
        <v>68</v>
      </c>
      <c r="C550" t="s">
        <v>56</v>
      </c>
      <c r="D550" t="s">
        <v>55</v>
      </c>
      <c r="E550" t="s">
        <v>56</v>
      </c>
      <c r="F550">
        <v>72</v>
      </c>
      <c r="G550" t="s">
        <v>56</v>
      </c>
      <c r="H550" t="s">
        <v>55</v>
      </c>
      <c r="I550" t="s">
        <v>30</v>
      </c>
      <c r="J550" t="s">
        <v>14</v>
      </c>
      <c r="K550" t="s">
        <v>56</v>
      </c>
      <c r="L550" t="s">
        <v>1066</v>
      </c>
      <c r="M550">
        <v>116.33</v>
      </c>
      <c r="N550">
        <v>8313.27</v>
      </c>
      <c r="O550" t="s">
        <v>66</v>
      </c>
      <c r="P550" t="s">
        <v>55</v>
      </c>
      <c r="Q550">
        <f t="shared" si="24"/>
        <v>0</v>
      </c>
      <c r="R550" t="str">
        <f t="shared" si="25"/>
        <v>49+ months</v>
      </c>
      <c r="S550" t="str">
        <f t="shared" si="26"/>
        <v>&gt; $100</v>
      </c>
    </row>
    <row r="551" spans="1:19" x14ac:dyDescent="0.35">
      <c r="A551" t="s">
        <v>615</v>
      </c>
      <c r="B551">
        <v>66</v>
      </c>
      <c r="C551" t="s">
        <v>56</v>
      </c>
      <c r="D551" t="s">
        <v>56</v>
      </c>
      <c r="E551" t="s">
        <v>56</v>
      </c>
      <c r="F551">
        <v>14</v>
      </c>
      <c r="G551" t="s">
        <v>56</v>
      </c>
      <c r="H551" t="s">
        <v>55</v>
      </c>
      <c r="I551" t="s">
        <v>31</v>
      </c>
      <c r="J551" t="s">
        <v>12</v>
      </c>
      <c r="K551" t="s">
        <v>56</v>
      </c>
      <c r="L551" t="s">
        <v>25</v>
      </c>
      <c r="M551">
        <v>28.93</v>
      </c>
      <c r="N551">
        <v>388.35</v>
      </c>
      <c r="O551" t="s">
        <v>64</v>
      </c>
      <c r="P551" t="s">
        <v>56</v>
      </c>
      <c r="Q551">
        <f t="shared" si="24"/>
        <v>1</v>
      </c>
      <c r="R551" t="str">
        <f t="shared" si="25"/>
        <v>13-24 months</v>
      </c>
      <c r="S551" t="str">
        <f t="shared" si="26"/>
        <v>&lt; $50</v>
      </c>
    </row>
    <row r="552" spans="1:19" x14ac:dyDescent="0.35">
      <c r="A552" t="s">
        <v>616</v>
      </c>
      <c r="B552">
        <v>66</v>
      </c>
      <c r="C552" t="s">
        <v>56</v>
      </c>
      <c r="D552" t="s">
        <v>55</v>
      </c>
      <c r="E552" t="s">
        <v>56</v>
      </c>
      <c r="F552">
        <v>20</v>
      </c>
      <c r="G552" t="s">
        <v>55</v>
      </c>
      <c r="H552" t="s">
        <v>60</v>
      </c>
      <c r="I552" t="s">
        <v>29</v>
      </c>
      <c r="J552" t="s">
        <v>14</v>
      </c>
      <c r="K552" t="s">
        <v>56</v>
      </c>
      <c r="L552" t="s">
        <v>1066</v>
      </c>
      <c r="M552">
        <v>57.56</v>
      </c>
      <c r="N552">
        <v>1139.56</v>
      </c>
      <c r="O552" t="s">
        <v>62</v>
      </c>
      <c r="P552" t="s">
        <v>55</v>
      </c>
      <c r="Q552">
        <f t="shared" si="24"/>
        <v>0</v>
      </c>
      <c r="R552" t="str">
        <f t="shared" si="25"/>
        <v>13-24 months</v>
      </c>
      <c r="S552" t="str">
        <f t="shared" si="26"/>
        <v>$50-$75</v>
      </c>
    </row>
    <row r="553" spans="1:19" x14ac:dyDescent="0.35">
      <c r="A553" t="s">
        <v>617</v>
      </c>
      <c r="B553">
        <v>71</v>
      </c>
      <c r="C553" t="s">
        <v>56</v>
      </c>
      <c r="D553" t="s">
        <v>55</v>
      </c>
      <c r="E553" t="s">
        <v>55</v>
      </c>
      <c r="F553">
        <v>37</v>
      </c>
      <c r="G553" t="s">
        <v>56</v>
      </c>
      <c r="H553" t="s">
        <v>56</v>
      </c>
      <c r="I553" t="s">
        <v>29</v>
      </c>
      <c r="J553" t="s">
        <v>13</v>
      </c>
      <c r="K553" t="s">
        <v>55</v>
      </c>
      <c r="L553" t="s">
        <v>24</v>
      </c>
      <c r="M553">
        <v>66.599999999999994</v>
      </c>
      <c r="N553">
        <v>2361.1799999999998</v>
      </c>
      <c r="O553" t="s">
        <v>64</v>
      </c>
      <c r="P553" t="s">
        <v>55</v>
      </c>
      <c r="Q553">
        <f t="shared" si="24"/>
        <v>0</v>
      </c>
      <c r="R553" t="str">
        <f t="shared" si="25"/>
        <v>25-48 months</v>
      </c>
      <c r="S553" t="str">
        <f t="shared" si="26"/>
        <v>$50-$75</v>
      </c>
    </row>
    <row r="554" spans="1:19" x14ac:dyDescent="0.35">
      <c r="A554" t="s">
        <v>618</v>
      </c>
      <c r="B554">
        <v>68</v>
      </c>
      <c r="C554" t="s">
        <v>56</v>
      </c>
      <c r="D554" t="s">
        <v>56</v>
      </c>
      <c r="E554" t="s">
        <v>56</v>
      </c>
      <c r="F554">
        <v>55</v>
      </c>
      <c r="G554" t="s">
        <v>55</v>
      </c>
      <c r="H554" t="s">
        <v>60</v>
      </c>
      <c r="I554" t="s">
        <v>30</v>
      </c>
      <c r="J554" t="s">
        <v>14</v>
      </c>
      <c r="K554" t="s">
        <v>55</v>
      </c>
      <c r="L554" t="s">
        <v>25</v>
      </c>
      <c r="M554">
        <v>92.13</v>
      </c>
      <c r="N554">
        <v>5231.42</v>
      </c>
      <c r="O554" t="s">
        <v>58</v>
      </c>
      <c r="P554" t="s">
        <v>55</v>
      </c>
      <c r="Q554">
        <f t="shared" si="24"/>
        <v>0</v>
      </c>
      <c r="R554" t="str">
        <f t="shared" si="25"/>
        <v>49+ months</v>
      </c>
      <c r="S554" t="str">
        <f t="shared" si="26"/>
        <v>$76-$100</v>
      </c>
    </row>
    <row r="555" spans="1:19" x14ac:dyDescent="0.35">
      <c r="A555" t="s">
        <v>619</v>
      </c>
      <c r="B555">
        <v>22</v>
      </c>
      <c r="C555" t="s">
        <v>55</v>
      </c>
      <c r="D555" t="s">
        <v>56</v>
      </c>
      <c r="E555" t="s">
        <v>55</v>
      </c>
      <c r="F555">
        <v>41</v>
      </c>
      <c r="G555" t="s">
        <v>56</v>
      </c>
      <c r="H555" t="s">
        <v>55</v>
      </c>
      <c r="I555" t="s">
        <v>30</v>
      </c>
      <c r="J555" t="s">
        <v>12</v>
      </c>
      <c r="K555" t="s">
        <v>56</v>
      </c>
      <c r="L555" t="s">
        <v>1066</v>
      </c>
      <c r="M555">
        <v>102.07</v>
      </c>
      <c r="N555">
        <v>4387</v>
      </c>
      <c r="O555" t="s">
        <v>69</v>
      </c>
      <c r="P555" t="s">
        <v>56</v>
      </c>
      <c r="Q555">
        <f t="shared" si="24"/>
        <v>1</v>
      </c>
      <c r="R555" t="str">
        <f t="shared" si="25"/>
        <v>25-48 months</v>
      </c>
      <c r="S555" t="str">
        <f t="shared" si="26"/>
        <v>&gt; $100</v>
      </c>
    </row>
    <row r="556" spans="1:19" x14ac:dyDescent="0.35">
      <c r="A556" t="s">
        <v>620</v>
      </c>
      <c r="B556">
        <v>63</v>
      </c>
      <c r="C556" t="s">
        <v>56</v>
      </c>
      <c r="D556" t="s">
        <v>55</v>
      </c>
      <c r="E556" t="s">
        <v>55</v>
      </c>
      <c r="F556">
        <v>52</v>
      </c>
      <c r="G556" t="s">
        <v>55</v>
      </c>
      <c r="H556" t="s">
        <v>60</v>
      </c>
      <c r="I556" t="s">
        <v>31</v>
      </c>
      <c r="J556" t="s">
        <v>13</v>
      </c>
      <c r="K556" t="s">
        <v>55</v>
      </c>
      <c r="L556" t="s">
        <v>25</v>
      </c>
      <c r="M556">
        <v>18.09</v>
      </c>
      <c r="N556">
        <v>915.82</v>
      </c>
      <c r="O556" t="s">
        <v>62</v>
      </c>
      <c r="P556" t="s">
        <v>55</v>
      </c>
      <c r="Q556">
        <f t="shared" si="24"/>
        <v>0</v>
      </c>
      <c r="R556" t="str">
        <f t="shared" si="25"/>
        <v>49+ months</v>
      </c>
      <c r="S556" t="str">
        <f t="shared" si="26"/>
        <v>&lt; $50</v>
      </c>
    </row>
    <row r="557" spans="1:19" x14ac:dyDescent="0.35">
      <c r="A557" t="s">
        <v>621</v>
      </c>
      <c r="B557">
        <v>62</v>
      </c>
      <c r="C557" t="s">
        <v>56</v>
      </c>
      <c r="D557" t="s">
        <v>55</v>
      </c>
      <c r="E557" t="s">
        <v>55</v>
      </c>
      <c r="F557">
        <v>27</v>
      </c>
      <c r="G557" t="s">
        <v>55</v>
      </c>
      <c r="H557" t="s">
        <v>60</v>
      </c>
      <c r="I557" t="s">
        <v>31</v>
      </c>
      <c r="J557" t="s">
        <v>13</v>
      </c>
      <c r="K557" t="s">
        <v>55</v>
      </c>
      <c r="L557" t="s">
        <v>1066</v>
      </c>
      <c r="M557">
        <v>28.57</v>
      </c>
      <c r="N557">
        <v>732.91</v>
      </c>
      <c r="O557" t="s">
        <v>64</v>
      </c>
      <c r="P557" t="s">
        <v>55</v>
      </c>
      <c r="Q557">
        <f t="shared" si="24"/>
        <v>0</v>
      </c>
      <c r="R557" t="str">
        <f t="shared" si="25"/>
        <v>25-48 months</v>
      </c>
      <c r="S557" t="str">
        <f t="shared" si="26"/>
        <v>&lt; $50</v>
      </c>
    </row>
    <row r="558" spans="1:19" x14ac:dyDescent="0.35">
      <c r="A558" t="s">
        <v>622</v>
      </c>
      <c r="B558">
        <v>64</v>
      </c>
      <c r="C558" t="s">
        <v>56</v>
      </c>
      <c r="D558" t="s">
        <v>56</v>
      </c>
      <c r="E558" t="s">
        <v>55</v>
      </c>
      <c r="F558">
        <v>28</v>
      </c>
      <c r="G558" t="s">
        <v>55</v>
      </c>
      <c r="H558" t="s">
        <v>60</v>
      </c>
      <c r="I558" t="s">
        <v>30</v>
      </c>
      <c r="J558" t="s">
        <v>12</v>
      </c>
      <c r="K558" t="s">
        <v>56</v>
      </c>
      <c r="L558" t="s">
        <v>26</v>
      </c>
      <c r="M558">
        <v>114.52</v>
      </c>
      <c r="N558">
        <v>3221.93</v>
      </c>
      <c r="O558" t="s">
        <v>66</v>
      </c>
      <c r="P558" t="s">
        <v>56</v>
      </c>
      <c r="Q558">
        <f t="shared" si="24"/>
        <v>1</v>
      </c>
      <c r="R558" t="str">
        <f t="shared" si="25"/>
        <v>25-48 months</v>
      </c>
      <c r="S558" t="str">
        <f t="shared" si="26"/>
        <v>&gt; $100</v>
      </c>
    </row>
    <row r="559" spans="1:19" x14ac:dyDescent="0.35">
      <c r="A559" t="s">
        <v>623</v>
      </c>
      <c r="B559">
        <v>67</v>
      </c>
      <c r="C559" t="s">
        <v>56</v>
      </c>
      <c r="D559" t="s">
        <v>55</v>
      </c>
      <c r="E559" t="s">
        <v>55</v>
      </c>
      <c r="F559">
        <v>65</v>
      </c>
      <c r="G559" t="s">
        <v>56</v>
      </c>
      <c r="H559" t="s">
        <v>55</v>
      </c>
      <c r="I559" t="s">
        <v>30</v>
      </c>
      <c r="J559" t="s">
        <v>12</v>
      </c>
      <c r="K559" t="s">
        <v>55</v>
      </c>
      <c r="L559" t="s">
        <v>26</v>
      </c>
      <c r="M559">
        <v>107.83</v>
      </c>
      <c r="N559">
        <v>7380.15</v>
      </c>
      <c r="O559" t="s">
        <v>58</v>
      </c>
      <c r="P559" t="s">
        <v>56</v>
      </c>
      <c r="Q559">
        <f t="shared" si="24"/>
        <v>1</v>
      </c>
      <c r="R559" t="str">
        <f t="shared" si="25"/>
        <v>49+ months</v>
      </c>
      <c r="S559" t="str">
        <f t="shared" si="26"/>
        <v>&gt; $100</v>
      </c>
    </row>
    <row r="560" spans="1:19" x14ac:dyDescent="0.35">
      <c r="A560" t="s">
        <v>624</v>
      </c>
      <c r="B560">
        <v>65</v>
      </c>
      <c r="C560" t="s">
        <v>56</v>
      </c>
      <c r="D560" t="s">
        <v>56</v>
      </c>
      <c r="E560" t="s">
        <v>55</v>
      </c>
      <c r="F560">
        <v>44</v>
      </c>
      <c r="G560" t="s">
        <v>56</v>
      </c>
      <c r="H560" t="s">
        <v>55</v>
      </c>
      <c r="I560" t="s">
        <v>31</v>
      </c>
      <c r="J560" t="s">
        <v>12</v>
      </c>
      <c r="K560" t="s">
        <v>56</v>
      </c>
      <c r="L560" t="s">
        <v>1066</v>
      </c>
      <c r="M560">
        <v>24.24</v>
      </c>
      <c r="N560">
        <v>1034.26</v>
      </c>
      <c r="O560" t="s">
        <v>58</v>
      </c>
      <c r="P560" t="s">
        <v>56</v>
      </c>
      <c r="Q560">
        <f t="shared" si="24"/>
        <v>1</v>
      </c>
      <c r="R560" t="str">
        <f t="shared" si="25"/>
        <v>25-48 months</v>
      </c>
      <c r="S560" t="str">
        <f t="shared" si="26"/>
        <v>&lt; $50</v>
      </c>
    </row>
    <row r="561" spans="1:19" x14ac:dyDescent="0.35">
      <c r="A561" t="s">
        <v>625</v>
      </c>
      <c r="B561">
        <v>30</v>
      </c>
      <c r="C561" t="s">
        <v>55</v>
      </c>
      <c r="D561" t="s">
        <v>55</v>
      </c>
      <c r="E561" t="s">
        <v>55</v>
      </c>
      <c r="F561">
        <v>13</v>
      </c>
      <c r="G561" t="s">
        <v>55</v>
      </c>
      <c r="H561" t="s">
        <v>60</v>
      </c>
      <c r="I561" t="s">
        <v>30</v>
      </c>
      <c r="J561" t="s">
        <v>14</v>
      </c>
      <c r="K561" t="s">
        <v>56</v>
      </c>
      <c r="L561" t="s">
        <v>26</v>
      </c>
      <c r="M561">
        <v>91.24</v>
      </c>
      <c r="N561">
        <v>1133.47</v>
      </c>
      <c r="O561" t="s">
        <v>80</v>
      </c>
      <c r="P561" t="s">
        <v>56</v>
      </c>
      <c r="Q561">
        <f t="shared" si="24"/>
        <v>1</v>
      </c>
      <c r="R561" t="str">
        <f t="shared" si="25"/>
        <v>13-24 months</v>
      </c>
      <c r="S561" t="str">
        <f t="shared" si="26"/>
        <v>$76-$100</v>
      </c>
    </row>
    <row r="562" spans="1:19" x14ac:dyDescent="0.35">
      <c r="A562" t="s">
        <v>626</v>
      </c>
      <c r="B562">
        <v>41</v>
      </c>
      <c r="C562" t="s">
        <v>55</v>
      </c>
      <c r="D562" t="s">
        <v>55</v>
      </c>
      <c r="E562" t="s">
        <v>55</v>
      </c>
      <c r="F562">
        <v>34</v>
      </c>
      <c r="G562" t="s">
        <v>55</v>
      </c>
      <c r="H562" t="s">
        <v>60</v>
      </c>
      <c r="I562" t="s">
        <v>29</v>
      </c>
      <c r="J562" t="s">
        <v>14</v>
      </c>
      <c r="K562" t="s">
        <v>55</v>
      </c>
      <c r="L562" t="s">
        <v>1066</v>
      </c>
      <c r="M562">
        <v>56.68</v>
      </c>
      <c r="N562">
        <v>1849.15</v>
      </c>
      <c r="O562" t="s">
        <v>64</v>
      </c>
      <c r="P562" t="s">
        <v>55</v>
      </c>
      <c r="Q562">
        <f t="shared" si="24"/>
        <v>0</v>
      </c>
      <c r="R562" t="str">
        <f t="shared" si="25"/>
        <v>25-48 months</v>
      </c>
      <c r="S562" t="str">
        <f t="shared" si="26"/>
        <v>$50-$75</v>
      </c>
    </row>
    <row r="563" spans="1:19" x14ac:dyDescent="0.35">
      <c r="A563" t="s">
        <v>627</v>
      </c>
      <c r="B563">
        <v>63</v>
      </c>
      <c r="C563" t="s">
        <v>56</v>
      </c>
      <c r="D563" t="s">
        <v>55</v>
      </c>
      <c r="E563" t="s">
        <v>56</v>
      </c>
      <c r="F563">
        <v>66</v>
      </c>
      <c r="G563" t="s">
        <v>56</v>
      </c>
      <c r="H563" t="s">
        <v>55</v>
      </c>
      <c r="I563" t="s">
        <v>31</v>
      </c>
      <c r="J563" t="s">
        <v>12</v>
      </c>
      <c r="K563" t="s">
        <v>56</v>
      </c>
      <c r="L563" t="s">
        <v>1066</v>
      </c>
      <c r="M563">
        <v>29.33</v>
      </c>
      <c r="N563">
        <v>1905.43</v>
      </c>
      <c r="O563" t="s">
        <v>58</v>
      </c>
      <c r="P563" t="s">
        <v>55</v>
      </c>
      <c r="Q563">
        <f t="shared" si="24"/>
        <v>0</v>
      </c>
      <c r="R563" t="str">
        <f t="shared" si="25"/>
        <v>49+ months</v>
      </c>
      <c r="S563" t="str">
        <f t="shared" si="26"/>
        <v>&lt; $50</v>
      </c>
    </row>
    <row r="564" spans="1:19" x14ac:dyDescent="0.35">
      <c r="A564" t="s">
        <v>628</v>
      </c>
      <c r="B564">
        <v>72</v>
      </c>
      <c r="C564" t="s">
        <v>56</v>
      </c>
      <c r="D564" t="s">
        <v>55</v>
      </c>
      <c r="E564" t="s">
        <v>56</v>
      </c>
      <c r="F564">
        <v>16</v>
      </c>
      <c r="G564" t="s">
        <v>55</v>
      </c>
      <c r="H564" t="s">
        <v>60</v>
      </c>
      <c r="I564" t="s">
        <v>30</v>
      </c>
      <c r="J564" t="s">
        <v>12</v>
      </c>
      <c r="K564" t="s">
        <v>56</v>
      </c>
      <c r="L564" t="s">
        <v>26</v>
      </c>
      <c r="M564">
        <v>85.25</v>
      </c>
      <c r="N564">
        <v>1343.45</v>
      </c>
      <c r="O564" t="s">
        <v>80</v>
      </c>
      <c r="P564" t="s">
        <v>56</v>
      </c>
      <c r="Q564">
        <f t="shared" si="24"/>
        <v>1</v>
      </c>
      <c r="R564" t="str">
        <f t="shared" si="25"/>
        <v>13-24 months</v>
      </c>
      <c r="S564" t="str">
        <f t="shared" si="26"/>
        <v>$76-$100</v>
      </c>
    </row>
    <row r="565" spans="1:19" x14ac:dyDescent="0.35">
      <c r="A565" t="s">
        <v>629</v>
      </c>
      <c r="B565">
        <v>68</v>
      </c>
      <c r="C565" t="s">
        <v>56</v>
      </c>
      <c r="D565" t="s">
        <v>56</v>
      </c>
      <c r="E565" t="s">
        <v>56</v>
      </c>
      <c r="F565">
        <v>54</v>
      </c>
      <c r="G565" t="s">
        <v>55</v>
      </c>
      <c r="H565" t="s">
        <v>60</v>
      </c>
      <c r="I565" t="s">
        <v>30</v>
      </c>
      <c r="J565" t="s">
        <v>14</v>
      </c>
      <c r="K565" t="s">
        <v>56</v>
      </c>
      <c r="L565" t="s">
        <v>26</v>
      </c>
      <c r="M565">
        <v>106.98</v>
      </c>
      <c r="N565">
        <v>5431.75</v>
      </c>
      <c r="O565" t="s">
        <v>80</v>
      </c>
      <c r="P565" t="s">
        <v>55</v>
      </c>
      <c r="Q565">
        <f t="shared" si="24"/>
        <v>0</v>
      </c>
      <c r="R565" t="str">
        <f t="shared" si="25"/>
        <v>49+ months</v>
      </c>
      <c r="S565" t="str">
        <f t="shared" si="26"/>
        <v>&gt; $100</v>
      </c>
    </row>
    <row r="566" spans="1:19" x14ac:dyDescent="0.35">
      <c r="A566" t="s">
        <v>630</v>
      </c>
      <c r="B566">
        <v>73</v>
      </c>
      <c r="C566" t="s">
        <v>56</v>
      </c>
      <c r="D566" t="s">
        <v>56</v>
      </c>
      <c r="E566" t="s">
        <v>55</v>
      </c>
      <c r="F566">
        <v>62</v>
      </c>
      <c r="G566" t="s">
        <v>55</v>
      </c>
      <c r="H566" t="s">
        <v>60</v>
      </c>
      <c r="I566" t="s">
        <v>29</v>
      </c>
      <c r="J566" t="s">
        <v>14</v>
      </c>
      <c r="K566" t="s">
        <v>55</v>
      </c>
      <c r="L566" t="s">
        <v>24</v>
      </c>
      <c r="M566">
        <v>68.8</v>
      </c>
      <c r="N566">
        <v>4319.71</v>
      </c>
      <c r="O566" t="s">
        <v>58</v>
      </c>
      <c r="P566" t="s">
        <v>55</v>
      </c>
      <c r="Q566">
        <f t="shared" si="24"/>
        <v>0</v>
      </c>
      <c r="R566" t="str">
        <f t="shared" si="25"/>
        <v>49+ months</v>
      </c>
      <c r="S566" t="str">
        <f t="shared" si="26"/>
        <v>$50-$75</v>
      </c>
    </row>
    <row r="567" spans="1:19" x14ac:dyDescent="0.35">
      <c r="A567" t="s">
        <v>631</v>
      </c>
      <c r="B567">
        <v>58</v>
      </c>
      <c r="C567" t="s">
        <v>55</v>
      </c>
      <c r="D567" t="s">
        <v>55</v>
      </c>
      <c r="E567" t="s">
        <v>55</v>
      </c>
      <c r="F567">
        <v>58</v>
      </c>
      <c r="G567" t="s">
        <v>55</v>
      </c>
      <c r="H567" t="s">
        <v>60</v>
      </c>
      <c r="I567" t="s">
        <v>30</v>
      </c>
      <c r="J567" t="s">
        <v>12</v>
      </c>
      <c r="K567" t="s">
        <v>55</v>
      </c>
      <c r="L567" t="s">
        <v>24</v>
      </c>
      <c r="M567">
        <v>115.01</v>
      </c>
      <c r="N567">
        <v>6541.7</v>
      </c>
      <c r="O567" t="s">
        <v>69</v>
      </c>
      <c r="P567" t="s">
        <v>56</v>
      </c>
      <c r="Q567">
        <f t="shared" si="24"/>
        <v>1</v>
      </c>
      <c r="R567" t="str">
        <f t="shared" si="25"/>
        <v>49+ months</v>
      </c>
      <c r="S567" t="str">
        <f t="shared" si="26"/>
        <v>&gt; $100</v>
      </c>
    </row>
    <row r="568" spans="1:19" x14ac:dyDescent="0.35">
      <c r="A568" t="s">
        <v>632</v>
      </c>
      <c r="B568">
        <v>74</v>
      </c>
      <c r="C568" t="s">
        <v>56</v>
      </c>
      <c r="D568" t="s">
        <v>55</v>
      </c>
      <c r="E568" t="s">
        <v>55</v>
      </c>
      <c r="F568">
        <v>12</v>
      </c>
      <c r="G568" t="s">
        <v>56</v>
      </c>
      <c r="H568" t="s">
        <v>55</v>
      </c>
      <c r="I568" t="s">
        <v>31</v>
      </c>
      <c r="J568" t="s">
        <v>13</v>
      </c>
      <c r="K568" t="s">
        <v>55</v>
      </c>
      <c r="L568" t="s">
        <v>24</v>
      </c>
      <c r="M568">
        <v>19.489999999999998</v>
      </c>
      <c r="N568">
        <v>235.55</v>
      </c>
      <c r="O568" t="s">
        <v>58</v>
      </c>
      <c r="P568" t="s">
        <v>56</v>
      </c>
      <c r="Q568">
        <f t="shared" si="24"/>
        <v>1</v>
      </c>
      <c r="R568" t="str">
        <f t="shared" si="25"/>
        <v>0-12 months</v>
      </c>
      <c r="S568" t="str">
        <f t="shared" si="26"/>
        <v>&lt; $50</v>
      </c>
    </row>
    <row r="569" spans="1:19" x14ac:dyDescent="0.35">
      <c r="A569" t="s">
        <v>633</v>
      </c>
      <c r="B569">
        <v>52</v>
      </c>
      <c r="C569" t="s">
        <v>55</v>
      </c>
      <c r="D569" t="s">
        <v>56</v>
      </c>
      <c r="E569" t="s">
        <v>56</v>
      </c>
      <c r="F569">
        <v>61</v>
      </c>
      <c r="G569" t="s">
        <v>56</v>
      </c>
      <c r="H569" t="s">
        <v>56</v>
      </c>
      <c r="I569" t="s">
        <v>29</v>
      </c>
      <c r="J569" t="s">
        <v>14</v>
      </c>
      <c r="K569" t="s">
        <v>56</v>
      </c>
      <c r="L569" t="s">
        <v>25</v>
      </c>
      <c r="M569">
        <v>51</v>
      </c>
      <c r="N569">
        <v>3001.17</v>
      </c>
      <c r="O569" t="s">
        <v>66</v>
      </c>
      <c r="P569" t="s">
        <v>55</v>
      </c>
      <c r="Q569">
        <f t="shared" si="24"/>
        <v>0</v>
      </c>
      <c r="R569" t="str">
        <f t="shared" si="25"/>
        <v>49+ months</v>
      </c>
      <c r="S569" t="str">
        <f t="shared" si="26"/>
        <v>$50-$75</v>
      </c>
    </row>
    <row r="570" spans="1:19" x14ac:dyDescent="0.35">
      <c r="A570" t="s">
        <v>634</v>
      </c>
      <c r="B570">
        <v>74</v>
      </c>
      <c r="C570" t="s">
        <v>56</v>
      </c>
      <c r="D570" t="s">
        <v>55</v>
      </c>
      <c r="E570" t="s">
        <v>56</v>
      </c>
      <c r="F570">
        <v>69</v>
      </c>
      <c r="G570" t="s">
        <v>55</v>
      </c>
      <c r="H570" t="s">
        <v>60</v>
      </c>
      <c r="I570" t="s">
        <v>29</v>
      </c>
      <c r="J570" t="s">
        <v>13</v>
      </c>
      <c r="K570" t="s">
        <v>55</v>
      </c>
      <c r="L570" t="s">
        <v>25</v>
      </c>
      <c r="M570">
        <v>40.93</v>
      </c>
      <c r="N570">
        <v>2802.83</v>
      </c>
      <c r="O570" t="s">
        <v>66</v>
      </c>
      <c r="P570" t="s">
        <v>55</v>
      </c>
      <c r="Q570">
        <f t="shared" si="24"/>
        <v>0</v>
      </c>
      <c r="R570" t="str">
        <f t="shared" si="25"/>
        <v>49+ months</v>
      </c>
      <c r="S570" t="str">
        <f t="shared" si="26"/>
        <v>&lt; $50</v>
      </c>
    </row>
    <row r="571" spans="1:19" x14ac:dyDescent="0.35">
      <c r="A571" t="s">
        <v>635</v>
      </c>
      <c r="B571">
        <v>51</v>
      </c>
      <c r="C571" t="s">
        <v>55</v>
      </c>
      <c r="D571" t="s">
        <v>55</v>
      </c>
      <c r="E571" t="s">
        <v>55</v>
      </c>
      <c r="F571">
        <v>33</v>
      </c>
      <c r="G571" t="s">
        <v>56</v>
      </c>
      <c r="H571" t="s">
        <v>55</v>
      </c>
      <c r="I571" t="s">
        <v>30</v>
      </c>
      <c r="J571" t="s">
        <v>12</v>
      </c>
      <c r="K571" t="s">
        <v>56</v>
      </c>
      <c r="L571" t="s">
        <v>26</v>
      </c>
      <c r="M571">
        <v>74.48</v>
      </c>
      <c r="N571">
        <v>2400.86</v>
      </c>
      <c r="O571" t="s">
        <v>62</v>
      </c>
      <c r="P571" t="s">
        <v>56</v>
      </c>
      <c r="Q571">
        <f t="shared" si="24"/>
        <v>1</v>
      </c>
      <c r="R571" t="str">
        <f t="shared" si="25"/>
        <v>25-48 months</v>
      </c>
      <c r="S571" t="str">
        <f t="shared" si="26"/>
        <v>$50-$75</v>
      </c>
    </row>
    <row r="572" spans="1:19" x14ac:dyDescent="0.35">
      <c r="A572" t="s">
        <v>636</v>
      </c>
      <c r="B572">
        <v>21</v>
      </c>
      <c r="C572" t="s">
        <v>55</v>
      </c>
      <c r="D572" t="s">
        <v>55</v>
      </c>
      <c r="E572" t="s">
        <v>56</v>
      </c>
      <c r="F572">
        <v>4</v>
      </c>
      <c r="G572" t="s">
        <v>55</v>
      </c>
      <c r="H572" t="s">
        <v>60</v>
      </c>
      <c r="I572" t="s">
        <v>29</v>
      </c>
      <c r="J572" t="s">
        <v>12</v>
      </c>
      <c r="K572" t="s">
        <v>55</v>
      </c>
      <c r="L572" t="s">
        <v>26</v>
      </c>
      <c r="M572">
        <v>75.72</v>
      </c>
      <c r="N572">
        <v>294.08</v>
      </c>
      <c r="O572" t="s">
        <v>80</v>
      </c>
      <c r="P572" t="s">
        <v>55</v>
      </c>
      <c r="Q572">
        <f t="shared" si="24"/>
        <v>0</v>
      </c>
      <c r="R572" t="str">
        <f t="shared" si="25"/>
        <v>0-12 months</v>
      </c>
      <c r="S572" t="str">
        <f t="shared" si="26"/>
        <v>$76-$100</v>
      </c>
    </row>
    <row r="573" spans="1:19" x14ac:dyDescent="0.35">
      <c r="A573" t="s">
        <v>637</v>
      </c>
      <c r="B573">
        <v>21</v>
      </c>
      <c r="C573" t="s">
        <v>55</v>
      </c>
      <c r="D573" t="s">
        <v>56</v>
      </c>
      <c r="E573" t="s">
        <v>56</v>
      </c>
      <c r="F573">
        <v>31</v>
      </c>
      <c r="G573" t="s">
        <v>55</v>
      </c>
      <c r="H573" t="s">
        <v>60</v>
      </c>
      <c r="I573" t="s">
        <v>29</v>
      </c>
      <c r="J573" t="s">
        <v>14</v>
      </c>
      <c r="K573" t="s">
        <v>55</v>
      </c>
      <c r="L573" t="s">
        <v>26</v>
      </c>
      <c r="M573">
        <v>58.59</v>
      </c>
      <c r="N573">
        <v>1796.04</v>
      </c>
      <c r="O573" t="s">
        <v>64</v>
      </c>
      <c r="P573" t="s">
        <v>55</v>
      </c>
      <c r="Q573">
        <f t="shared" si="24"/>
        <v>0</v>
      </c>
      <c r="R573" t="str">
        <f t="shared" si="25"/>
        <v>25-48 months</v>
      </c>
      <c r="S573" t="str">
        <f t="shared" si="26"/>
        <v>$50-$75</v>
      </c>
    </row>
    <row r="574" spans="1:19" x14ac:dyDescent="0.35">
      <c r="A574" t="s">
        <v>638</v>
      </c>
      <c r="B574">
        <v>58</v>
      </c>
      <c r="C574" t="s">
        <v>55</v>
      </c>
      <c r="D574" t="s">
        <v>56</v>
      </c>
      <c r="E574" t="s">
        <v>56</v>
      </c>
      <c r="F574">
        <v>35</v>
      </c>
      <c r="G574" t="s">
        <v>56</v>
      </c>
      <c r="H574" t="s">
        <v>56</v>
      </c>
      <c r="I574" t="s">
        <v>29</v>
      </c>
      <c r="J574" t="s">
        <v>13</v>
      </c>
      <c r="K574" t="s">
        <v>56</v>
      </c>
      <c r="L574" t="s">
        <v>26</v>
      </c>
      <c r="M574">
        <v>56.27</v>
      </c>
      <c r="N574">
        <v>1871.11</v>
      </c>
      <c r="O574" t="s">
        <v>62</v>
      </c>
      <c r="P574" t="s">
        <v>55</v>
      </c>
      <c r="Q574">
        <f t="shared" si="24"/>
        <v>0</v>
      </c>
      <c r="R574" t="str">
        <f t="shared" si="25"/>
        <v>25-48 months</v>
      </c>
      <c r="S574" t="str">
        <f t="shared" si="26"/>
        <v>$50-$75</v>
      </c>
    </row>
    <row r="575" spans="1:19" x14ac:dyDescent="0.35">
      <c r="A575" t="s">
        <v>639</v>
      </c>
      <c r="B575">
        <v>68</v>
      </c>
      <c r="C575" t="s">
        <v>56</v>
      </c>
      <c r="D575" t="s">
        <v>56</v>
      </c>
      <c r="E575" t="s">
        <v>55</v>
      </c>
      <c r="F575">
        <v>70</v>
      </c>
      <c r="G575" t="s">
        <v>56</v>
      </c>
      <c r="H575" t="s">
        <v>55</v>
      </c>
      <c r="I575" t="s">
        <v>31</v>
      </c>
      <c r="J575" t="s">
        <v>12</v>
      </c>
      <c r="K575" t="s">
        <v>55</v>
      </c>
      <c r="L575" t="s">
        <v>26</v>
      </c>
      <c r="M575">
        <v>27.75</v>
      </c>
      <c r="N575">
        <v>2049.9899999999998</v>
      </c>
      <c r="O575" t="s">
        <v>69</v>
      </c>
      <c r="P575" t="s">
        <v>55</v>
      </c>
      <c r="Q575">
        <f t="shared" si="24"/>
        <v>0</v>
      </c>
      <c r="R575" t="str">
        <f t="shared" si="25"/>
        <v>49+ months</v>
      </c>
      <c r="S575" t="str">
        <f t="shared" si="26"/>
        <v>&lt; $50</v>
      </c>
    </row>
    <row r="576" spans="1:19" x14ac:dyDescent="0.35">
      <c r="A576" t="s">
        <v>640</v>
      </c>
      <c r="B576">
        <v>28</v>
      </c>
      <c r="C576" t="s">
        <v>55</v>
      </c>
      <c r="D576" t="s">
        <v>56</v>
      </c>
      <c r="E576" t="s">
        <v>56</v>
      </c>
      <c r="F576">
        <v>62</v>
      </c>
      <c r="G576" t="s">
        <v>55</v>
      </c>
      <c r="H576" t="s">
        <v>60</v>
      </c>
      <c r="I576" t="s">
        <v>30</v>
      </c>
      <c r="J576" t="s">
        <v>14</v>
      </c>
      <c r="K576" t="s">
        <v>55</v>
      </c>
      <c r="L576" t="s">
        <v>25</v>
      </c>
      <c r="M576">
        <v>112.12</v>
      </c>
      <c r="N576">
        <v>6711.83</v>
      </c>
      <c r="O576" t="s">
        <v>76</v>
      </c>
      <c r="P576" t="s">
        <v>55</v>
      </c>
      <c r="Q576">
        <f t="shared" si="24"/>
        <v>0</v>
      </c>
      <c r="R576" t="str">
        <f t="shared" si="25"/>
        <v>49+ months</v>
      </c>
      <c r="S576" t="str">
        <f t="shared" si="26"/>
        <v>&gt; $100</v>
      </c>
    </row>
    <row r="577" spans="1:19" x14ac:dyDescent="0.35">
      <c r="A577" t="s">
        <v>641</v>
      </c>
      <c r="B577">
        <v>20</v>
      </c>
      <c r="C577" t="s">
        <v>55</v>
      </c>
      <c r="D577" t="s">
        <v>56</v>
      </c>
      <c r="E577" t="s">
        <v>56</v>
      </c>
      <c r="F577">
        <v>39</v>
      </c>
      <c r="G577" t="s">
        <v>56</v>
      </c>
      <c r="H577" t="s">
        <v>55</v>
      </c>
      <c r="I577" t="s">
        <v>30</v>
      </c>
      <c r="J577" t="s">
        <v>13</v>
      </c>
      <c r="K577" t="s">
        <v>55</v>
      </c>
      <c r="L577" t="s">
        <v>25</v>
      </c>
      <c r="M577">
        <v>80.540000000000006</v>
      </c>
      <c r="N577">
        <v>3142.88</v>
      </c>
      <c r="O577" t="s">
        <v>69</v>
      </c>
      <c r="P577" t="s">
        <v>55</v>
      </c>
      <c r="Q577">
        <f t="shared" si="24"/>
        <v>0</v>
      </c>
      <c r="R577" t="str">
        <f t="shared" si="25"/>
        <v>25-48 months</v>
      </c>
      <c r="S577" t="str">
        <f t="shared" si="26"/>
        <v>$76-$100</v>
      </c>
    </row>
    <row r="578" spans="1:19" x14ac:dyDescent="0.35">
      <c r="A578" t="s">
        <v>642</v>
      </c>
      <c r="B578">
        <v>39</v>
      </c>
      <c r="C578" t="s">
        <v>55</v>
      </c>
      <c r="D578" t="s">
        <v>55</v>
      </c>
      <c r="E578" t="s">
        <v>55</v>
      </c>
      <c r="F578">
        <v>35</v>
      </c>
      <c r="G578" t="s">
        <v>55</v>
      </c>
      <c r="H578" t="s">
        <v>60</v>
      </c>
      <c r="I578" t="s">
        <v>30</v>
      </c>
      <c r="J578" t="s">
        <v>12</v>
      </c>
      <c r="K578" t="s">
        <v>55</v>
      </c>
      <c r="L578" t="s">
        <v>25</v>
      </c>
      <c r="M578">
        <v>86.42</v>
      </c>
      <c r="N578">
        <v>3174.97</v>
      </c>
      <c r="O578" t="s">
        <v>80</v>
      </c>
      <c r="P578" t="s">
        <v>56</v>
      </c>
      <c r="Q578">
        <f t="shared" si="24"/>
        <v>1</v>
      </c>
      <c r="R578" t="str">
        <f t="shared" si="25"/>
        <v>25-48 months</v>
      </c>
      <c r="S578" t="str">
        <f t="shared" si="26"/>
        <v>$76-$100</v>
      </c>
    </row>
    <row r="579" spans="1:19" x14ac:dyDescent="0.35">
      <c r="A579" t="s">
        <v>643</v>
      </c>
      <c r="B579">
        <v>56</v>
      </c>
      <c r="C579" t="s">
        <v>55</v>
      </c>
      <c r="D579" t="s">
        <v>55</v>
      </c>
      <c r="E579" t="s">
        <v>56</v>
      </c>
      <c r="F579">
        <v>2</v>
      </c>
      <c r="G579" t="s">
        <v>55</v>
      </c>
      <c r="H579" t="s">
        <v>60</v>
      </c>
      <c r="I579" t="s">
        <v>29</v>
      </c>
      <c r="J579" t="s">
        <v>13</v>
      </c>
      <c r="K579" t="s">
        <v>55</v>
      </c>
      <c r="L579" t="s">
        <v>1066</v>
      </c>
      <c r="M579">
        <v>61.53</v>
      </c>
      <c r="N579">
        <v>127.3</v>
      </c>
      <c r="O579" t="s">
        <v>80</v>
      </c>
      <c r="P579" t="s">
        <v>55</v>
      </c>
      <c r="Q579">
        <f t="shared" ref="Q579:Q642" si="27">IF(P579="Yes",1,0)</f>
        <v>0</v>
      </c>
      <c r="R579" t="str">
        <f t="shared" ref="R579:R642" si="28">IF(F579&lt;=12,"0-12 months",IF(F579&lt;=24,"13-24 months",IF(F579&lt;=48,"25-48 months","49+ months")))</f>
        <v>0-12 months</v>
      </c>
      <c r="S579" t="str">
        <f t="shared" ref="S579:S642" si="29">IF(M579&lt;50,"&lt; $50",IF(M579&lt;=75,"$50-$75",IF(M579&lt;=100,"$76-$100","&gt; $100")))</f>
        <v>$50-$75</v>
      </c>
    </row>
    <row r="580" spans="1:19" x14ac:dyDescent="0.35">
      <c r="A580" t="s">
        <v>644</v>
      </c>
      <c r="B580">
        <v>52</v>
      </c>
      <c r="C580" t="s">
        <v>55</v>
      </c>
      <c r="D580" t="s">
        <v>56</v>
      </c>
      <c r="E580" t="s">
        <v>55</v>
      </c>
      <c r="F580">
        <v>16</v>
      </c>
      <c r="G580" t="s">
        <v>55</v>
      </c>
      <c r="H580" t="s">
        <v>60</v>
      </c>
      <c r="I580" t="s">
        <v>30</v>
      </c>
      <c r="J580" t="s">
        <v>14</v>
      </c>
      <c r="K580" t="s">
        <v>55</v>
      </c>
      <c r="L580" t="s">
        <v>24</v>
      </c>
      <c r="M580">
        <v>111.96</v>
      </c>
      <c r="N580">
        <v>1858.4</v>
      </c>
      <c r="O580" t="s">
        <v>80</v>
      </c>
      <c r="P580" t="s">
        <v>55</v>
      </c>
      <c r="Q580">
        <f t="shared" si="27"/>
        <v>0</v>
      </c>
      <c r="R580" t="str">
        <f t="shared" si="28"/>
        <v>13-24 months</v>
      </c>
      <c r="S580" t="str">
        <f t="shared" si="29"/>
        <v>&gt; $100</v>
      </c>
    </row>
    <row r="581" spans="1:19" x14ac:dyDescent="0.35">
      <c r="A581" t="s">
        <v>645</v>
      </c>
      <c r="B581">
        <v>47</v>
      </c>
      <c r="C581" t="s">
        <v>55</v>
      </c>
      <c r="D581" t="s">
        <v>55</v>
      </c>
      <c r="E581" t="s">
        <v>56</v>
      </c>
      <c r="F581">
        <v>57</v>
      </c>
      <c r="G581" t="s">
        <v>56</v>
      </c>
      <c r="H581" t="s">
        <v>55</v>
      </c>
      <c r="I581" t="s">
        <v>30</v>
      </c>
      <c r="J581" t="s">
        <v>13</v>
      </c>
      <c r="K581" t="s">
        <v>55</v>
      </c>
      <c r="L581" t="s">
        <v>26</v>
      </c>
      <c r="M581">
        <v>110.81</v>
      </c>
      <c r="N581">
        <v>6411.09</v>
      </c>
      <c r="O581" t="s">
        <v>62</v>
      </c>
      <c r="P581" t="s">
        <v>55</v>
      </c>
      <c r="Q581">
        <f t="shared" si="27"/>
        <v>0</v>
      </c>
      <c r="R581" t="str">
        <f t="shared" si="28"/>
        <v>49+ months</v>
      </c>
      <c r="S581" t="str">
        <f t="shared" si="29"/>
        <v>&gt; $100</v>
      </c>
    </row>
    <row r="582" spans="1:19" x14ac:dyDescent="0.35">
      <c r="A582" t="s">
        <v>646</v>
      </c>
      <c r="B582">
        <v>32</v>
      </c>
      <c r="C582" t="s">
        <v>55</v>
      </c>
      <c r="D582" t="s">
        <v>55</v>
      </c>
      <c r="E582" t="s">
        <v>55</v>
      </c>
      <c r="F582">
        <v>5</v>
      </c>
      <c r="G582" t="s">
        <v>56</v>
      </c>
      <c r="H582" t="s">
        <v>56</v>
      </c>
      <c r="I582" t="s">
        <v>30</v>
      </c>
      <c r="J582" t="s">
        <v>14</v>
      </c>
      <c r="K582" t="s">
        <v>55</v>
      </c>
      <c r="L582" t="s">
        <v>26</v>
      </c>
      <c r="M582">
        <v>83.87</v>
      </c>
      <c r="N582">
        <v>419.37</v>
      </c>
      <c r="O582" t="s">
        <v>62</v>
      </c>
      <c r="P582" t="s">
        <v>56</v>
      </c>
      <c r="Q582">
        <f t="shared" si="27"/>
        <v>1</v>
      </c>
      <c r="R582" t="str">
        <f t="shared" si="28"/>
        <v>0-12 months</v>
      </c>
      <c r="S582" t="str">
        <f t="shared" si="29"/>
        <v>$76-$100</v>
      </c>
    </row>
    <row r="583" spans="1:19" x14ac:dyDescent="0.35">
      <c r="A583" t="s">
        <v>647</v>
      </c>
      <c r="B583">
        <v>60</v>
      </c>
      <c r="C583" t="s">
        <v>56</v>
      </c>
      <c r="D583" t="s">
        <v>56</v>
      </c>
      <c r="E583" t="s">
        <v>56</v>
      </c>
      <c r="F583">
        <v>17</v>
      </c>
      <c r="G583" t="s">
        <v>56</v>
      </c>
      <c r="H583" t="s">
        <v>56</v>
      </c>
      <c r="I583" t="s">
        <v>29</v>
      </c>
      <c r="J583" t="s">
        <v>13</v>
      </c>
      <c r="K583" t="s">
        <v>56</v>
      </c>
      <c r="L583" t="s">
        <v>25</v>
      </c>
      <c r="M583">
        <v>69.16</v>
      </c>
      <c r="N583">
        <v>1143.8800000000001</v>
      </c>
      <c r="O583" t="s">
        <v>80</v>
      </c>
      <c r="P583" t="s">
        <v>55</v>
      </c>
      <c r="Q583">
        <f t="shared" si="27"/>
        <v>0</v>
      </c>
      <c r="R583" t="str">
        <f t="shared" si="28"/>
        <v>13-24 months</v>
      </c>
      <c r="S583" t="str">
        <f t="shared" si="29"/>
        <v>$50-$75</v>
      </c>
    </row>
    <row r="584" spans="1:19" x14ac:dyDescent="0.35">
      <c r="A584" t="s">
        <v>648</v>
      </c>
      <c r="B584">
        <v>62</v>
      </c>
      <c r="C584" t="s">
        <v>56</v>
      </c>
      <c r="D584" t="s">
        <v>55</v>
      </c>
      <c r="E584" t="s">
        <v>55</v>
      </c>
      <c r="F584">
        <v>1</v>
      </c>
      <c r="G584" t="s">
        <v>56</v>
      </c>
      <c r="H584" t="s">
        <v>55</v>
      </c>
      <c r="I584" t="s">
        <v>31</v>
      </c>
      <c r="J584" t="s">
        <v>12</v>
      </c>
      <c r="K584" t="s">
        <v>55</v>
      </c>
      <c r="L584" t="s">
        <v>26</v>
      </c>
      <c r="M584">
        <v>26.16</v>
      </c>
      <c r="N584">
        <v>26.06</v>
      </c>
      <c r="O584" t="s">
        <v>66</v>
      </c>
      <c r="P584" t="s">
        <v>56</v>
      </c>
      <c r="Q584">
        <f t="shared" si="27"/>
        <v>1</v>
      </c>
      <c r="R584" t="str">
        <f t="shared" si="28"/>
        <v>0-12 months</v>
      </c>
      <c r="S584" t="str">
        <f t="shared" si="29"/>
        <v>&lt; $50</v>
      </c>
    </row>
    <row r="585" spans="1:19" x14ac:dyDescent="0.35">
      <c r="A585" t="s">
        <v>649</v>
      </c>
      <c r="B585">
        <v>20</v>
      </c>
      <c r="C585" t="s">
        <v>55</v>
      </c>
      <c r="D585" t="s">
        <v>56</v>
      </c>
      <c r="E585" t="s">
        <v>56</v>
      </c>
      <c r="F585">
        <v>36</v>
      </c>
      <c r="G585" t="s">
        <v>55</v>
      </c>
      <c r="H585" t="s">
        <v>60</v>
      </c>
      <c r="I585" t="s">
        <v>31</v>
      </c>
      <c r="J585" t="s">
        <v>12</v>
      </c>
      <c r="K585" t="s">
        <v>55</v>
      </c>
      <c r="L585" t="s">
        <v>26</v>
      </c>
      <c r="M585">
        <v>18.98</v>
      </c>
      <c r="N585">
        <v>689.17</v>
      </c>
      <c r="O585" t="s">
        <v>69</v>
      </c>
      <c r="P585" t="s">
        <v>56</v>
      </c>
      <c r="Q585">
        <f t="shared" si="27"/>
        <v>1</v>
      </c>
      <c r="R585" t="str">
        <f t="shared" si="28"/>
        <v>25-48 months</v>
      </c>
      <c r="S585" t="str">
        <f t="shared" si="29"/>
        <v>&lt; $50</v>
      </c>
    </row>
    <row r="586" spans="1:19" x14ac:dyDescent="0.35">
      <c r="A586" t="s">
        <v>650</v>
      </c>
      <c r="B586">
        <v>32</v>
      </c>
      <c r="C586" t="s">
        <v>55</v>
      </c>
      <c r="D586" t="s">
        <v>55</v>
      </c>
      <c r="E586" t="s">
        <v>56</v>
      </c>
      <c r="F586">
        <v>32</v>
      </c>
      <c r="G586" t="s">
        <v>55</v>
      </c>
      <c r="H586" t="s">
        <v>60</v>
      </c>
      <c r="I586" t="s">
        <v>30</v>
      </c>
      <c r="J586" t="s">
        <v>12</v>
      </c>
      <c r="K586" t="s">
        <v>56</v>
      </c>
      <c r="L586" t="s">
        <v>26</v>
      </c>
      <c r="M586">
        <v>91.6</v>
      </c>
      <c r="N586">
        <v>2763.78</v>
      </c>
      <c r="O586" t="s">
        <v>76</v>
      </c>
      <c r="P586" t="s">
        <v>55</v>
      </c>
      <c r="Q586">
        <f t="shared" si="27"/>
        <v>0</v>
      </c>
      <c r="R586" t="str">
        <f t="shared" si="28"/>
        <v>25-48 months</v>
      </c>
      <c r="S586" t="str">
        <f t="shared" si="29"/>
        <v>$76-$100</v>
      </c>
    </row>
    <row r="587" spans="1:19" x14ac:dyDescent="0.35">
      <c r="A587" t="s">
        <v>651</v>
      </c>
      <c r="B587">
        <v>71</v>
      </c>
      <c r="C587" t="s">
        <v>56</v>
      </c>
      <c r="D587" t="s">
        <v>55</v>
      </c>
      <c r="E587" t="s">
        <v>56</v>
      </c>
      <c r="F587">
        <v>14</v>
      </c>
      <c r="G587" t="s">
        <v>55</v>
      </c>
      <c r="H587" t="s">
        <v>60</v>
      </c>
      <c r="I587" t="s">
        <v>29</v>
      </c>
      <c r="J587" t="s">
        <v>14</v>
      </c>
      <c r="K587" t="s">
        <v>55</v>
      </c>
      <c r="L587" t="s">
        <v>24</v>
      </c>
      <c r="M587">
        <v>49.47</v>
      </c>
      <c r="N587">
        <v>657.08</v>
      </c>
      <c r="O587" t="s">
        <v>64</v>
      </c>
      <c r="P587" t="s">
        <v>55</v>
      </c>
      <c r="Q587">
        <f t="shared" si="27"/>
        <v>0</v>
      </c>
      <c r="R587" t="str">
        <f t="shared" si="28"/>
        <v>13-24 months</v>
      </c>
      <c r="S587" t="str">
        <f t="shared" si="29"/>
        <v>&lt; $50</v>
      </c>
    </row>
    <row r="588" spans="1:19" x14ac:dyDescent="0.35">
      <c r="A588" t="s">
        <v>652</v>
      </c>
      <c r="B588">
        <v>66</v>
      </c>
      <c r="C588" t="s">
        <v>56</v>
      </c>
      <c r="D588" t="s">
        <v>56</v>
      </c>
      <c r="E588" t="s">
        <v>55</v>
      </c>
      <c r="F588">
        <v>16</v>
      </c>
      <c r="G588" t="s">
        <v>56</v>
      </c>
      <c r="H588" t="s">
        <v>55</v>
      </c>
      <c r="I588" t="s">
        <v>30</v>
      </c>
      <c r="J588" t="s">
        <v>12</v>
      </c>
      <c r="K588" t="s">
        <v>56</v>
      </c>
      <c r="L588" t="s">
        <v>1066</v>
      </c>
      <c r="M588">
        <v>73.099999999999994</v>
      </c>
      <c r="N588">
        <v>1212.04</v>
      </c>
      <c r="O588" t="s">
        <v>58</v>
      </c>
      <c r="P588" t="s">
        <v>56</v>
      </c>
      <c r="Q588">
        <f t="shared" si="27"/>
        <v>1</v>
      </c>
      <c r="R588" t="str">
        <f t="shared" si="28"/>
        <v>13-24 months</v>
      </c>
      <c r="S588" t="str">
        <f t="shared" si="29"/>
        <v>$50-$75</v>
      </c>
    </row>
    <row r="589" spans="1:19" x14ac:dyDescent="0.35">
      <c r="A589" t="s">
        <v>653</v>
      </c>
      <c r="B589">
        <v>58</v>
      </c>
      <c r="C589" t="s">
        <v>55</v>
      </c>
      <c r="D589" t="s">
        <v>55</v>
      </c>
      <c r="E589" t="s">
        <v>56</v>
      </c>
      <c r="F589">
        <v>14</v>
      </c>
      <c r="G589" t="s">
        <v>56</v>
      </c>
      <c r="H589" t="s">
        <v>56</v>
      </c>
      <c r="I589" t="s">
        <v>29</v>
      </c>
      <c r="J589" t="s">
        <v>12</v>
      </c>
      <c r="K589" t="s">
        <v>56</v>
      </c>
      <c r="L589" t="s">
        <v>1066</v>
      </c>
      <c r="M589">
        <v>56.44</v>
      </c>
      <c r="N589">
        <v>824.73</v>
      </c>
      <c r="O589" t="s">
        <v>58</v>
      </c>
      <c r="P589" t="s">
        <v>55</v>
      </c>
      <c r="Q589">
        <f t="shared" si="27"/>
        <v>0</v>
      </c>
      <c r="R589" t="str">
        <f t="shared" si="28"/>
        <v>13-24 months</v>
      </c>
      <c r="S589" t="str">
        <f t="shared" si="29"/>
        <v>$50-$75</v>
      </c>
    </row>
    <row r="590" spans="1:19" x14ac:dyDescent="0.35">
      <c r="A590" t="s">
        <v>654</v>
      </c>
      <c r="B590">
        <v>18</v>
      </c>
      <c r="C590" t="s">
        <v>55</v>
      </c>
      <c r="D590" t="s">
        <v>55</v>
      </c>
      <c r="E590" t="s">
        <v>55</v>
      </c>
      <c r="F590">
        <v>60</v>
      </c>
      <c r="G590" t="s">
        <v>56</v>
      </c>
      <c r="H590" t="s">
        <v>56</v>
      </c>
      <c r="I590" t="s">
        <v>29</v>
      </c>
      <c r="J590" t="s">
        <v>14</v>
      </c>
      <c r="K590" t="s">
        <v>56</v>
      </c>
      <c r="L590" t="s">
        <v>24</v>
      </c>
      <c r="M590">
        <v>53.13</v>
      </c>
      <c r="N590">
        <v>3070.16</v>
      </c>
      <c r="O590" t="s">
        <v>58</v>
      </c>
      <c r="P590" t="s">
        <v>56</v>
      </c>
      <c r="Q590">
        <f t="shared" si="27"/>
        <v>1</v>
      </c>
      <c r="R590" t="str">
        <f t="shared" si="28"/>
        <v>49+ months</v>
      </c>
      <c r="S590" t="str">
        <f t="shared" si="29"/>
        <v>$50-$75</v>
      </c>
    </row>
    <row r="591" spans="1:19" x14ac:dyDescent="0.35">
      <c r="A591" t="s">
        <v>655</v>
      </c>
      <c r="B591">
        <v>63</v>
      </c>
      <c r="C591" t="s">
        <v>56</v>
      </c>
      <c r="D591" t="s">
        <v>56</v>
      </c>
      <c r="E591" t="s">
        <v>56</v>
      </c>
      <c r="F591">
        <v>17</v>
      </c>
      <c r="G591" t="s">
        <v>55</v>
      </c>
      <c r="H591" t="s">
        <v>60</v>
      </c>
      <c r="I591" t="s">
        <v>29</v>
      </c>
      <c r="J591" t="s">
        <v>12</v>
      </c>
      <c r="K591" t="s">
        <v>55</v>
      </c>
      <c r="L591" t="s">
        <v>1066</v>
      </c>
      <c r="M591">
        <v>57.78</v>
      </c>
      <c r="N591">
        <v>951.99</v>
      </c>
      <c r="O591" t="s">
        <v>80</v>
      </c>
      <c r="P591" t="s">
        <v>55</v>
      </c>
      <c r="Q591">
        <f t="shared" si="27"/>
        <v>0</v>
      </c>
      <c r="R591" t="str">
        <f t="shared" si="28"/>
        <v>13-24 months</v>
      </c>
      <c r="S591" t="str">
        <f t="shared" si="29"/>
        <v>$50-$75</v>
      </c>
    </row>
    <row r="592" spans="1:19" x14ac:dyDescent="0.35">
      <c r="A592" t="s">
        <v>656</v>
      </c>
      <c r="B592">
        <v>26</v>
      </c>
      <c r="C592" t="s">
        <v>55</v>
      </c>
      <c r="D592" t="s">
        <v>55</v>
      </c>
      <c r="E592" t="s">
        <v>55</v>
      </c>
      <c r="F592">
        <v>66</v>
      </c>
      <c r="G592" t="s">
        <v>55</v>
      </c>
      <c r="H592" t="s">
        <v>60</v>
      </c>
      <c r="I592" t="s">
        <v>31</v>
      </c>
      <c r="J592" t="s">
        <v>12</v>
      </c>
      <c r="K592" t="s">
        <v>56</v>
      </c>
      <c r="L592" t="s">
        <v>26</v>
      </c>
      <c r="M592">
        <v>21.7</v>
      </c>
      <c r="N592">
        <v>1405.2</v>
      </c>
      <c r="O592" t="s">
        <v>80</v>
      </c>
      <c r="P592" t="s">
        <v>56</v>
      </c>
      <c r="Q592">
        <f t="shared" si="27"/>
        <v>1</v>
      </c>
      <c r="R592" t="str">
        <f t="shared" si="28"/>
        <v>49+ months</v>
      </c>
      <c r="S592" t="str">
        <f t="shared" si="29"/>
        <v>&lt; $50</v>
      </c>
    </row>
    <row r="593" spans="1:19" x14ac:dyDescent="0.35">
      <c r="A593" t="s">
        <v>657</v>
      </c>
      <c r="B593">
        <v>51</v>
      </c>
      <c r="C593" t="s">
        <v>55</v>
      </c>
      <c r="D593" t="s">
        <v>56</v>
      </c>
      <c r="E593" t="s">
        <v>56</v>
      </c>
      <c r="F593">
        <v>31</v>
      </c>
      <c r="G593" t="s">
        <v>56</v>
      </c>
      <c r="H593" t="s">
        <v>55</v>
      </c>
      <c r="I593" t="s">
        <v>29</v>
      </c>
      <c r="J593" t="s">
        <v>12</v>
      </c>
      <c r="K593" t="s">
        <v>56</v>
      </c>
      <c r="L593" t="s">
        <v>1066</v>
      </c>
      <c r="M593">
        <v>48.05</v>
      </c>
      <c r="N593">
        <v>1412.4</v>
      </c>
      <c r="O593" t="s">
        <v>64</v>
      </c>
      <c r="P593" t="s">
        <v>56</v>
      </c>
      <c r="Q593">
        <f t="shared" si="27"/>
        <v>1</v>
      </c>
      <c r="R593" t="str">
        <f t="shared" si="28"/>
        <v>25-48 months</v>
      </c>
      <c r="S593" t="str">
        <f t="shared" si="29"/>
        <v>&lt; $50</v>
      </c>
    </row>
    <row r="594" spans="1:19" x14ac:dyDescent="0.35">
      <c r="A594" t="s">
        <v>658</v>
      </c>
      <c r="B594">
        <v>62</v>
      </c>
      <c r="C594" t="s">
        <v>56</v>
      </c>
      <c r="D594" t="s">
        <v>55</v>
      </c>
      <c r="E594" t="s">
        <v>55</v>
      </c>
      <c r="F594">
        <v>43</v>
      </c>
      <c r="G594" t="s">
        <v>55</v>
      </c>
      <c r="H594" t="s">
        <v>60</v>
      </c>
      <c r="I594" t="s">
        <v>29</v>
      </c>
      <c r="J594" t="s">
        <v>12</v>
      </c>
      <c r="K594" t="s">
        <v>56</v>
      </c>
      <c r="L594" t="s">
        <v>24</v>
      </c>
      <c r="M594">
        <v>71.569999999999993</v>
      </c>
      <c r="N594">
        <v>2908.44</v>
      </c>
      <c r="O594" t="s">
        <v>80</v>
      </c>
      <c r="P594" t="s">
        <v>56</v>
      </c>
      <c r="Q594">
        <f t="shared" si="27"/>
        <v>1</v>
      </c>
      <c r="R594" t="str">
        <f t="shared" si="28"/>
        <v>25-48 months</v>
      </c>
      <c r="S594" t="str">
        <f t="shared" si="29"/>
        <v>$50-$75</v>
      </c>
    </row>
    <row r="595" spans="1:19" x14ac:dyDescent="0.35">
      <c r="A595" t="s">
        <v>659</v>
      </c>
      <c r="B595">
        <v>58</v>
      </c>
      <c r="C595" t="s">
        <v>55</v>
      </c>
      <c r="D595" t="s">
        <v>56</v>
      </c>
      <c r="E595" t="s">
        <v>56</v>
      </c>
      <c r="F595">
        <v>60</v>
      </c>
      <c r="G595" t="s">
        <v>56</v>
      </c>
      <c r="H595" t="s">
        <v>55</v>
      </c>
      <c r="I595" t="s">
        <v>29</v>
      </c>
      <c r="J595" t="s">
        <v>13</v>
      </c>
      <c r="K595" t="s">
        <v>55</v>
      </c>
      <c r="L595" t="s">
        <v>1066</v>
      </c>
      <c r="M595">
        <v>55.04</v>
      </c>
      <c r="N595">
        <v>3262.9</v>
      </c>
      <c r="O595" t="s">
        <v>80</v>
      </c>
      <c r="P595" t="s">
        <v>55</v>
      </c>
      <c r="Q595">
        <f t="shared" si="27"/>
        <v>0</v>
      </c>
      <c r="R595" t="str">
        <f t="shared" si="28"/>
        <v>49+ months</v>
      </c>
      <c r="S595" t="str">
        <f t="shared" si="29"/>
        <v>$50-$75</v>
      </c>
    </row>
    <row r="596" spans="1:19" x14ac:dyDescent="0.35">
      <c r="A596" t="s">
        <v>660</v>
      </c>
      <c r="B596">
        <v>41</v>
      </c>
      <c r="C596" t="s">
        <v>55</v>
      </c>
      <c r="D596" t="s">
        <v>56</v>
      </c>
      <c r="E596" t="s">
        <v>56</v>
      </c>
      <c r="F596">
        <v>46</v>
      </c>
      <c r="G596" t="s">
        <v>56</v>
      </c>
      <c r="H596" t="s">
        <v>56</v>
      </c>
      <c r="I596" t="s">
        <v>30</v>
      </c>
      <c r="J596" t="s">
        <v>12</v>
      </c>
      <c r="K596" t="s">
        <v>55</v>
      </c>
      <c r="L596" t="s">
        <v>26</v>
      </c>
      <c r="M596">
        <v>71.48</v>
      </c>
      <c r="N596">
        <v>3168.85</v>
      </c>
      <c r="O596" t="s">
        <v>76</v>
      </c>
      <c r="P596" t="s">
        <v>56</v>
      </c>
      <c r="Q596">
        <f t="shared" si="27"/>
        <v>1</v>
      </c>
      <c r="R596" t="str">
        <f t="shared" si="28"/>
        <v>25-48 months</v>
      </c>
      <c r="S596" t="str">
        <f t="shared" si="29"/>
        <v>$50-$75</v>
      </c>
    </row>
    <row r="597" spans="1:19" x14ac:dyDescent="0.35">
      <c r="A597" t="s">
        <v>661</v>
      </c>
      <c r="B597">
        <v>64</v>
      </c>
      <c r="C597" t="s">
        <v>56</v>
      </c>
      <c r="D597" t="s">
        <v>56</v>
      </c>
      <c r="E597" t="s">
        <v>55</v>
      </c>
      <c r="F597">
        <v>71</v>
      </c>
      <c r="G597" t="s">
        <v>56</v>
      </c>
      <c r="H597" t="s">
        <v>56</v>
      </c>
      <c r="I597" t="s">
        <v>30</v>
      </c>
      <c r="J597" t="s">
        <v>14</v>
      </c>
      <c r="K597" t="s">
        <v>56</v>
      </c>
      <c r="L597" t="s">
        <v>26</v>
      </c>
      <c r="M597">
        <v>103.87</v>
      </c>
      <c r="N597">
        <v>7267.62</v>
      </c>
      <c r="O597" t="s">
        <v>80</v>
      </c>
      <c r="P597" t="s">
        <v>55</v>
      </c>
      <c r="Q597">
        <f t="shared" si="27"/>
        <v>0</v>
      </c>
      <c r="R597" t="str">
        <f t="shared" si="28"/>
        <v>49+ months</v>
      </c>
      <c r="S597" t="str">
        <f t="shared" si="29"/>
        <v>&gt; $100</v>
      </c>
    </row>
    <row r="598" spans="1:19" x14ac:dyDescent="0.35">
      <c r="A598" t="s">
        <v>662</v>
      </c>
      <c r="B598">
        <v>39</v>
      </c>
      <c r="C598" t="s">
        <v>55</v>
      </c>
      <c r="D598" t="s">
        <v>56</v>
      </c>
      <c r="E598" t="s">
        <v>55</v>
      </c>
      <c r="F598">
        <v>59</v>
      </c>
      <c r="G598" t="s">
        <v>55</v>
      </c>
      <c r="H598" t="s">
        <v>60</v>
      </c>
      <c r="I598" t="s">
        <v>30</v>
      </c>
      <c r="J598" t="s">
        <v>13</v>
      </c>
      <c r="K598" t="s">
        <v>55</v>
      </c>
      <c r="L598" t="s">
        <v>25</v>
      </c>
      <c r="M598">
        <v>73.27</v>
      </c>
      <c r="N598">
        <v>4138.4799999999996</v>
      </c>
      <c r="O598" t="s">
        <v>66</v>
      </c>
      <c r="P598" t="s">
        <v>55</v>
      </c>
      <c r="Q598">
        <f t="shared" si="27"/>
        <v>0</v>
      </c>
      <c r="R598" t="str">
        <f t="shared" si="28"/>
        <v>49+ months</v>
      </c>
      <c r="S598" t="str">
        <f t="shared" si="29"/>
        <v>$50-$75</v>
      </c>
    </row>
    <row r="599" spans="1:19" x14ac:dyDescent="0.35">
      <c r="A599" t="s">
        <v>663</v>
      </c>
      <c r="B599">
        <v>30</v>
      </c>
      <c r="C599" t="s">
        <v>55</v>
      </c>
      <c r="D599" t="s">
        <v>56</v>
      </c>
      <c r="E599" t="s">
        <v>55</v>
      </c>
      <c r="F599">
        <v>48</v>
      </c>
      <c r="G599" t="s">
        <v>55</v>
      </c>
      <c r="H599" t="s">
        <v>60</v>
      </c>
      <c r="I599" t="s">
        <v>30</v>
      </c>
      <c r="J599" t="s">
        <v>14</v>
      </c>
      <c r="K599" t="s">
        <v>56</v>
      </c>
      <c r="L599" t="s">
        <v>25</v>
      </c>
      <c r="M599">
        <v>108.15</v>
      </c>
      <c r="N599">
        <v>5245.6</v>
      </c>
      <c r="O599" t="s">
        <v>76</v>
      </c>
      <c r="P599" t="s">
        <v>55</v>
      </c>
      <c r="Q599">
        <f t="shared" si="27"/>
        <v>0</v>
      </c>
      <c r="R599" t="str">
        <f t="shared" si="28"/>
        <v>25-48 months</v>
      </c>
      <c r="S599" t="str">
        <f t="shared" si="29"/>
        <v>&gt; $100</v>
      </c>
    </row>
    <row r="600" spans="1:19" x14ac:dyDescent="0.35">
      <c r="A600" t="s">
        <v>664</v>
      </c>
      <c r="B600">
        <v>68</v>
      </c>
      <c r="C600" t="s">
        <v>56</v>
      </c>
      <c r="D600" t="s">
        <v>56</v>
      </c>
      <c r="E600" t="s">
        <v>55</v>
      </c>
      <c r="F600">
        <v>32</v>
      </c>
      <c r="G600" t="s">
        <v>55</v>
      </c>
      <c r="H600" t="s">
        <v>60</v>
      </c>
      <c r="I600" t="s">
        <v>30</v>
      </c>
      <c r="J600" t="s">
        <v>14</v>
      </c>
      <c r="K600" t="s">
        <v>55</v>
      </c>
      <c r="L600" t="s">
        <v>26</v>
      </c>
      <c r="M600">
        <v>74.069999999999993</v>
      </c>
      <c r="N600">
        <v>2361.9</v>
      </c>
      <c r="O600" t="s">
        <v>80</v>
      </c>
      <c r="P600" t="s">
        <v>55</v>
      </c>
      <c r="Q600">
        <f t="shared" si="27"/>
        <v>0</v>
      </c>
      <c r="R600" t="str">
        <f t="shared" si="28"/>
        <v>25-48 months</v>
      </c>
      <c r="S600" t="str">
        <f t="shared" si="29"/>
        <v>$50-$75</v>
      </c>
    </row>
    <row r="601" spans="1:19" x14ac:dyDescent="0.35">
      <c r="A601" t="s">
        <v>665</v>
      </c>
      <c r="B601">
        <v>28</v>
      </c>
      <c r="C601" t="s">
        <v>55</v>
      </c>
      <c r="D601" t="s">
        <v>55</v>
      </c>
      <c r="E601" t="s">
        <v>55</v>
      </c>
      <c r="F601">
        <v>64</v>
      </c>
      <c r="G601" t="s">
        <v>56</v>
      </c>
      <c r="H601" t="s">
        <v>56</v>
      </c>
      <c r="I601" t="s">
        <v>29</v>
      </c>
      <c r="J601" t="s">
        <v>12</v>
      </c>
      <c r="K601" t="s">
        <v>55</v>
      </c>
      <c r="L601" t="s">
        <v>1066</v>
      </c>
      <c r="M601">
        <v>59.79</v>
      </c>
      <c r="N601">
        <v>3720.18</v>
      </c>
      <c r="O601" t="s">
        <v>66</v>
      </c>
      <c r="P601" t="s">
        <v>55</v>
      </c>
      <c r="Q601">
        <f t="shared" si="27"/>
        <v>0</v>
      </c>
      <c r="R601" t="str">
        <f t="shared" si="28"/>
        <v>49+ months</v>
      </c>
      <c r="S601" t="str">
        <f t="shared" si="29"/>
        <v>$50-$75</v>
      </c>
    </row>
    <row r="602" spans="1:19" x14ac:dyDescent="0.35">
      <c r="A602" t="s">
        <v>666</v>
      </c>
      <c r="B602">
        <v>55</v>
      </c>
      <c r="C602" t="s">
        <v>55</v>
      </c>
      <c r="D602" t="s">
        <v>56</v>
      </c>
      <c r="E602" t="s">
        <v>56</v>
      </c>
      <c r="F602">
        <v>29</v>
      </c>
      <c r="G602" t="s">
        <v>55</v>
      </c>
      <c r="H602" t="s">
        <v>60</v>
      </c>
      <c r="I602" t="s">
        <v>31</v>
      </c>
      <c r="J602" t="s">
        <v>14</v>
      </c>
      <c r="K602" t="s">
        <v>55</v>
      </c>
      <c r="L602" t="s">
        <v>26</v>
      </c>
      <c r="M602">
        <v>23.1</v>
      </c>
      <c r="N602">
        <v>660.02</v>
      </c>
      <c r="O602" t="s">
        <v>66</v>
      </c>
      <c r="P602" t="s">
        <v>56</v>
      </c>
      <c r="Q602">
        <f t="shared" si="27"/>
        <v>1</v>
      </c>
      <c r="R602" t="str">
        <f t="shared" si="28"/>
        <v>25-48 months</v>
      </c>
      <c r="S602" t="str">
        <f t="shared" si="29"/>
        <v>&lt; $50</v>
      </c>
    </row>
    <row r="603" spans="1:19" x14ac:dyDescent="0.35">
      <c r="A603" t="s">
        <v>667</v>
      </c>
      <c r="B603">
        <v>41</v>
      </c>
      <c r="C603" t="s">
        <v>55</v>
      </c>
      <c r="D603" t="s">
        <v>55</v>
      </c>
      <c r="E603" t="s">
        <v>56</v>
      </c>
      <c r="F603">
        <v>18</v>
      </c>
      <c r="G603" t="s">
        <v>55</v>
      </c>
      <c r="H603" t="s">
        <v>60</v>
      </c>
      <c r="I603" t="s">
        <v>29</v>
      </c>
      <c r="J603" t="s">
        <v>12</v>
      </c>
      <c r="K603" t="s">
        <v>55</v>
      </c>
      <c r="L603" t="s">
        <v>26</v>
      </c>
      <c r="M603">
        <v>41.65</v>
      </c>
      <c r="N603">
        <v>750.8</v>
      </c>
      <c r="O603" t="s">
        <v>64</v>
      </c>
      <c r="P603" t="s">
        <v>56</v>
      </c>
      <c r="Q603">
        <f t="shared" si="27"/>
        <v>1</v>
      </c>
      <c r="R603" t="str">
        <f t="shared" si="28"/>
        <v>13-24 months</v>
      </c>
      <c r="S603" t="str">
        <f t="shared" si="29"/>
        <v>&lt; $50</v>
      </c>
    </row>
    <row r="604" spans="1:19" x14ac:dyDescent="0.35">
      <c r="A604" t="s">
        <v>668</v>
      </c>
      <c r="B604">
        <v>47</v>
      </c>
      <c r="C604" t="s">
        <v>55</v>
      </c>
      <c r="D604" t="s">
        <v>55</v>
      </c>
      <c r="E604" t="s">
        <v>55</v>
      </c>
      <c r="F604">
        <v>48</v>
      </c>
      <c r="G604" t="s">
        <v>55</v>
      </c>
      <c r="H604" t="s">
        <v>60</v>
      </c>
      <c r="I604" t="s">
        <v>31</v>
      </c>
      <c r="J604" t="s">
        <v>12</v>
      </c>
      <c r="K604" t="s">
        <v>56</v>
      </c>
      <c r="L604" t="s">
        <v>26</v>
      </c>
      <c r="M604">
        <v>20.81</v>
      </c>
      <c r="N604">
        <v>1016.3</v>
      </c>
      <c r="O604" t="s">
        <v>80</v>
      </c>
      <c r="P604" t="s">
        <v>56</v>
      </c>
      <c r="Q604">
        <f t="shared" si="27"/>
        <v>1</v>
      </c>
      <c r="R604" t="str">
        <f t="shared" si="28"/>
        <v>25-48 months</v>
      </c>
      <c r="S604" t="str">
        <f t="shared" si="29"/>
        <v>&lt; $50</v>
      </c>
    </row>
    <row r="605" spans="1:19" x14ac:dyDescent="0.35">
      <c r="A605" t="s">
        <v>669</v>
      </c>
      <c r="B605">
        <v>36</v>
      </c>
      <c r="C605" t="s">
        <v>55</v>
      </c>
      <c r="D605" t="s">
        <v>56</v>
      </c>
      <c r="E605" t="s">
        <v>55</v>
      </c>
      <c r="F605">
        <v>30</v>
      </c>
      <c r="G605" t="s">
        <v>56</v>
      </c>
      <c r="H605" t="s">
        <v>55</v>
      </c>
      <c r="I605" t="s">
        <v>30</v>
      </c>
      <c r="J605" t="s">
        <v>12</v>
      </c>
      <c r="K605" t="s">
        <v>55</v>
      </c>
      <c r="L605" t="s">
        <v>26</v>
      </c>
      <c r="M605">
        <v>86.46</v>
      </c>
      <c r="N605">
        <v>2532.39</v>
      </c>
      <c r="O605" t="s">
        <v>69</v>
      </c>
      <c r="P605" t="s">
        <v>55</v>
      </c>
      <c r="Q605">
        <f t="shared" si="27"/>
        <v>0</v>
      </c>
      <c r="R605" t="str">
        <f t="shared" si="28"/>
        <v>25-48 months</v>
      </c>
      <c r="S605" t="str">
        <f t="shared" si="29"/>
        <v>$76-$100</v>
      </c>
    </row>
    <row r="606" spans="1:19" x14ac:dyDescent="0.35">
      <c r="A606" t="s">
        <v>670</v>
      </c>
      <c r="B606">
        <v>72</v>
      </c>
      <c r="C606" t="s">
        <v>56</v>
      </c>
      <c r="D606" t="s">
        <v>55</v>
      </c>
      <c r="E606" t="s">
        <v>56</v>
      </c>
      <c r="F606">
        <v>18</v>
      </c>
      <c r="G606" t="s">
        <v>55</v>
      </c>
      <c r="H606" t="s">
        <v>60</v>
      </c>
      <c r="I606" t="s">
        <v>31</v>
      </c>
      <c r="J606" t="s">
        <v>12</v>
      </c>
      <c r="K606" t="s">
        <v>55</v>
      </c>
      <c r="L606" t="s">
        <v>26</v>
      </c>
      <c r="M606">
        <v>22.16</v>
      </c>
      <c r="N606">
        <v>422.66</v>
      </c>
      <c r="O606" t="s">
        <v>66</v>
      </c>
      <c r="P606" t="s">
        <v>55</v>
      </c>
      <c r="Q606">
        <f t="shared" si="27"/>
        <v>0</v>
      </c>
      <c r="R606" t="str">
        <f t="shared" si="28"/>
        <v>13-24 months</v>
      </c>
      <c r="S606" t="str">
        <f t="shared" si="29"/>
        <v>&lt; $50</v>
      </c>
    </row>
    <row r="607" spans="1:19" x14ac:dyDescent="0.35">
      <c r="A607" t="s">
        <v>671</v>
      </c>
      <c r="B607">
        <v>55</v>
      </c>
      <c r="C607" t="s">
        <v>55</v>
      </c>
      <c r="D607" t="s">
        <v>56</v>
      </c>
      <c r="E607" t="s">
        <v>55</v>
      </c>
      <c r="F607">
        <v>66</v>
      </c>
      <c r="G607" t="s">
        <v>56</v>
      </c>
      <c r="H607" t="s">
        <v>55</v>
      </c>
      <c r="I607" t="s">
        <v>31</v>
      </c>
      <c r="J607" t="s">
        <v>12</v>
      </c>
      <c r="K607" t="s">
        <v>56</v>
      </c>
      <c r="L607" t="s">
        <v>24</v>
      </c>
      <c r="M607">
        <v>24.19</v>
      </c>
      <c r="N607">
        <v>1651.33</v>
      </c>
      <c r="O607" t="s">
        <v>69</v>
      </c>
      <c r="P607" t="s">
        <v>55</v>
      </c>
      <c r="Q607">
        <f t="shared" si="27"/>
        <v>0</v>
      </c>
      <c r="R607" t="str">
        <f t="shared" si="28"/>
        <v>49+ months</v>
      </c>
      <c r="S607" t="str">
        <f t="shared" si="29"/>
        <v>&lt; $50</v>
      </c>
    </row>
    <row r="608" spans="1:19" x14ac:dyDescent="0.35">
      <c r="A608" t="s">
        <v>672</v>
      </c>
      <c r="B608">
        <v>70</v>
      </c>
      <c r="C608" t="s">
        <v>56</v>
      </c>
      <c r="D608" t="s">
        <v>55</v>
      </c>
      <c r="E608" t="s">
        <v>55</v>
      </c>
      <c r="F608">
        <v>11</v>
      </c>
      <c r="G608" t="s">
        <v>56</v>
      </c>
      <c r="H608" t="s">
        <v>55</v>
      </c>
      <c r="I608" t="s">
        <v>30</v>
      </c>
      <c r="J608" t="s">
        <v>14</v>
      </c>
      <c r="K608" t="s">
        <v>55</v>
      </c>
      <c r="L608" t="s">
        <v>26</v>
      </c>
      <c r="M608">
        <v>92.5</v>
      </c>
      <c r="N608">
        <v>1024.6400000000001</v>
      </c>
      <c r="O608" t="s">
        <v>58</v>
      </c>
      <c r="P608" t="s">
        <v>56</v>
      </c>
      <c r="Q608">
        <f t="shared" si="27"/>
        <v>1</v>
      </c>
      <c r="R608" t="str">
        <f t="shared" si="28"/>
        <v>0-12 months</v>
      </c>
      <c r="S608" t="str">
        <f t="shared" si="29"/>
        <v>$76-$100</v>
      </c>
    </row>
    <row r="609" spans="1:19" x14ac:dyDescent="0.35">
      <c r="A609" t="s">
        <v>673</v>
      </c>
      <c r="B609">
        <v>73</v>
      </c>
      <c r="C609" t="s">
        <v>56</v>
      </c>
      <c r="D609" t="s">
        <v>56</v>
      </c>
      <c r="E609" t="s">
        <v>55</v>
      </c>
      <c r="F609">
        <v>2</v>
      </c>
      <c r="G609" t="s">
        <v>55</v>
      </c>
      <c r="H609" t="s">
        <v>60</v>
      </c>
      <c r="I609" t="s">
        <v>29</v>
      </c>
      <c r="J609" t="s">
        <v>12</v>
      </c>
      <c r="K609" t="s">
        <v>55</v>
      </c>
      <c r="L609" t="s">
        <v>24</v>
      </c>
      <c r="M609">
        <v>70.11</v>
      </c>
      <c r="N609">
        <v>144.63999999999999</v>
      </c>
      <c r="O609" t="s">
        <v>76</v>
      </c>
      <c r="P609" t="s">
        <v>55</v>
      </c>
      <c r="Q609">
        <f t="shared" si="27"/>
        <v>0</v>
      </c>
      <c r="R609" t="str">
        <f t="shared" si="28"/>
        <v>0-12 months</v>
      </c>
      <c r="S609" t="str">
        <f t="shared" si="29"/>
        <v>$50-$75</v>
      </c>
    </row>
    <row r="610" spans="1:19" x14ac:dyDescent="0.35">
      <c r="A610" t="s">
        <v>674</v>
      </c>
      <c r="B610">
        <v>38</v>
      </c>
      <c r="C610" t="s">
        <v>55</v>
      </c>
      <c r="D610" t="s">
        <v>56</v>
      </c>
      <c r="E610" t="s">
        <v>56</v>
      </c>
      <c r="F610">
        <v>18</v>
      </c>
      <c r="G610" t="s">
        <v>55</v>
      </c>
      <c r="H610" t="s">
        <v>60</v>
      </c>
      <c r="I610" t="s">
        <v>30</v>
      </c>
      <c r="J610" t="s">
        <v>13</v>
      </c>
      <c r="K610" t="s">
        <v>55</v>
      </c>
      <c r="L610" t="s">
        <v>25</v>
      </c>
      <c r="M610">
        <v>80.209999999999994</v>
      </c>
      <c r="N610">
        <v>1424.83</v>
      </c>
      <c r="O610" t="s">
        <v>62</v>
      </c>
      <c r="P610" t="s">
        <v>55</v>
      </c>
      <c r="Q610">
        <f t="shared" si="27"/>
        <v>0</v>
      </c>
      <c r="R610" t="str">
        <f t="shared" si="28"/>
        <v>13-24 months</v>
      </c>
      <c r="S610" t="str">
        <f t="shared" si="29"/>
        <v>$76-$100</v>
      </c>
    </row>
    <row r="611" spans="1:19" x14ac:dyDescent="0.35">
      <c r="A611" t="s">
        <v>675</v>
      </c>
      <c r="B611">
        <v>48</v>
      </c>
      <c r="C611" t="s">
        <v>55</v>
      </c>
      <c r="D611" t="s">
        <v>56</v>
      </c>
      <c r="E611" t="s">
        <v>55</v>
      </c>
      <c r="F611">
        <v>58</v>
      </c>
      <c r="G611" t="s">
        <v>55</v>
      </c>
      <c r="H611" t="s">
        <v>60</v>
      </c>
      <c r="I611" t="s">
        <v>29</v>
      </c>
      <c r="J611" t="s">
        <v>12</v>
      </c>
      <c r="K611" t="s">
        <v>56</v>
      </c>
      <c r="L611" t="s">
        <v>1066</v>
      </c>
      <c r="M611">
        <v>47.11</v>
      </c>
      <c r="N611">
        <v>2839.43</v>
      </c>
      <c r="O611" t="s">
        <v>80</v>
      </c>
      <c r="P611" t="s">
        <v>55</v>
      </c>
      <c r="Q611">
        <f t="shared" si="27"/>
        <v>0</v>
      </c>
      <c r="R611" t="str">
        <f t="shared" si="28"/>
        <v>49+ months</v>
      </c>
      <c r="S611" t="str">
        <f t="shared" si="29"/>
        <v>&lt; $50</v>
      </c>
    </row>
    <row r="612" spans="1:19" x14ac:dyDescent="0.35">
      <c r="A612" t="s">
        <v>676</v>
      </c>
      <c r="B612">
        <v>29</v>
      </c>
      <c r="C612" t="s">
        <v>55</v>
      </c>
      <c r="D612" t="s">
        <v>56</v>
      </c>
      <c r="E612" t="s">
        <v>56</v>
      </c>
      <c r="F612">
        <v>50</v>
      </c>
      <c r="G612" t="s">
        <v>56</v>
      </c>
      <c r="H612" t="s">
        <v>56</v>
      </c>
      <c r="I612" t="s">
        <v>30</v>
      </c>
      <c r="J612" t="s">
        <v>12</v>
      </c>
      <c r="K612" t="s">
        <v>55</v>
      </c>
      <c r="L612" t="s">
        <v>26</v>
      </c>
      <c r="M612">
        <v>95.93</v>
      </c>
      <c r="N612">
        <v>4607.6099999999997</v>
      </c>
      <c r="O612" t="s">
        <v>64</v>
      </c>
      <c r="P612" t="s">
        <v>55</v>
      </c>
      <c r="Q612">
        <f t="shared" si="27"/>
        <v>0</v>
      </c>
      <c r="R612" t="str">
        <f t="shared" si="28"/>
        <v>49+ months</v>
      </c>
      <c r="S612" t="str">
        <f t="shared" si="29"/>
        <v>$76-$100</v>
      </c>
    </row>
    <row r="613" spans="1:19" x14ac:dyDescent="0.35">
      <c r="A613" t="s">
        <v>677</v>
      </c>
      <c r="B613">
        <v>43</v>
      </c>
      <c r="C613" t="s">
        <v>55</v>
      </c>
      <c r="D613" t="s">
        <v>56</v>
      </c>
      <c r="E613" t="s">
        <v>56</v>
      </c>
      <c r="F613">
        <v>17</v>
      </c>
      <c r="G613" t="s">
        <v>55</v>
      </c>
      <c r="H613" t="s">
        <v>60</v>
      </c>
      <c r="I613" t="s">
        <v>29</v>
      </c>
      <c r="J613" t="s">
        <v>13</v>
      </c>
      <c r="K613" t="s">
        <v>55</v>
      </c>
      <c r="L613" t="s">
        <v>25</v>
      </c>
      <c r="M613">
        <v>74.63</v>
      </c>
      <c r="N613">
        <v>1212.3699999999999</v>
      </c>
      <c r="O613" t="s">
        <v>64</v>
      </c>
      <c r="P613" t="s">
        <v>55</v>
      </c>
      <c r="Q613">
        <f t="shared" si="27"/>
        <v>0</v>
      </c>
      <c r="R613" t="str">
        <f t="shared" si="28"/>
        <v>13-24 months</v>
      </c>
      <c r="S613" t="str">
        <f t="shared" si="29"/>
        <v>$50-$75</v>
      </c>
    </row>
    <row r="614" spans="1:19" x14ac:dyDescent="0.35">
      <c r="A614" t="s">
        <v>678</v>
      </c>
      <c r="B614">
        <v>70</v>
      </c>
      <c r="C614" t="s">
        <v>56</v>
      </c>
      <c r="D614" t="s">
        <v>55</v>
      </c>
      <c r="E614" t="s">
        <v>56</v>
      </c>
      <c r="F614">
        <v>40</v>
      </c>
      <c r="G614" t="s">
        <v>55</v>
      </c>
      <c r="H614" t="s">
        <v>60</v>
      </c>
      <c r="I614" t="s">
        <v>29</v>
      </c>
      <c r="J614" t="s">
        <v>12</v>
      </c>
      <c r="K614" t="s">
        <v>56</v>
      </c>
      <c r="L614" t="s">
        <v>25</v>
      </c>
      <c r="M614">
        <v>57.83</v>
      </c>
      <c r="N614">
        <v>2403.3000000000002</v>
      </c>
      <c r="O614" t="s">
        <v>62</v>
      </c>
      <c r="P614" t="s">
        <v>55</v>
      </c>
      <c r="Q614">
        <f t="shared" si="27"/>
        <v>0</v>
      </c>
      <c r="R614" t="str">
        <f t="shared" si="28"/>
        <v>25-48 months</v>
      </c>
      <c r="S614" t="str">
        <f t="shared" si="29"/>
        <v>$50-$75</v>
      </c>
    </row>
    <row r="615" spans="1:19" x14ac:dyDescent="0.35">
      <c r="A615" t="s">
        <v>679</v>
      </c>
      <c r="B615">
        <v>51</v>
      </c>
      <c r="C615" t="s">
        <v>55</v>
      </c>
      <c r="D615" t="s">
        <v>55</v>
      </c>
      <c r="E615" t="s">
        <v>55</v>
      </c>
      <c r="F615">
        <v>59</v>
      </c>
      <c r="G615" t="s">
        <v>56</v>
      </c>
      <c r="H615" t="s">
        <v>55</v>
      </c>
      <c r="I615" t="s">
        <v>29</v>
      </c>
      <c r="J615" t="s">
        <v>12</v>
      </c>
      <c r="K615" t="s">
        <v>55</v>
      </c>
      <c r="L615" t="s">
        <v>26</v>
      </c>
      <c r="M615">
        <v>73.709999999999994</v>
      </c>
      <c r="N615">
        <v>4501.46</v>
      </c>
      <c r="O615" t="s">
        <v>66</v>
      </c>
      <c r="P615" t="s">
        <v>55</v>
      </c>
      <c r="Q615">
        <f t="shared" si="27"/>
        <v>0</v>
      </c>
      <c r="R615" t="str">
        <f t="shared" si="28"/>
        <v>49+ months</v>
      </c>
      <c r="S615" t="str">
        <f t="shared" si="29"/>
        <v>$50-$75</v>
      </c>
    </row>
    <row r="616" spans="1:19" x14ac:dyDescent="0.35">
      <c r="A616" t="s">
        <v>680</v>
      </c>
      <c r="B616">
        <v>69</v>
      </c>
      <c r="C616" t="s">
        <v>56</v>
      </c>
      <c r="D616" t="s">
        <v>56</v>
      </c>
      <c r="E616" t="s">
        <v>55</v>
      </c>
      <c r="F616">
        <v>32</v>
      </c>
      <c r="G616" t="s">
        <v>55</v>
      </c>
      <c r="H616" t="s">
        <v>60</v>
      </c>
      <c r="I616" t="s">
        <v>30</v>
      </c>
      <c r="J616" t="s">
        <v>12</v>
      </c>
      <c r="K616" t="s">
        <v>56</v>
      </c>
      <c r="L616" t="s">
        <v>1066</v>
      </c>
      <c r="M616">
        <v>74.78</v>
      </c>
      <c r="N616">
        <v>2450</v>
      </c>
      <c r="O616" t="s">
        <v>66</v>
      </c>
      <c r="P616" t="s">
        <v>56</v>
      </c>
      <c r="Q616">
        <f t="shared" si="27"/>
        <v>1</v>
      </c>
      <c r="R616" t="str">
        <f t="shared" si="28"/>
        <v>25-48 months</v>
      </c>
      <c r="S616" t="str">
        <f t="shared" si="29"/>
        <v>$50-$75</v>
      </c>
    </row>
    <row r="617" spans="1:19" x14ac:dyDescent="0.35">
      <c r="A617" t="s">
        <v>681</v>
      </c>
      <c r="B617">
        <v>28</v>
      </c>
      <c r="C617" t="s">
        <v>55</v>
      </c>
      <c r="D617" t="s">
        <v>55</v>
      </c>
      <c r="E617" t="s">
        <v>55</v>
      </c>
      <c r="F617">
        <v>9</v>
      </c>
      <c r="G617" t="s">
        <v>56</v>
      </c>
      <c r="H617" t="s">
        <v>55</v>
      </c>
      <c r="I617" t="s">
        <v>29</v>
      </c>
      <c r="J617" t="s">
        <v>12</v>
      </c>
      <c r="K617" t="s">
        <v>56</v>
      </c>
      <c r="L617" t="s">
        <v>25</v>
      </c>
      <c r="M617">
        <v>43.06</v>
      </c>
      <c r="N617">
        <v>369.18</v>
      </c>
      <c r="O617" t="s">
        <v>76</v>
      </c>
      <c r="P617" t="s">
        <v>55</v>
      </c>
      <c r="Q617">
        <f t="shared" si="27"/>
        <v>0</v>
      </c>
      <c r="R617" t="str">
        <f t="shared" si="28"/>
        <v>0-12 months</v>
      </c>
      <c r="S617" t="str">
        <f t="shared" si="29"/>
        <v>&lt; $50</v>
      </c>
    </row>
    <row r="618" spans="1:19" x14ac:dyDescent="0.35">
      <c r="A618" t="s">
        <v>682</v>
      </c>
      <c r="B618">
        <v>44</v>
      </c>
      <c r="C618" t="s">
        <v>55</v>
      </c>
      <c r="D618" t="s">
        <v>55</v>
      </c>
      <c r="E618" t="s">
        <v>56</v>
      </c>
      <c r="F618">
        <v>33</v>
      </c>
      <c r="G618" t="s">
        <v>56</v>
      </c>
      <c r="H618" t="s">
        <v>55</v>
      </c>
      <c r="I618" t="s">
        <v>30</v>
      </c>
      <c r="J618" t="s">
        <v>12</v>
      </c>
      <c r="K618" t="s">
        <v>55</v>
      </c>
      <c r="L618" t="s">
        <v>24</v>
      </c>
      <c r="M618">
        <v>107.3</v>
      </c>
      <c r="N618">
        <v>3692.07</v>
      </c>
      <c r="O618" t="s">
        <v>80</v>
      </c>
      <c r="P618" t="s">
        <v>56</v>
      </c>
      <c r="Q618">
        <f t="shared" si="27"/>
        <v>1</v>
      </c>
      <c r="R618" t="str">
        <f t="shared" si="28"/>
        <v>25-48 months</v>
      </c>
      <c r="S618" t="str">
        <f t="shared" si="29"/>
        <v>&gt; $100</v>
      </c>
    </row>
    <row r="619" spans="1:19" x14ac:dyDescent="0.35">
      <c r="A619" t="s">
        <v>683</v>
      </c>
      <c r="B619">
        <v>34</v>
      </c>
      <c r="C619" t="s">
        <v>55</v>
      </c>
      <c r="D619" t="s">
        <v>56</v>
      </c>
      <c r="E619" t="s">
        <v>56</v>
      </c>
      <c r="F619">
        <v>42</v>
      </c>
      <c r="G619" t="s">
        <v>55</v>
      </c>
      <c r="H619" t="s">
        <v>60</v>
      </c>
      <c r="I619" t="s">
        <v>29</v>
      </c>
      <c r="J619" t="s">
        <v>12</v>
      </c>
      <c r="K619" t="s">
        <v>56</v>
      </c>
      <c r="L619" t="s">
        <v>26</v>
      </c>
      <c r="M619">
        <v>66.28</v>
      </c>
      <c r="N619">
        <v>2855.11</v>
      </c>
      <c r="O619" t="s">
        <v>64</v>
      </c>
      <c r="P619" t="s">
        <v>55</v>
      </c>
      <c r="Q619">
        <f t="shared" si="27"/>
        <v>0</v>
      </c>
      <c r="R619" t="str">
        <f t="shared" si="28"/>
        <v>25-48 months</v>
      </c>
      <c r="S619" t="str">
        <f t="shared" si="29"/>
        <v>$50-$75</v>
      </c>
    </row>
    <row r="620" spans="1:19" x14ac:dyDescent="0.35">
      <c r="A620" t="s">
        <v>684</v>
      </c>
      <c r="B620">
        <v>70</v>
      </c>
      <c r="C620" t="s">
        <v>56</v>
      </c>
      <c r="D620" t="s">
        <v>55</v>
      </c>
      <c r="E620" t="s">
        <v>56</v>
      </c>
      <c r="F620">
        <v>22</v>
      </c>
      <c r="G620" t="s">
        <v>56</v>
      </c>
      <c r="H620" t="s">
        <v>56</v>
      </c>
      <c r="I620" t="s">
        <v>31</v>
      </c>
      <c r="J620" t="s">
        <v>12</v>
      </c>
      <c r="K620" t="s">
        <v>55</v>
      </c>
      <c r="L620" t="s">
        <v>26</v>
      </c>
      <c r="M620">
        <v>26.06</v>
      </c>
      <c r="N620">
        <v>539.69000000000005</v>
      </c>
      <c r="O620" t="s">
        <v>64</v>
      </c>
      <c r="P620" t="s">
        <v>56</v>
      </c>
      <c r="Q620">
        <f t="shared" si="27"/>
        <v>1</v>
      </c>
      <c r="R620" t="str">
        <f t="shared" si="28"/>
        <v>13-24 months</v>
      </c>
      <c r="S620" t="str">
        <f t="shared" si="29"/>
        <v>&lt; $50</v>
      </c>
    </row>
    <row r="621" spans="1:19" x14ac:dyDescent="0.35">
      <c r="A621" t="s">
        <v>685</v>
      </c>
      <c r="B621">
        <v>40</v>
      </c>
      <c r="C621" t="s">
        <v>55</v>
      </c>
      <c r="D621" t="s">
        <v>56</v>
      </c>
      <c r="E621" t="s">
        <v>56</v>
      </c>
      <c r="F621">
        <v>5</v>
      </c>
      <c r="G621" t="s">
        <v>56</v>
      </c>
      <c r="H621" t="s">
        <v>55</v>
      </c>
      <c r="I621" t="s">
        <v>31</v>
      </c>
      <c r="J621" t="s">
        <v>12</v>
      </c>
      <c r="K621" t="s">
        <v>56</v>
      </c>
      <c r="L621" t="s">
        <v>24</v>
      </c>
      <c r="M621">
        <v>21.7</v>
      </c>
      <c r="N621">
        <v>102.67</v>
      </c>
      <c r="O621" t="s">
        <v>66</v>
      </c>
      <c r="P621" t="s">
        <v>56</v>
      </c>
      <c r="Q621">
        <f t="shared" si="27"/>
        <v>1</v>
      </c>
      <c r="R621" t="str">
        <f t="shared" si="28"/>
        <v>0-12 months</v>
      </c>
      <c r="S621" t="str">
        <f t="shared" si="29"/>
        <v>&lt; $50</v>
      </c>
    </row>
    <row r="622" spans="1:19" x14ac:dyDescent="0.35">
      <c r="A622" t="s">
        <v>686</v>
      </c>
      <c r="B622">
        <v>42</v>
      </c>
      <c r="C622" t="s">
        <v>55</v>
      </c>
      <c r="D622" t="s">
        <v>56</v>
      </c>
      <c r="E622" t="s">
        <v>56</v>
      </c>
      <c r="F622">
        <v>48</v>
      </c>
      <c r="G622" t="s">
        <v>56</v>
      </c>
      <c r="H622" t="s">
        <v>56</v>
      </c>
      <c r="I622" t="s">
        <v>31</v>
      </c>
      <c r="J622" t="s">
        <v>12</v>
      </c>
      <c r="K622" t="s">
        <v>56</v>
      </c>
      <c r="L622" t="s">
        <v>26</v>
      </c>
      <c r="M622">
        <v>20.309999999999999</v>
      </c>
      <c r="N622">
        <v>994.64</v>
      </c>
      <c r="O622" t="s">
        <v>80</v>
      </c>
      <c r="P622" t="s">
        <v>56</v>
      </c>
      <c r="Q622">
        <f t="shared" si="27"/>
        <v>1</v>
      </c>
      <c r="R622" t="str">
        <f t="shared" si="28"/>
        <v>25-48 months</v>
      </c>
      <c r="S622" t="str">
        <f t="shared" si="29"/>
        <v>&lt; $50</v>
      </c>
    </row>
    <row r="623" spans="1:19" x14ac:dyDescent="0.35">
      <c r="A623" t="s">
        <v>687</v>
      </c>
      <c r="B623">
        <v>69</v>
      </c>
      <c r="C623" t="s">
        <v>56</v>
      </c>
      <c r="D623" t="s">
        <v>56</v>
      </c>
      <c r="E623" t="s">
        <v>56</v>
      </c>
      <c r="F623">
        <v>6</v>
      </c>
      <c r="G623" t="s">
        <v>56</v>
      </c>
      <c r="H623" t="s">
        <v>55</v>
      </c>
      <c r="I623" t="s">
        <v>30</v>
      </c>
      <c r="J623" t="s">
        <v>12</v>
      </c>
      <c r="K623" t="s">
        <v>56</v>
      </c>
      <c r="L623" t="s">
        <v>1066</v>
      </c>
      <c r="M623">
        <v>116.72</v>
      </c>
      <c r="N623">
        <v>691.5</v>
      </c>
      <c r="O623" t="s">
        <v>62</v>
      </c>
      <c r="P623" t="s">
        <v>56</v>
      </c>
      <c r="Q623">
        <f t="shared" si="27"/>
        <v>1</v>
      </c>
      <c r="R623" t="str">
        <f t="shared" si="28"/>
        <v>0-12 months</v>
      </c>
      <c r="S623" t="str">
        <f t="shared" si="29"/>
        <v>&gt; $100</v>
      </c>
    </row>
    <row r="624" spans="1:19" x14ac:dyDescent="0.35">
      <c r="A624" t="s">
        <v>688</v>
      </c>
      <c r="B624">
        <v>31</v>
      </c>
      <c r="C624" t="s">
        <v>55</v>
      </c>
      <c r="D624" t="s">
        <v>56</v>
      </c>
      <c r="E624" t="s">
        <v>55</v>
      </c>
      <c r="F624">
        <v>42</v>
      </c>
      <c r="G624" t="s">
        <v>55</v>
      </c>
      <c r="H624" t="s">
        <v>60</v>
      </c>
      <c r="I624" t="s">
        <v>30</v>
      </c>
      <c r="J624" t="s">
        <v>13</v>
      </c>
      <c r="K624" t="s">
        <v>56</v>
      </c>
      <c r="L624" t="s">
        <v>24</v>
      </c>
      <c r="M624">
        <v>92.94</v>
      </c>
      <c r="N624">
        <v>3700.19</v>
      </c>
      <c r="O624" t="s">
        <v>69</v>
      </c>
      <c r="P624" t="s">
        <v>55</v>
      </c>
      <c r="Q624">
        <f t="shared" si="27"/>
        <v>0</v>
      </c>
      <c r="R624" t="str">
        <f t="shared" si="28"/>
        <v>25-48 months</v>
      </c>
      <c r="S624" t="str">
        <f t="shared" si="29"/>
        <v>$76-$100</v>
      </c>
    </row>
    <row r="625" spans="1:19" x14ac:dyDescent="0.35">
      <c r="A625" t="s">
        <v>689</v>
      </c>
      <c r="B625">
        <v>57</v>
      </c>
      <c r="C625" t="s">
        <v>55</v>
      </c>
      <c r="D625" t="s">
        <v>55</v>
      </c>
      <c r="E625" t="s">
        <v>56</v>
      </c>
      <c r="F625">
        <v>9</v>
      </c>
      <c r="G625" t="s">
        <v>55</v>
      </c>
      <c r="H625" t="s">
        <v>60</v>
      </c>
      <c r="I625" t="s">
        <v>31</v>
      </c>
      <c r="J625" t="s">
        <v>12</v>
      </c>
      <c r="K625" t="s">
        <v>55</v>
      </c>
      <c r="L625" t="s">
        <v>25</v>
      </c>
      <c r="M625">
        <v>19.22</v>
      </c>
      <c r="N625">
        <v>173.73</v>
      </c>
      <c r="O625" t="s">
        <v>66</v>
      </c>
      <c r="P625" t="s">
        <v>55</v>
      </c>
      <c r="Q625">
        <f t="shared" si="27"/>
        <v>0</v>
      </c>
      <c r="R625" t="str">
        <f t="shared" si="28"/>
        <v>0-12 months</v>
      </c>
      <c r="S625" t="str">
        <f t="shared" si="29"/>
        <v>&lt; $50</v>
      </c>
    </row>
    <row r="626" spans="1:19" x14ac:dyDescent="0.35">
      <c r="A626" t="s">
        <v>690</v>
      </c>
      <c r="B626">
        <v>54</v>
      </c>
      <c r="C626" t="s">
        <v>55</v>
      </c>
      <c r="D626" t="s">
        <v>56</v>
      </c>
      <c r="E626" t="s">
        <v>55</v>
      </c>
      <c r="F626">
        <v>13</v>
      </c>
      <c r="G626" t="s">
        <v>55</v>
      </c>
      <c r="H626" t="s">
        <v>60</v>
      </c>
      <c r="I626" t="s">
        <v>29</v>
      </c>
      <c r="J626" t="s">
        <v>13</v>
      </c>
      <c r="K626" t="s">
        <v>56</v>
      </c>
      <c r="L626" t="s">
        <v>26</v>
      </c>
      <c r="M626">
        <v>65.41</v>
      </c>
      <c r="N626">
        <v>889.51</v>
      </c>
      <c r="O626" t="s">
        <v>66</v>
      </c>
      <c r="P626" t="s">
        <v>55</v>
      </c>
      <c r="Q626">
        <f t="shared" si="27"/>
        <v>0</v>
      </c>
      <c r="R626" t="str">
        <f t="shared" si="28"/>
        <v>13-24 months</v>
      </c>
      <c r="S626" t="str">
        <f t="shared" si="29"/>
        <v>$50-$75</v>
      </c>
    </row>
    <row r="627" spans="1:19" x14ac:dyDescent="0.35">
      <c r="A627" t="s">
        <v>691</v>
      </c>
      <c r="B627">
        <v>60</v>
      </c>
      <c r="C627" t="s">
        <v>56</v>
      </c>
      <c r="D627" t="s">
        <v>55</v>
      </c>
      <c r="E627" t="s">
        <v>56</v>
      </c>
      <c r="F627">
        <v>43</v>
      </c>
      <c r="G627" t="s">
        <v>55</v>
      </c>
      <c r="H627" t="s">
        <v>60</v>
      </c>
      <c r="I627" t="s">
        <v>30</v>
      </c>
      <c r="J627" t="s">
        <v>12</v>
      </c>
      <c r="K627" t="s">
        <v>56</v>
      </c>
      <c r="L627" t="s">
        <v>24</v>
      </c>
      <c r="M627">
        <v>105.23</v>
      </c>
      <c r="N627">
        <v>4260.6099999999997</v>
      </c>
      <c r="O627" t="s">
        <v>66</v>
      </c>
      <c r="P627" t="s">
        <v>56</v>
      </c>
      <c r="Q627">
        <f t="shared" si="27"/>
        <v>1</v>
      </c>
      <c r="R627" t="str">
        <f t="shared" si="28"/>
        <v>25-48 months</v>
      </c>
      <c r="S627" t="str">
        <f t="shared" si="29"/>
        <v>&gt; $100</v>
      </c>
    </row>
    <row r="628" spans="1:19" x14ac:dyDescent="0.35">
      <c r="A628" t="s">
        <v>692</v>
      </c>
      <c r="B628">
        <v>75</v>
      </c>
      <c r="C628" t="s">
        <v>56</v>
      </c>
      <c r="D628" t="s">
        <v>56</v>
      </c>
      <c r="E628" t="s">
        <v>55</v>
      </c>
      <c r="F628">
        <v>31</v>
      </c>
      <c r="G628" t="s">
        <v>56</v>
      </c>
      <c r="H628" t="s">
        <v>55</v>
      </c>
      <c r="I628" t="s">
        <v>29</v>
      </c>
      <c r="J628" t="s">
        <v>12</v>
      </c>
      <c r="K628" t="s">
        <v>55</v>
      </c>
      <c r="L628" t="s">
        <v>24</v>
      </c>
      <c r="M628">
        <v>48.08</v>
      </c>
      <c r="N628">
        <v>1468.26</v>
      </c>
      <c r="O628" t="s">
        <v>62</v>
      </c>
      <c r="P628" t="s">
        <v>55</v>
      </c>
      <c r="Q628">
        <f t="shared" si="27"/>
        <v>0</v>
      </c>
      <c r="R628" t="str">
        <f t="shared" si="28"/>
        <v>25-48 months</v>
      </c>
      <c r="S628" t="str">
        <f t="shared" si="29"/>
        <v>&lt; $50</v>
      </c>
    </row>
    <row r="629" spans="1:19" x14ac:dyDescent="0.35">
      <c r="A629" t="s">
        <v>693</v>
      </c>
      <c r="B629">
        <v>64</v>
      </c>
      <c r="C629" t="s">
        <v>56</v>
      </c>
      <c r="D629" t="s">
        <v>55</v>
      </c>
      <c r="E629" t="s">
        <v>55</v>
      </c>
      <c r="F629">
        <v>18</v>
      </c>
      <c r="G629" t="s">
        <v>56</v>
      </c>
      <c r="H629" t="s">
        <v>55</v>
      </c>
      <c r="I629" t="s">
        <v>30</v>
      </c>
      <c r="J629" t="s">
        <v>14</v>
      </c>
      <c r="K629" t="s">
        <v>55</v>
      </c>
      <c r="L629" t="s">
        <v>1066</v>
      </c>
      <c r="M629">
        <v>81.45</v>
      </c>
      <c r="N629">
        <v>1507.07</v>
      </c>
      <c r="O629" t="s">
        <v>62</v>
      </c>
      <c r="P629" t="s">
        <v>55</v>
      </c>
      <c r="Q629">
        <f t="shared" si="27"/>
        <v>0</v>
      </c>
      <c r="R629" t="str">
        <f t="shared" si="28"/>
        <v>13-24 months</v>
      </c>
      <c r="S629" t="str">
        <f t="shared" si="29"/>
        <v>$76-$100</v>
      </c>
    </row>
    <row r="630" spans="1:19" x14ac:dyDescent="0.35">
      <c r="A630" t="s">
        <v>694</v>
      </c>
      <c r="B630">
        <v>52</v>
      </c>
      <c r="C630" t="s">
        <v>55</v>
      </c>
      <c r="D630" t="s">
        <v>56</v>
      </c>
      <c r="E630" t="s">
        <v>56</v>
      </c>
      <c r="F630">
        <v>29</v>
      </c>
      <c r="G630" t="s">
        <v>55</v>
      </c>
      <c r="H630" t="s">
        <v>60</v>
      </c>
      <c r="I630" t="s">
        <v>29</v>
      </c>
      <c r="J630" t="s">
        <v>12</v>
      </c>
      <c r="K630" t="s">
        <v>56</v>
      </c>
      <c r="L630" t="s">
        <v>24</v>
      </c>
      <c r="M630">
        <v>40.24</v>
      </c>
      <c r="N630">
        <v>1218.75</v>
      </c>
      <c r="O630" t="s">
        <v>62</v>
      </c>
      <c r="P630" t="s">
        <v>56</v>
      </c>
      <c r="Q630">
        <f t="shared" si="27"/>
        <v>1</v>
      </c>
      <c r="R630" t="str">
        <f t="shared" si="28"/>
        <v>25-48 months</v>
      </c>
      <c r="S630" t="str">
        <f t="shared" si="29"/>
        <v>&lt; $50</v>
      </c>
    </row>
    <row r="631" spans="1:19" x14ac:dyDescent="0.35">
      <c r="A631" t="s">
        <v>695</v>
      </c>
      <c r="B631">
        <v>21</v>
      </c>
      <c r="C631" t="s">
        <v>55</v>
      </c>
      <c r="D631" t="s">
        <v>56</v>
      </c>
      <c r="E631" t="s">
        <v>56</v>
      </c>
      <c r="F631">
        <v>17</v>
      </c>
      <c r="G631" t="s">
        <v>56</v>
      </c>
      <c r="H631" t="s">
        <v>56</v>
      </c>
      <c r="I631" t="s">
        <v>30</v>
      </c>
      <c r="J631" t="s">
        <v>12</v>
      </c>
      <c r="K631" t="s">
        <v>55</v>
      </c>
      <c r="L631" t="s">
        <v>26</v>
      </c>
      <c r="M631">
        <v>106.08</v>
      </c>
      <c r="N631">
        <v>1748.16</v>
      </c>
      <c r="O631" t="s">
        <v>62</v>
      </c>
      <c r="P631" t="s">
        <v>56</v>
      </c>
      <c r="Q631">
        <f t="shared" si="27"/>
        <v>1</v>
      </c>
      <c r="R631" t="str">
        <f t="shared" si="28"/>
        <v>13-24 months</v>
      </c>
      <c r="S631" t="str">
        <f t="shared" si="29"/>
        <v>&gt; $100</v>
      </c>
    </row>
    <row r="632" spans="1:19" x14ac:dyDescent="0.35">
      <c r="A632" t="s">
        <v>696</v>
      </c>
      <c r="B632">
        <v>37</v>
      </c>
      <c r="C632" t="s">
        <v>55</v>
      </c>
      <c r="D632" t="s">
        <v>55</v>
      </c>
      <c r="E632" t="s">
        <v>55</v>
      </c>
      <c r="F632">
        <v>26</v>
      </c>
      <c r="G632" t="s">
        <v>55</v>
      </c>
      <c r="H632" t="s">
        <v>60</v>
      </c>
      <c r="I632" t="s">
        <v>30</v>
      </c>
      <c r="J632" t="s">
        <v>12</v>
      </c>
      <c r="K632" t="s">
        <v>55</v>
      </c>
      <c r="L632" t="s">
        <v>24</v>
      </c>
      <c r="M632">
        <v>78.39</v>
      </c>
      <c r="N632">
        <v>2023.8</v>
      </c>
      <c r="O632" t="s">
        <v>69</v>
      </c>
      <c r="P632" t="s">
        <v>55</v>
      </c>
      <c r="Q632">
        <f t="shared" si="27"/>
        <v>0</v>
      </c>
      <c r="R632" t="str">
        <f t="shared" si="28"/>
        <v>25-48 months</v>
      </c>
      <c r="S632" t="str">
        <f t="shared" si="29"/>
        <v>$76-$100</v>
      </c>
    </row>
    <row r="633" spans="1:19" x14ac:dyDescent="0.35">
      <c r="A633" t="s">
        <v>697</v>
      </c>
      <c r="B633">
        <v>45</v>
      </c>
      <c r="C633" t="s">
        <v>55</v>
      </c>
      <c r="D633" t="s">
        <v>56</v>
      </c>
      <c r="E633" t="s">
        <v>55</v>
      </c>
      <c r="F633">
        <v>3</v>
      </c>
      <c r="G633" t="s">
        <v>55</v>
      </c>
      <c r="H633" t="s">
        <v>60</v>
      </c>
      <c r="I633" t="s">
        <v>29</v>
      </c>
      <c r="J633" t="s">
        <v>14</v>
      </c>
      <c r="K633" t="s">
        <v>55</v>
      </c>
      <c r="L633" t="s">
        <v>24</v>
      </c>
      <c r="M633">
        <v>46.11</v>
      </c>
      <c r="N633">
        <v>142.09</v>
      </c>
      <c r="O633" t="s">
        <v>64</v>
      </c>
      <c r="P633" t="s">
        <v>56</v>
      </c>
      <c r="Q633">
        <f t="shared" si="27"/>
        <v>1</v>
      </c>
      <c r="R633" t="str">
        <f t="shared" si="28"/>
        <v>0-12 months</v>
      </c>
      <c r="S633" t="str">
        <f t="shared" si="29"/>
        <v>&lt; $50</v>
      </c>
    </row>
    <row r="634" spans="1:19" x14ac:dyDescent="0.35">
      <c r="A634" t="s">
        <v>698</v>
      </c>
      <c r="B634">
        <v>37</v>
      </c>
      <c r="C634" t="s">
        <v>55</v>
      </c>
      <c r="D634" t="s">
        <v>55</v>
      </c>
      <c r="E634" t="s">
        <v>55</v>
      </c>
      <c r="F634">
        <v>49</v>
      </c>
      <c r="G634" t="s">
        <v>55</v>
      </c>
      <c r="H634" t="s">
        <v>60</v>
      </c>
      <c r="I634" t="s">
        <v>29</v>
      </c>
      <c r="J634" t="s">
        <v>12</v>
      </c>
      <c r="K634" t="s">
        <v>56</v>
      </c>
      <c r="L634" t="s">
        <v>1066</v>
      </c>
      <c r="M634">
        <v>47.83</v>
      </c>
      <c r="N634">
        <v>2460.6999999999998</v>
      </c>
      <c r="O634" t="s">
        <v>66</v>
      </c>
      <c r="P634" t="s">
        <v>56</v>
      </c>
      <c r="Q634">
        <f t="shared" si="27"/>
        <v>1</v>
      </c>
      <c r="R634" t="str">
        <f t="shared" si="28"/>
        <v>49+ months</v>
      </c>
      <c r="S634" t="str">
        <f t="shared" si="29"/>
        <v>&lt; $50</v>
      </c>
    </row>
    <row r="635" spans="1:19" x14ac:dyDescent="0.35">
      <c r="A635" t="s">
        <v>699</v>
      </c>
      <c r="B635">
        <v>50</v>
      </c>
      <c r="C635" t="s">
        <v>55</v>
      </c>
      <c r="D635" t="s">
        <v>55</v>
      </c>
      <c r="E635" t="s">
        <v>55</v>
      </c>
      <c r="F635">
        <v>52</v>
      </c>
      <c r="G635" t="s">
        <v>55</v>
      </c>
      <c r="H635" t="s">
        <v>60</v>
      </c>
      <c r="I635" t="s">
        <v>31</v>
      </c>
      <c r="J635" t="s">
        <v>14</v>
      </c>
      <c r="K635" t="s">
        <v>55</v>
      </c>
      <c r="L635" t="s">
        <v>24</v>
      </c>
      <c r="M635">
        <v>21.69</v>
      </c>
      <c r="N635">
        <v>1193.8599999999999</v>
      </c>
      <c r="O635" t="s">
        <v>80</v>
      </c>
      <c r="P635" t="s">
        <v>56</v>
      </c>
      <c r="Q635">
        <f t="shared" si="27"/>
        <v>1</v>
      </c>
      <c r="R635" t="str">
        <f t="shared" si="28"/>
        <v>49+ months</v>
      </c>
      <c r="S635" t="str">
        <f t="shared" si="29"/>
        <v>&lt; $50</v>
      </c>
    </row>
    <row r="636" spans="1:19" x14ac:dyDescent="0.35">
      <c r="A636" t="s">
        <v>700</v>
      </c>
      <c r="B636">
        <v>25</v>
      </c>
      <c r="C636" t="s">
        <v>55</v>
      </c>
      <c r="D636" t="s">
        <v>55</v>
      </c>
      <c r="E636" t="s">
        <v>56</v>
      </c>
      <c r="F636">
        <v>25</v>
      </c>
      <c r="G636" t="s">
        <v>55</v>
      </c>
      <c r="H636" t="s">
        <v>60</v>
      </c>
      <c r="I636" t="s">
        <v>29</v>
      </c>
      <c r="J636" t="s">
        <v>13</v>
      </c>
      <c r="K636" t="s">
        <v>55</v>
      </c>
      <c r="L636" t="s">
        <v>24</v>
      </c>
      <c r="M636">
        <v>59.54</v>
      </c>
      <c r="N636">
        <v>1522.17</v>
      </c>
      <c r="O636" t="s">
        <v>69</v>
      </c>
      <c r="P636" t="s">
        <v>55</v>
      </c>
      <c r="Q636">
        <f t="shared" si="27"/>
        <v>0</v>
      </c>
      <c r="R636" t="str">
        <f t="shared" si="28"/>
        <v>25-48 months</v>
      </c>
      <c r="S636" t="str">
        <f t="shared" si="29"/>
        <v>$50-$75</v>
      </c>
    </row>
    <row r="637" spans="1:19" x14ac:dyDescent="0.35">
      <c r="A637" t="s">
        <v>701</v>
      </c>
      <c r="B637">
        <v>42</v>
      </c>
      <c r="C637" t="s">
        <v>55</v>
      </c>
      <c r="D637" t="s">
        <v>55</v>
      </c>
      <c r="E637" t="s">
        <v>56</v>
      </c>
      <c r="F637">
        <v>32</v>
      </c>
      <c r="G637" t="s">
        <v>55</v>
      </c>
      <c r="H637" t="s">
        <v>60</v>
      </c>
      <c r="I637" t="s">
        <v>29</v>
      </c>
      <c r="J637" t="s">
        <v>13</v>
      </c>
      <c r="K637" t="s">
        <v>56</v>
      </c>
      <c r="L637" t="s">
        <v>1066</v>
      </c>
      <c r="M637">
        <v>65.81</v>
      </c>
      <c r="N637">
        <v>2045.61</v>
      </c>
      <c r="O637" t="s">
        <v>69</v>
      </c>
      <c r="P637" t="s">
        <v>55</v>
      </c>
      <c r="Q637">
        <f t="shared" si="27"/>
        <v>0</v>
      </c>
      <c r="R637" t="str">
        <f t="shared" si="28"/>
        <v>25-48 months</v>
      </c>
      <c r="S637" t="str">
        <f t="shared" si="29"/>
        <v>$50-$75</v>
      </c>
    </row>
    <row r="638" spans="1:19" x14ac:dyDescent="0.35">
      <c r="A638" t="s">
        <v>702</v>
      </c>
      <c r="B638">
        <v>27</v>
      </c>
      <c r="C638" t="s">
        <v>55</v>
      </c>
      <c r="D638" t="s">
        <v>55</v>
      </c>
      <c r="E638" t="s">
        <v>56</v>
      </c>
      <c r="F638">
        <v>21</v>
      </c>
      <c r="G638" t="s">
        <v>56</v>
      </c>
      <c r="H638" t="s">
        <v>55</v>
      </c>
      <c r="I638" t="s">
        <v>30</v>
      </c>
      <c r="J638" t="s">
        <v>14</v>
      </c>
      <c r="K638" t="s">
        <v>55</v>
      </c>
      <c r="L638" t="s">
        <v>1066</v>
      </c>
      <c r="M638">
        <v>118.71</v>
      </c>
      <c r="N638">
        <v>2367.37</v>
      </c>
      <c r="O638" t="s">
        <v>64</v>
      </c>
      <c r="P638" t="s">
        <v>55</v>
      </c>
      <c r="Q638">
        <f t="shared" si="27"/>
        <v>0</v>
      </c>
      <c r="R638" t="str">
        <f t="shared" si="28"/>
        <v>13-24 months</v>
      </c>
      <c r="S638" t="str">
        <f t="shared" si="29"/>
        <v>&gt; $100</v>
      </c>
    </row>
    <row r="639" spans="1:19" x14ac:dyDescent="0.35">
      <c r="A639" t="s">
        <v>703</v>
      </c>
      <c r="B639">
        <v>28</v>
      </c>
      <c r="C639" t="s">
        <v>55</v>
      </c>
      <c r="D639" t="s">
        <v>55</v>
      </c>
      <c r="E639" t="s">
        <v>55</v>
      </c>
      <c r="F639">
        <v>39</v>
      </c>
      <c r="G639" t="s">
        <v>55</v>
      </c>
      <c r="H639" t="s">
        <v>60</v>
      </c>
      <c r="I639" t="s">
        <v>29</v>
      </c>
      <c r="J639" t="s">
        <v>13</v>
      </c>
      <c r="K639" t="s">
        <v>55</v>
      </c>
      <c r="L639" t="s">
        <v>1066</v>
      </c>
      <c r="M639">
        <v>76.97</v>
      </c>
      <c r="N639">
        <v>3134.9</v>
      </c>
      <c r="O639" t="s">
        <v>58</v>
      </c>
      <c r="P639" t="s">
        <v>56</v>
      </c>
      <c r="Q639">
        <f t="shared" si="27"/>
        <v>1</v>
      </c>
      <c r="R639" t="str">
        <f t="shared" si="28"/>
        <v>25-48 months</v>
      </c>
      <c r="S639" t="str">
        <f t="shared" si="29"/>
        <v>$76-$100</v>
      </c>
    </row>
    <row r="640" spans="1:19" x14ac:dyDescent="0.35">
      <c r="A640" t="s">
        <v>704</v>
      </c>
      <c r="B640">
        <v>67</v>
      </c>
      <c r="C640" t="s">
        <v>56</v>
      </c>
      <c r="D640" t="s">
        <v>55</v>
      </c>
      <c r="E640" t="s">
        <v>56</v>
      </c>
      <c r="F640">
        <v>35</v>
      </c>
      <c r="G640" t="s">
        <v>55</v>
      </c>
      <c r="H640" t="s">
        <v>60</v>
      </c>
      <c r="I640" t="s">
        <v>29</v>
      </c>
      <c r="J640" t="s">
        <v>13</v>
      </c>
      <c r="K640" t="s">
        <v>56</v>
      </c>
      <c r="L640" t="s">
        <v>25</v>
      </c>
      <c r="M640">
        <v>72.66</v>
      </c>
      <c r="N640">
        <v>2391</v>
      </c>
      <c r="O640" t="s">
        <v>69</v>
      </c>
      <c r="P640" t="s">
        <v>56</v>
      </c>
      <c r="Q640">
        <f t="shared" si="27"/>
        <v>1</v>
      </c>
      <c r="R640" t="str">
        <f t="shared" si="28"/>
        <v>25-48 months</v>
      </c>
      <c r="S640" t="str">
        <f t="shared" si="29"/>
        <v>$50-$75</v>
      </c>
    </row>
    <row r="641" spans="1:19" x14ac:dyDescent="0.35">
      <c r="A641" t="s">
        <v>705</v>
      </c>
      <c r="B641">
        <v>44</v>
      </c>
      <c r="C641" t="s">
        <v>55</v>
      </c>
      <c r="D641" t="s">
        <v>55</v>
      </c>
      <c r="E641" t="s">
        <v>55</v>
      </c>
      <c r="F641">
        <v>56</v>
      </c>
      <c r="G641" t="s">
        <v>55</v>
      </c>
      <c r="H641" t="s">
        <v>60</v>
      </c>
      <c r="I641" t="s">
        <v>30</v>
      </c>
      <c r="J641" t="s">
        <v>12</v>
      </c>
      <c r="K641" t="s">
        <v>56</v>
      </c>
      <c r="L641" t="s">
        <v>26</v>
      </c>
      <c r="M641">
        <v>79.099999999999994</v>
      </c>
      <c r="N641">
        <v>4667.99</v>
      </c>
      <c r="O641" t="s">
        <v>66</v>
      </c>
      <c r="P641" t="s">
        <v>56</v>
      </c>
      <c r="Q641">
        <f t="shared" si="27"/>
        <v>1</v>
      </c>
      <c r="R641" t="str">
        <f t="shared" si="28"/>
        <v>49+ months</v>
      </c>
      <c r="S641" t="str">
        <f t="shared" si="29"/>
        <v>$76-$100</v>
      </c>
    </row>
    <row r="642" spans="1:19" x14ac:dyDescent="0.35">
      <c r="A642" t="s">
        <v>706</v>
      </c>
      <c r="B642">
        <v>31</v>
      </c>
      <c r="C642" t="s">
        <v>55</v>
      </c>
      <c r="D642" t="s">
        <v>56</v>
      </c>
      <c r="E642" t="s">
        <v>56</v>
      </c>
      <c r="F642">
        <v>8</v>
      </c>
      <c r="G642" t="s">
        <v>56</v>
      </c>
      <c r="H642" t="s">
        <v>56</v>
      </c>
      <c r="I642" t="s">
        <v>29</v>
      </c>
      <c r="J642" t="s">
        <v>14</v>
      </c>
      <c r="K642" t="s">
        <v>55</v>
      </c>
      <c r="L642" t="s">
        <v>24</v>
      </c>
      <c r="M642">
        <v>76.52</v>
      </c>
      <c r="N642">
        <v>583.45000000000005</v>
      </c>
      <c r="O642" t="s">
        <v>80</v>
      </c>
      <c r="P642" t="s">
        <v>55</v>
      </c>
      <c r="Q642">
        <f t="shared" si="27"/>
        <v>0</v>
      </c>
      <c r="R642" t="str">
        <f t="shared" si="28"/>
        <v>0-12 months</v>
      </c>
      <c r="S642" t="str">
        <f t="shared" si="29"/>
        <v>$76-$100</v>
      </c>
    </row>
    <row r="643" spans="1:19" x14ac:dyDescent="0.35">
      <c r="A643" t="s">
        <v>707</v>
      </c>
      <c r="B643">
        <v>36</v>
      </c>
      <c r="C643" t="s">
        <v>55</v>
      </c>
      <c r="D643" t="s">
        <v>56</v>
      </c>
      <c r="E643" t="s">
        <v>55</v>
      </c>
      <c r="F643">
        <v>16</v>
      </c>
      <c r="G643" t="s">
        <v>55</v>
      </c>
      <c r="H643" t="s">
        <v>60</v>
      </c>
      <c r="I643" t="s">
        <v>30</v>
      </c>
      <c r="J643" t="s">
        <v>12</v>
      </c>
      <c r="K643" t="s">
        <v>56</v>
      </c>
      <c r="L643" t="s">
        <v>24</v>
      </c>
      <c r="M643">
        <v>103.64</v>
      </c>
      <c r="N643">
        <v>1578.81</v>
      </c>
      <c r="O643" t="s">
        <v>66</v>
      </c>
      <c r="P643" t="s">
        <v>56</v>
      </c>
      <c r="Q643">
        <f t="shared" ref="Q643:Q706" si="30">IF(P643="Yes",1,0)</f>
        <v>1</v>
      </c>
      <c r="R643" t="str">
        <f t="shared" ref="R643:R706" si="31">IF(F643&lt;=12,"0-12 months",IF(F643&lt;=24,"13-24 months",IF(F643&lt;=48,"25-48 months","49+ months")))</f>
        <v>13-24 months</v>
      </c>
      <c r="S643" t="str">
        <f t="shared" ref="S643:S706" si="32">IF(M643&lt;50,"&lt; $50",IF(M643&lt;=75,"$50-$75",IF(M643&lt;=100,"$76-$100","&gt; $100")))</f>
        <v>&gt; $100</v>
      </c>
    </row>
    <row r="644" spans="1:19" x14ac:dyDescent="0.35">
      <c r="A644" t="s">
        <v>708</v>
      </c>
      <c r="B644">
        <v>18</v>
      </c>
      <c r="C644" t="s">
        <v>55</v>
      </c>
      <c r="D644" t="s">
        <v>56</v>
      </c>
      <c r="E644" t="s">
        <v>56</v>
      </c>
      <c r="F644">
        <v>28</v>
      </c>
      <c r="G644" t="s">
        <v>56</v>
      </c>
      <c r="H644" t="s">
        <v>55</v>
      </c>
      <c r="I644" t="s">
        <v>29</v>
      </c>
      <c r="J644" t="s">
        <v>12</v>
      </c>
      <c r="K644" t="s">
        <v>55</v>
      </c>
      <c r="L644" t="s">
        <v>25</v>
      </c>
      <c r="M644">
        <v>58.93</v>
      </c>
      <c r="N644">
        <v>1617.77</v>
      </c>
      <c r="O644" t="s">
        <v>76</v>
      </c>
      <c r="P644" t="s">
        <v>55</v>
      </c>
      <c r="Q644">
        <f t="shared" si="30"/>
        <v>0</v>
      </c>
      <c r="R644" t="str">
        <f t="shared" si="31"/>
        <v>25-48 months</v>
      </c>
      <c r="S644" t="str">
        <f t="shared" si="32"/>
        <v>$50-$75</v>
      </c>
    </row>
    <row r="645" spans="1:19" x14ac:dyDescent="0.35">
      <c r="A645" t="s">
        <v>709</v>
      </c>
      <c r="B645">
        <v>61</v>
      </c>
      <c r="C645" t="s">
        <v>56</v>
      </c>
      <c r="D645" t="s">
        <v>55</v>
      </c>
      <c r="E645" t="s">
        <v>55</v>
      </c>
      <c r="F645">
        <v>31</v>
      </c>
      <c r="G645" t="s">
        <v>55</v>
      </c>
      <c r="H645" t="s">
        <v>60</v>
      </c>
      <c r="I645" t="s">
        <v>31</v>
      </c>
      <c r="J645" t="s">
        <v>12</v>
      </c>
      <c r="K645" t="s">
        <v>56</v>
      </c>
      <c r="L645" t="s">
        <v>25</v>
      </c>
      <c r="M645">
        <v>28.48</v>
      </c>
      <c r="N645">
        <v>915.33</v>
      </c>
      <c r="O645" t="s">
        <v>66</v>
      </c>
      <c r="P645" t="s">
        <v>56</v>
      </c>
      <c r="Q645">
        <f t="shared" si="30"/>
        <v>1</v>
      </c>
      <c r="R645" t="str">
        <f t="shared" si="31"/>
        <v>25-48 months</v>
      </c>
      <c r="S645" t="str">
        <f t="shared" si="32"/>
        <v>&lt; $50</v>
      </c>
    </row>
    <row r="646" spans="1:19" x14ac:dyDescent="0.35">
      <c r="A646" t="s">
        <v>710</v>
      </c>
      <c r="B646">
        <v>62</v>
      </c>
      <c r="C646" t="s">
        <v>56</v>
      </c>
      <c r="D646" t="s">
        <v>55</v>
      </c>
      <c r="E646" t="s">
        <v>56</v>
      </c>
      <c r="F646">
        <v>4</v>
      </c>
      <c r="G646" t="s">
        <v>55</v>
      </c>
      <c r="H646" t="s">
        <v>60</v>
      </c>
      <c r="I646" t="s">
        <v>29</v>
      </c>
      <c r="J646" t="s">
        <v>14</v>
      </c>
      <c r="K646" t="s">
        <v>56</v>
      </c>
      <c r="L646" t="s">
        <v>24</v>
      </c>
      <c r="M646">
        <v>64.73</v>
      </c>
      <c r="N646">
        <v>263.86</v>
      </c>
      <c r="O646" t="s">
        <v>64</v>
      </c>
      <c r="P646" t="s">
        <v>55</v>
      </c>
      <c r="Q646">
        <f t="shared" si="30"/>
        <v>0</v>
      </c>
      <c r="R646" t="str">
        <f t="shared" si="31"/>
        <v>0-12 months</v>
      </c>
      <c r="S646" t="str">
        <f t="shared" si="32"/>
        <v>$50-$75</v>
      </c>
    </row>
    <row r="647" spans="1:19" x14ac:dyDescent="0.35">
      <c r="A647" t="s">
        <v>711</v>
      </c>
      <c r="B647">
        <v>60</v>
      </c>
      <c r="C647" t="s">
        <v>56</v>
      </c>
      <c r="D647" t="s">
        <v>56</v>
      </c>
      <c r="E647" t="s">
        <v>56</v>
      </c>
      <c r="F647">
        <v>42</v>
      </c>
      <c r="G647" t="s">
        <v>55</v>
      </c>
      <c r="H647" t="s">
        <v>60</v>
      </c>
      <c r="I647" t="s">
        <v>30</v>
      </c>
      <c r="J647" t="s">
        <v>14</v>
      </c>
      <c r="K647" t="s">
        <v>55</v>
      </c>
      <c r="L647" t="s">
        <v>1066</v>
      </c>
      <c r="M647">
        <v>81.680000000000007</v>
      </c>
      <c r="N647">
        <v>3424.19</v>
      </c>
      <c r="O647" t="s">
        <v>66</v>
      </c>
      <c r="P647" t="s">
        <v>55</v>
      </c>
      <c r="Q647">
        <f t="shared" si="30"/>
        <v>0</v>
      </c>
      <c r="R647" t="str">
        <f t="shared" si="31"/>
        <v>25-48 months</v>
      </c>
      <c r="S647" t="str">
        <f t="shared" si="32"/>
        <v>$76-$100</v>
      </c>
    </row>
    <row r="648" spans="1:19" x14ac:dyDescent="0.35">
      <c r="A648" t="s">
        <v>712</v>
      </c>
      <c r="B648">
        <v>23</v>
      </c>
      <c r="C648" t="s">
        <v>55</v>
      </c>
      <c r="D648" t="s">
        <v>55</v>
      </c>
      <c r="E648" t="s">
        <v>55</v>
      </c>
      <c r="F648">
        <v>61</v>
      </c>
      <c r="G648" t="s">
        <v>56</v>
      </c>
      <c r="H648" t="s">
        <v>55</v>
      </c>
      <c r="I648" t="s">
        <v>31</v>
      </c>
      <c r="J648" t="s">
        <v>12</v>
      </c>
      <c r="K648" t="s">
        <v>56</v>
      </c>
      <c r="L648" t="s">
        <v>1066</v>
      </c>
      <c r="M648">
        <v>28.44</v>
      </c>
      <c r="N648">
        <v>1813.16</v>
      </c>
      <c r="O648" t="s">
        <v>69</v>
      </c>
      <c r="P648" t="s">
        <v>55</v>
      </c>
      <c r="Q648">
        <f t="shared" si="30"/>
        <v>0</v>
      </c>
      <c r="R648" t="str">
        <f t="shared" si="31"/>
        <v>49+ months</v>
      </c>
      <c r="S648" t="str">
        <f t="shared" si="32"/>
        <v>&lt; $50</v>
      </c>
    </row>
    <row r="649" spans="1:19" x14ac:dyDescent="0.35">
      <c r="A649" t="s">
        <v>713</v>
      </c>
      <c r="B649">
        <v>50</v>
      </c>
      <c r="C649" t="s">
        <v>55</v>
      </c>
      <c r="D649" t="s">
        <v>56</v>
      </c>
      <c r="E649" t="s">
        <v>56</v>
      </c>
      <c r="F649">
        <v>64</v>
      </c>
      <c r="G649" t="s">
        <v>55</v>
      </c>
      <c r="H649" t="s">
        <v>60</v>
      </c>
      <c r="I649" t="s">
        <v>29</v>
      </c>
      <c r="J649" t="s">
        <v>14</v>
      </c>
      <c r="K649" t="s">
        <v>55</v>
      </c>
      <c r="L649" t="s">
        <v>26</v>
      </c>
      <c r="M649">
        <v>57.85</v>
      </c>
      <c r="N649">
        <v>3531.65</v>
      </c>
      <c r="O649" t="s">
        <v>62</v>
      </c>
      <c r="P649" t="s">
        <v>55</v>
      </c>
      <c r="Q649">
        <f t="shared" si="30"/>
        <v>0</v>
      </c>
      <c r="R649" t="str">
        <f t="shared" si="31"/>
        <v>49+ months</v>
      </c>
      <c r="S649" t="str">
        <f t="shared" si="32"/>
        <v>$50-$75</v>
      </c>
    </row>
    <row r="650" spans="1:19" x14ac:dyDescent="0.35">
      <c r="A650" t="s">
        <v>714</v>
      </c>
      <c r="B650">
        <v>33</v>
      </c>
      <c r="C650" t="s">
        <v>55</v>
      </c>
      <c r="D650" t="s">
        <v>56</v>
      </c>
      <c r="E650" t="s">
        <v>56</v>
      </c>
      <c r="F650">
        <v>12</v>
      </c>
      <c r="G650" t="s">
        <v>56</v>
      </c>
      <c r="H650" t="s">
        <v>56</v>
      </c>
      <c r="I650" t="s">
        <v>30</v>
      </c>
      <c r="J650" t="s">
        <v>14</v>
      </c>
      <c r="K650" t="s">
        <v>55</v>
      </c>
      <c r="L650" t="s">
        <v>1066</v>
      </c>
      <c r="M650">
        <v>81.02</v>
      </c>
      <c r="N650">
        <v>943.96</v>
      </c>
      <c r="O650" t="s">
        <v>69</v>
      </c>
      <c r="P650" t="s">
        <v>55</v>
      </c>
      <c r="Q650">
        <f t="shared" si="30"/>
        <v>0</v>
      </c>
      <c r="R650" t="str">
        <f t="shared" si="31"/>
        <v>0-12 months</v>
      </c>
      <c r="S650" t="str">
        <f t="shared" si="32"/>
        <v>$76-$100</v>
      </c>
    </row>
    <row r="651" spans="1:19" x14ac:dyDescent="0.35">
      <c r="A651" t="s">
        <v>715</v>
      </c>
      <c r="B651">
        <v>25</v>
      </c>
      <c r="C651" t="s">
        <v>55</v>
      </c>
      <c r="D651" t="s">
        <v>56</v>
      </c>
      <c r="E651" t="s">
        <v>55</v>
      </c>
      <c r="F651">
        <v>12</v>
      </c>
      <c r="G651" t="s">
        <v>55</v>
      </c>
      <c r="H651" t="s">
        <v>60</v>
      </c>
      <c r="I651" t="s">
        <v>29</v>
      </c>
      <c r="J651" t="s">
        <v>14</v>
      </c>
      <c r="K651" t="s">
        <v>56</v>
      </c>
      <c r="L651" t="s">
        <v>1066</v>
      </c>
      <c r="M651">
        <v>55.08</v>
      </c>
      <c r="N651">
        <v>678.21</v>
      </c>
      <c r="O651" t="s">
        <v>64</v>
      </c>
      <c r="P651" t="s">
        <v>55</v>
      </c>
      <c r="Q651">
        <f t="shared" si="30"/>
        <v>0</v>
      </c>
      <c r="R651" t="str">
        <f t="shared" si="31"/>
        <v>0-12 months</v>
      </c>
      <c r="S651" t="str">
        <f t="shared" si="32"/>
        <v>$50-$75</v>
      </c>
    </row>
    <row r="652" spans="1:19" x14ac:dyDescent="0.35">
      <c r="A652" t="s">
        <v>716</v>
      </c>
      <c r="B652">
        <v>59</v>
      </c>
      <c r="C652" t="s">
        <v>55</v>
      </c>
      <c r="D652" t="s">
        <v>55</v>
      </c>
      <c r="E652" t="s">
        <v>56</v>
      </c>
      <c r="F652">
        <v>29</v>
      </c>
      <c r="G652" t="s">
        <v>55</v>
      </c>
      <c r="H652" t="s">
        <v>60</v>
      </c>
      <c r="I652" t="s">
        <v>30</v>
      </c>
      <c r="J652" t="s">
        <v>12</v>
      </c>
      <c r="K652" t="s">
        <v>56</v>
      </c>
      <c r="L652" t="s">
        <v>26</v>
      </c>
      <c r="M652">
        <v>99.61</v>
      </c>
      <c r="N652">
        <v>2780.59</v>
      </c>
      <c r="O652" t="s">
        <v>58</v>
      </c>
      <c r="P652" t="s">
        <v>55</v>
      </c>
      <c r="Q652">
        <f t="shared" si="30"/>
        <v>0</v>
      </c>
      <c r="R652" t="str">
        <f t="shared" si="31"/>
        <v>25-48 months</v>
      </c>
      <c r="S652" t="str">
        <f t="shared" si="32"/>
        <v>$76-$100</v>
      </c>
    </row>
    <row r="653" spans="1:19" x14ac:dyDescent="0.35">
      <c r="A653" t="s">
        <v>717</v>
      </c>
      <c r="B653">
        <v>41</v>
      </c>
      <c r="C653" t="s">
        <v>55</v>
      </c>
      <c r="D653" t="s">
        <v>56</v>
      </c>
      <c r="E653" t="s">
        <v>55</v>
      </c>
      <c r="F653">
        <v>49</v>
      </c>
      <c r="G653" t="s">
        <v>56</v>
      </c>
      <c r="H653" t="s">
        <v>56</v>
      </c>
      <c r="I653" t="s">
        <v>29</v>
      </c>
      <c r="J653" t="s">
        <v>13</v>
      </c>
      <c r="K653" t="s">
        <v>56</v>
      </c>
      <c r="L653" t="s">
        <v>1066</v>
      </c>
      <c r="M653">
        <v>79.19</v>
      </c>
      <c r="N653">
        <v>3796.33</v>
      </c>
      <c r="O653" t="s">
        <v>69</v>
      </c>
      <c r="P653" t="s">
        <v>55</v>
      </c>
      <c r="Q653">
        <f t="shared" si="30"/>
        <v>0</v>
      </c>
      <c r="R653" t="str">
        <f t="shared" si="31"/>
        <v>49+ months</v>
      </c>
      <c r="S653" t="str">
        <f t="shared" si="32"/>
        <v>$76-$100</v>
      </c>
    </row>
    <row r="654" spans="1:19" x14ac:dyDescent="0.35">
      <c r="A654" t="s">
        <v>718</v>
      </c>
      <c r="B654">
        <v>68</v>
      </c>
      <c r="C654" t="s">
        <v>56</v>
      </c>
      <c r="D654" t="s">
        <v>56</v>
      </c>
      <c r="E654" t="s">
        <v>56</v>
      </c>
      <c r="F654">
        <v>14</v>
      </c>
      <c r="G654" t="s">
        <v>55</v>
      </c>
      <c r="H654" t="s">
        <v>60</v>
      </c>
      <c r="I654" t="s">
        <v>30</v>
      </c>
      <c r="J654" t="s">
        <v>12</v>
      </c>
      <c r="K654" t="s">
        <v>55</v>
      </c>
      <c r="L654" t="s">
        <v>1066</v>
      </c>
      <c r="M654">
        <v>94.99</v>
      </c>
      <c r="N654">
        <v>1322.8</v>
      </c>
      <c r="O654" t="s">
        <v>62</v>
      </c>
      <c r="P654" t="s">
        <v>55</v>
      </c>
      <c r="Q654">
        <f t="shared" si="30"/>
        <v>0</v>
      </c>
      <c r="R654" t="str">
        <f t="shared" si="31"/>
        <v>13-24 months</v>
      </c>
      <c r="S654" t="str">
        <f t="shared" si="32"/>
        <v>$76-$100</v>
      </c>
    </row>
    <row r="655" spans="1:19" x14ac:dyDescent="0.35">
      <c r="A655" t="s">
        <v>719</v>
      </c>
      <c r="B655">
        <v>65</v>
      </c>
      <c r="C655" t="s">
        <v>56</v>
      </c>
      <c r="D655" t="s">
        <v>56</v>
      </c>
      <c r="E655" t="s">
        <v>55</v>
      </c>
      <c r="F655">
        <v>40</v>
      </c>
      <c r="G655" t="s">
        <v>56</v>
      </c>
      <c r="H655" t="s">
        <v>56</v>
      </c>
      <c r="I655" t="s">
        <v>29</v>
      </c>
      <c r="J655" t="s">
        <v>14</v>
      </c>
      <c r="K655" t="s">
        <v>55</v>
      </c>
      <c r="L655" t="s">
        <v>1066</v>
      </c>
      <c r="M655">
        <v>48.63</v>
      </c>
      <c r="N655">
        <v>1896.53</v>
      </c>
      <c r="O655" t="s">
        <v>80</v>
      </c>
      <c r="P655" t="s">
        <v>55</v>
      </c>
      <c r="Q655">
        <f t="shared" si="30"/>
        <v>0</v>
      </c>
      <c r="R655" t="str">
        <f t="shared" si="31"/>
        <v>25-48 months</v>
      </c>
      <c r="S655" t="str">
        <f t="shared" si="32"/>
        <v>&lt; $50</v>
      </c>
    </row>
    <row r="656" spans="1:19" x14ac:dyDescent="0.35">
      <c r="A656" t="s">
        <v>720</v>
      </c>
      <c r="B656">
        <v>69</v>
      </c>
      <c r="C656" t="s">
        <v>56</v>
      </c>
      <c r="D656" t="s">
        <v>55</v>
      </c>
      <c r="E656" t="s">
        <v>56</v>
      </c>
      <c r="F656">
        <v>27</v>
      </c>
      <c r="G656" t="s">
        <v>56</v>
      </c>
      <c r="H656" t="s">
        <v>55</v>
      </c>
      <c r="I656" t="s">
        <v>31</v>
      </c>
      <c r="J656" t="s">
        <v>12</v>
      </c>
      <c r="K656" t="s">
        <v>56</v>
      </c>
      <c r="L656" t="s">
        <v>25</v>
      </c>
      <c r="M656">
        <v>26.73</v>
      </c>
      <c r="N656">
        <v>704.31</v>
      </c>
      <c r="O656" t="s">
        <v>66</v>
      </c>
      <c r="P656" t="s">
        <v>55</v>
      </c>
      <c r="Q656">
        <f t="shared" si="30"/>
        <v>0</v>
      </c>
      <c r="R656" t="str">
        <f t="shared" si="31"/>
        <v>25-48 months</v>
      </c>
      <c r="S656" t="str">
        <f t="shared" si="32"/>
        <v>&lt; $50</v>
      </c>
    </row>
    <row r="657" spans="1:19" x14ac:dyDescent="0.35">
      <c r="A657" t="s">
        <v>721</v>
      </c>
      <c r="B657">
        <v>28</v>
      </c>
      <c r="C657" t="s">
        <v>55</v>
      </c>
      <c r="D657" t="s">
        <v>56</v>
      </c>
      <c r="E657" t="s">
        <v>55</v>
      </c>
      <c r="F657">
        <v>44</v>
      </c>
      <c r="G657" t="s">
        <v>55</v>
      </c>
      <c r="H657" t="s">
        <v>60</v>
      </c>
      <c r="I657" t="s">
        <v>30</v>
      </c>
      <c r="J657" t="s">
        <v>14</v>
      </c>
      <c r="K657" t="s">
        <v>55</v>
      </c>
      <c r="L657" t="s">
        <v>24</v>
      </c>
      <c r="M657">
        <v>96.39</v>
      </c>
      <c r="N657">
        <v>4130.74</v>
      </c>
      <c r="O657" t="s">
        <v>62</v>
      </c>
      <c r="P657" t="s">
        <v>55</v>
      </c>
      <c r="Q657">
        <f t="shared" si="30"/>
        <v>0</v>
      </c>
      <c r="R657" t="str">
        <f t="shared" si="31"/>
        <v>25-48 months</v>
      </c>
      <c r="S657" t="str">
        <f t="shared" si="32"/>
        <v>$76-$100</v>
      </c>
    </row>
    <row r="658" spans="1:19" x14ac:dyDescent="0.35">
      <c r="A658" t="s">
        <v>722</v>
      </c>
      <c r="B658">
        <v>62</v>
      </c>
      <c r="C658" t="s">
        <v>56</v>
      </c>
      <c r="D658" t="s">
        <v>55</v>
      </c>
      <c r="E658" t="s">
        <v>56</v>
      </c>
      <c r="F658">
        <v>17</v>
      </c>
      <c r="G658" t="s">
        <v>56</v>
      </c>
      <c r="H658" t="s">
        <v>55</v>
      </c>
      <c r="I658" t="s">
        <v>30</v>
      </c>
      <c r="J658" t="s">
        <v>13</v>
      </c>
      <c r="K658" t="s">
        <v>55</v>
      </c>
      <c r="L658" t="s">
        <v>1066</v>
      </c>
      <c r="M658">
        <v>98.86</v>
      </c>
      <c r="N658">
        <v>1668.9</v>
      </c>
      <c r="O658" t="s">
        <v>62</v>
      </c>
      <c r="P658" t="s">
        <v>55</v>
      </c>
      <c r="Q658">
        <f t="shared" si="30"/>
        <v>0</v>
      </c>
      <c r="R658" t="str">
        <f t="shared" si="31"/>
        <v>13-24 months</v>
      </c>
      <c r="S658" t="str">
        <f t="shared" si="32"/>
        <v>$76-$100</v>
      </c>
    </row>
    <row r="659" spans="1:19" x14ac:dyDescent="0.35">
      <c r="A659" t="s">
        <v>723</v>
      </c>
      <c r="B659">
        <v>31</v>
      </c>
      <c r="C659" t="s">
        <v>55</v>
      </c>
      <c r="D659" t="s">
        <v>56</v>
      </c>
      <c r="E659" t="s">
        <v>56</v>
      </c>
      <c r="F659">
        <v>2</v>
      </c>
      <c r="G659" t="s">
        <v>56</v>
      </c>
      <c r="H659" t="s">
        <v>55</v>
      </c>
      <c r="I659" t="s">
        <v>30</v>
      </c>
      <c r="J659" t="s">
        <v>14</v>
      </c>
      <c r="K659" t="s">
        <v>56</v>
      </c>
      <c r="L659" t="s">
        <v>24</v>
      </c>
      <c r="M659">
        <v>119.14</v>
      </c>
      <c r="N659">
        <v>243.41</v>
      </c>
      <c r="O659" t="s">
        <v>80</v>
      </c>
      <c r="P659" t="s">
        <v>56</v>
      </c>
      <c r="Q659">
        <f t="shared" si="30"/>
        <v>1</v>
      </c>
      <c r="R659" t="str">
        <f t="shared" si="31"/>
        <v>0-12 months</v>
      </c>
      <c r="S659" t="str">
        <f t="shared" si="32"/>
        <v>&gt; $100</v>
      </c>
    </row>
    <row r="660" spans="1:19" x14ac:dyDescent="0.35">
      <c r="A660" t="s">
        <v>724</v>
      </c>
      <c r="B660">
        <v>24</v>
      </c>
      <c r="C660" t="s">
        <v>55</v>
      </c>
      <c r="D660" t="s">
        <v>55</v>
      </c>
      <c r="E660" t="s">
        <v>55</v>
      </c>
      <c r="F660">
        <v>23</v>
      </c>
      <c r="G660" t="s">
        <v>56</v>
      </c>
      <c r="H660" t="s">
        <v>55</v>
      </c>
      <c r="I660" t="s">
        <v>31</v>
      </c>
      <c r="J660" t="s">
        <v>13</v>
      </c>
      <c r="K660" t="s">
        <v>55</v>
      </c>
      <c r="L660" t="s">
        <v>25</v>
      </c>
      <c r="M660">
        <v>25.52</v>
      </c>
      <c r="N660">
        <v>580.20000000000005</v>
      </c>
      <c r="O660" t="s">
        <v>62</v>
      </c>
      <c r="P660" t="s">
        <v>56</v>
      </c>
      <c r="Q660">
        <f t="shared" si="30"/>
        <v>1</v>
      </c>
      <c r="R660" t="str">
        <f t="shared" si="31"/>
        <v>13-24 months</v>
      </c>
      <c r="S660" t="str">
        <f t="shared" si="32"/>
        <v>&lt; $50</v>
      </c>
    </row>
    <row r="661" spans="1:19" x14ac:dyDescent="0.35">
      <c r="A661" t="s">
        <v>725</v>
      </c>
      <c r="B661">
        <v>43</v>
      </c>
      <c r="C661" t="s">
        <v>55</v>
      </c>
      <c r="D661" t="s">
        <v>55</v>
      </c>
      <c r="E661" t="s">
        <v>55</v>
      </c>
      <c r="F661">
        <v>23</v>
      </c>
      <c r="G661" t="s">
        <v>55</v>
      </c>
      <c r="H661" t="s">
        <v>60</v>
      </c>
      <c r="I661" t="s">
        <v>29</v>
      </c>
      <c r="J661" t="s">
        <v>13</v>
      </c>
      <c r="K661" t="s">
        <v>56</v>
      </c>
      <c r="L661" t="s">
        <v>1066</v>
      </c>
      <c r="M661">
        <v>74.599999999999994</v>
      </c>
      <c r="N661">
        <v>1746.75</v>
      </c>
      <c r="O661" t="s">
        <v>69</v>
      </c>
      <c r="P661" t="s">
        <v>55</v>
      </c>
      <c r="Q661">
        <f t="shared" si="30"/>
        <v>0</v>
      </c>
      <c r="R661" t="str">
        <f t="shared" si="31"/>
        <v>13-24 months</v>
      </c>
      <c r="S661" t="str">
        <f t="shared" si="32"/>
        <v>$50-$75</v>
      </c>
    </row>
    <row r="662" spans="1:19" x14ac:dyDescent="0.35">
      <c r="A662" t="s">
        <v>726</v>
      </c>
      <c r="B662">
        <v>46</v>
      </c>
      <c r="C662" t="s">
        <v>55</v>
      </c>
      <c r="D662" t="s">
        <v>55</v>
      </c>
      <c r="E662" t="s">
        <v>56</v>
      </c>
      <c r="F662">
        <v>16</v>
      </c>
      <c r="G662" t="s">
        <v>56</v>
      </c>
      <c r="H662" t="s">
        <v>55</v>
      </c>
      <c r="I662" t="s">
        <v>30</v>
      </c>
      <c r="J662" t="s">
        <v>13</v>
      </c>
      <c r="K662" t="s">
        <v>56</v>
      </c>
      <c r="L662" t="s">
        <v>26</v>
      </c>
      <c r="M662">
        <v>98.65</v>
      </c>
      <c r="N662">
        <v>1592.16</v>
      </c>
      <c r="O662" t="s">
        <v>69</v>
      </c>
      <c r="P662" t="s">
        <v>56</v>
      </c>
      <c r="Q662">
        <f t="shared" si="30"/>
        <v>1</v>
      </c>
      <c r="R662" t="str">
        <f t="shared" si="31"/>
        <v>13-24 months</v>
      </c>
      <c r="S662" t="str">
        <f t="shared" si="32"/>
        <v>$76-$100</v>
      </c>
    </row>
    <row r="663" spans="1:19" x14ac:dyDescent="0.35">
      <c r="A663" t="s">
        <v>727</v>
      </c>
      <c r="B663">
        <v>24</v>
      </c>
      <c r="C663" t="s">
        <v>55</v>
      </c>
      <c r="D663" t="s">
        <v>56</v>
      </c>
      <c r="E663" t="s">
        <v>55</v>
      </c>
      <c r="F663">
        <v>62</v>
      </c>
      <c r="G663" t="s">
        <v>55</v>
      </c>
      <c r="H663" t="s">
        <v>60</v>
      </c>
      <c r="I663" t="s">
        <v>31</v>
      </c>
      <c r="J663" t="s">
        <v>12</v>
      </c>
      <c r="K663" t="s">
        <v>56</v>
      </c>
      <c r="L663" t="s">
        <v>26</v>
      </c>
      <c r="M663">
        <v>18.760000000000002</v>
      </c>
      <c r="N663">
        <v>1220.19</v>
      </c>
      <c r="O663" t="s">
        <v>62</v>
      </c>
      <c r="P663" t="s">
        <v>55</v>
      </c>
      <c r="Q663">
        <f t="shared" si="30"/>
        <v>0</v>
      </c>
      <c r="R663" t="str">
        <f t="shared" si="31"/>
        <v>49+ months</v>
      </c>
      <c r="S663" t="str">
        <f t="shared" si="32"/>
        <v>&lt; $50</v>
      </c>
    </row>
    <row r="664" spans="1:19" x14ac:dyDescent="0.35">
      <c r="A664" t="s">
        <v>728</v>
      </c>
      <c r="B664">
        <v>43</v>
      </c>
      <c r="C664" t="s">
        <v>55</v>
      </c>
      <c r="D664" t="s">
        <v>56</v>
      </c>
      <c r="E664" t="s">
        <v>55</v>
      </c>
      <c r="F664">
        <v>72</v>
      </c>
      <c r="G664" t="s">
        <v>55</v>
      </c>
      <c r="H664" t="s">
        <v>60</v>
      </c>
      <c r="I664" t="s">
        <v>31</v>
      </c>
      <c r="J664" t="s">
        <v>12</v>
      </c>
      <c r="K664" t="s">
        <v>56</v>
      </c>
      <c r="L664" t="s">
        <v>1066</v>
      </c>
      <c r="M664">
        <v>20.49</v>
      </c>
      <c r="N664">
        <v>1503.35</v>
      </c>
      <c r="O664" t="s">
        <v>66</v>
      </c>
      <c r="P664" t="s">
        <v>56</v>
      </c>
      <c r="Q664">
        <f t="shared" si="30"/>
        <v>1</v>
      </c>
      <c r="R664" t="str">
        <f t="shared" si="31"/>
        <v>49+ months</v>
      </c>
      <c r="S664" t="str">
        <f t="shared" si="32"/>
        <v>&lt; $50</v>
      </c>
    </row>
    <row r="665" spans="1:19" x14ac:dyDescent="0.35">
      <c r="A665" t="s">
        <v>729</v>
      </c>
      <c r="B665">
        <v>56</v>
      </c>
      <c r="C665" t="s">
        <v>55</v>
      </c>
      <c r="D665" t="s">
        <v>56</v>
      </c>
      <c r="E665" t="s">
        <v>56</v>
      </c>
      <c r="F665">
        <v>72</v>
      </c>
      <c r="G665" t="s">
        <v>55</v>
      </c>
      <c r="H665" t="s">
        <v>60</v>
      </c>
      <c r="I665" t="s">
        <v>30</v>
      </c>
      <c r="J665" t="s">
        <v>12</v>
      </c>
      <c r="K665" t="s">
        <v>56</v>
      </c>
      <c r="L665" t="s">
        <v>24</v>
      </c>
      <c r="M665">
        <v>102.63</v>
      </c>
      <c r="N665">
        <v>7023.87</v>
      </c>
      <c r="O665" t="s">
        <v>66</v>
      </c>
      <c r="P665" t="s">
        <v>56</v>
      </c>
      <c r="Q665">
        <f t="shared" si="30"/>
        <v>1</v>
      </c>
      <c r="R665" t="str">
        <f t="shared" si="31"/>
        <v>49+ months</v>
      </c>
      <c r="S665" t="str">
        <f t="shared" si="32"/>
        <v>&gt; $100</v>
      </c>
    </row>
    <row r="666" spans="1:19" x14ac:dyDescent="0.35">
      <c r="A666" t="s">
        <v>730</v>
      </c>
      <c r="B666">
        <v>20</v>
      </c>
      <c r="C666" t="s">
        <v>55</v>
      </c>
      <c r="D666" t="s">
        <v>56</v>
      </c>
      <c r="E666" t="s">
        <v>56</v>
      </c>
      <c r="F666">
        <v>65</v>
      </c>
      <c r="G666" t="s">
        <v>56</v>
      </c>
      <c r="H666" t="s">
        <v>55</v>
      </c>
      <c r="I666" t="s">
        <v>30</v>
      </c>
      <c r="J666" t="s">
        <v>14</v>
      </c>
      <c r="K666" t="s">
        <v>56</v>
      </c>
      <c r="L666" t="s">
        <v>26</v>
      </c>
      <c r="M666">
        <v>72.31</v>
      </c>
      <c r="N666">
        <v>4951.59</v>
      </c>
      <c r="O666" t="s">
        <v>76</v>
      </c>
      <c r="P666" t="s">
        <v>55</v>
      </c>
      <c r="Q666">
        <f t="shared" si="30"/>
        <v>0</v>
      </c>
      <c r="R666" t="str">
        <f t="shared" si="31"/>
        <v>49+ months</v>
      </c>
      <c r="S666" t="str">
        <f t="shared" si="32"/>
        <v>$50-$75</v>
      </c>
    </row>
    <row r="667" spans="1:19" x14ac:dyDescent="0.35">
      <c r="A667" t="s">
        <v>731</v>
      </c>
      <c r="B667">
        <v>60</v>
      </c>
      <c r="C667" t="s">
        <v>56</v>
      </c>
      <c r="D667" t="s">
        <v>55</v>
      </c>
      <c r="E667" t="s">
        <v>56</v>
      </c>
      <c r="F667">
        <v>63</v>
      </c>
      <c r="G667" t="s">
        <v>55</v>
      </c>
      <c r="H667" t="s">
        <v>60</v>
      </c>
      <c r="I667" t="s">
        <v>29</v>
      </c>
      <c r="J667" t="s">
        <v>13</v>
      </c>
      <c r="K667" t="s">
        <v>56</v>
      </c>
      <c r="L667" t="s">
        <v>1066</v>
      </c>
      <c r="M667">
        <v>66.5</v>
      </c>
      <c r="N667">
        <v>3960.62</v>
      </c>
      <c r="O667" t="s">
        <v>62</v>
      </c>
      <c r="P667" t="s">
        <v>56</v>
      </c>
      <c r="Q667">
        <f t="shared" si="30"/>
        <v>1</v>
      </c>
      <c r="R667" t="str">
        <f t="shared" si="31"/>
        <v>49+ months</v>
      </c>
      <c r="S667" t="str">
        <f t="shared" si="32"/>
        <v>$50-$75</v>
      </c>
    </row>
    <row r="668" spans="1:19" x14ac:dyDescent="0.35">
      <c r="A668" t="s">
        <v>732</v>
      </c>
      <c r="B668">
        <v>37</v>
      </c>
      <c r="C668" t="s">
        <v>55</v>
      </c>
      <c r="D668" t="s">
        <v>56</v>
      </c>
      <c r="E668" t="s">
        <v>56</v>
      </c>
      <c r="F668">
        <v>71</v>
      </c>
      <c r="G668" t="s">
        <v>55</v>
      </c>
      <c r="H668" t="s">
        <v>60</v>
      </c>
      <c r="I668" t="s">
        <v>30</v>
      </c>
      <c r="J668" t="s">
        <v>12</v>
      </c>
      <c r="K668" t="s">
        <v>55</v>
      </c>
      <c r="L668" t="s">
        <v>26</v>
      </c>
      <c r="M668">
        <v>82.75</v>
      </c>
      <c r="N668">
        <v>5791.9</v>
      </c>
      <c r="O668" t="s">
        <v>64</v>
      </c>
      <c r="P668" t="s">
        <v>55</v>
      </c>
      <c r="Q668">
        <f t="shared" si="30"/>
        <v>0</v>
      </c>
      <c r="R668" t="str">
        <f t="shared" si="31"/>
        <v>49+ months</v>
      </c>
      <c r="S668" t="str">
        <f t="shared" si="32"/>
        <v>$76-$100</v>
      </c>
    </row>
    <row r="669" spans="1:19" x14ac:dyDescent="0.35">
      <c r="A669" t="s">
        <v>733</v>
      </c>
      <c r="B669">
        <v>47</v>
      </c>
      <c r="C669" t="s">
        <v>55</v>
      </c>
      <c r="D669" t="s">
        <v>56</v>
      </c>
      <c r="E669" t="s">
        <v>55</v>
      </c>
      <c r="F669">
        <v>55</v>
      </c>
      <c r="G669" t="s">
        <v>56</v>
      </c>
      <c r="H669" t="s">
        <v>55</v>
      </c>
      <c r="I669" t="s">
        <v>31</v>
      </c>
      <c r="J669" t="s">
        <v>12</v>
      </c>
      <c r="K669" t="s">
        <v>55</v>
      </c>
      <c r="L669" t="s">
        <v>25</v>
      </c>
      <c r="M669">
        <v>26.36</v>
      </c>
      <c r="N669">
        <v>1396.32</v>
      </c>
      <c r="O669" t="s">
        <v>69</v>
      </c>
      <c r="P669" t="s">
        <v>55</v>
      </c>
      <c r="Q669">
        <f t="shared" si="30"/>
        <v>0</v>
      </c>
      <c r="R669" t="str">
        <f t="shared" si="31"/>
        <v>49+ months</v>
      </c>
      <c r="S669" t="str">
        <f t="shared" si="32"/>
        <v>&lt; $50</v>
      </c>
    </row>
    <row r="670" spans="1:19" x14ac:dyDescent="0.35">
      <c r="A670" t="s">
        <v>734</v>
      </c>
      <c r="B670">
        <v>59</v>
      </c>
      <c r="C670" t="s">
        <v>55</v>
      </c>
      <c r="D670" t="s">
        <v>56</v>
      </c>
      <c r="E670" t="s">
        <v>55</v>
      </c>
      <c r="F670">
        <v>20</v>
      </c>
      <c r="G670" t="s">
        <v>55</v>
      </c>
      <c r="H670" t="s">
        <v>60</v>
      </c>
      <c r="I670" t="s">
        <v>30</v>
      </c>
      <c r="J670" t="s">
        <v>12</v>
      </c>
      <c r="K670" t="s">
        <v>56</v>
      </c>
      <c r="L670" t="s">
        <v>26</v>
      </c>
      <c r="M670">
        <v>76.23</v>
      </c>
      <c r="N670">
        <v>1453.25</v>
      </c>
      <c r="O670" t="s">
        <v>80</v>
      </c>
      <c r="P670" t="s">
        <v>55</v>
      </c>
      <c r="Q670">
        <f t="shared" si="30"/>
        <v>0</v>
      </c>
      <c r="R670" t="str">
        <f t="shared" si="31"/>
        <v>13-24 months</v>
      </c>
      <c r="S670" t="str">
        <f t="shared" si="32"/>
        <v>$76-$100</v>
      </c>
    </row>
    <row r="671" spans="1:19" x14ac:dyDescent="0.35">
      <c r="A671" t="s">
        <v>735</v>
      </c>
      <c r="B671">
        <v>39</v>
      </c>
      <c r="C671" t="s">
        <v>55</v>
      </c>
      <c r="D671" t="s">
        <v>56</v>
      </c>
      <c r="E671" t="s">
        <v>55</v>
      </c>
      <c r="F671">
        <v>43</v>
      </c>
      <c r="G671" t="s">
        <v>56</v>
      </c>
      <c r="H671" t="s">
        <v>55</v>
      </c>
      <c r="I671" t="s">
        <v>29</v>
      </c>
      <c r="J671" t="s">
        <v>12</v>
      </c>
      <c r="K671" t="s">
        <v>56</v>
      </c>
      <c r="L671" t="s">
        <v>26</v>
      </c>
      <c r="M671">
        <v>79.180000000000007</v>
      </c>
      <c r="N671">
        <v>3291.25</v>
      </c>
      <c r="O671" t="s">
        <v>66</v>
      </c>
      <c r="P671" t="s">
        <v>55</v>
      </c>
      <c r="Q671">
        <f t="shared" si="30"/>
        <v>0</v>
      </c>
      <c r="R671" t="str">
        <f t="shared" si="31"/>
        <v>25-48 months</v>
      </c>
      <c r="S671" t="str">
        <f t="shared" si="32"/>
        <v>$76-$100</v>
      </c>
    </row>
    <row r="672" spans="1:19" x14ac:dyDescent="0.35">
      <c r="A672" t="s">
        <v>736</v>
      </c>
      <c r="B672">
        <v>25</v>
      </c>
      <c r="C672" t="s">
        <v>55</v>
      </c>
      <c r="D672" t="s">
        <v>56</v>
      </c>
      <c r="E672" t="s">
        <v>55</v>
      </c>
      <c r="F672">
        <v>63</v>
      </c>
      <c r="G672" t="s">
        <v>55</v>
      </c>
      <c r="H672" t="s">
        <v>60</v>
      </c>
      <c r="I672" t="s">
        <v>30</v>
      </c>
      <c r="J672" t="s">
        <v>13</v>
      </c>
      <c r="K672" t="s">
        <v>55</v>
      </c>
      <c r="L672" t="s">
        <v>24</v>
      </c>
      <c r="M672">
        <v>100.37</v>
      </c>
      <c r="N672">
        <v>6624.23</v>
      </c>
      <c r="O672" t="s">
        <v>66</v>
      </c>
      <c r="P672" t="s">
        <v>56</v>
      </c>
      <c r="Q672">
        <f t="shared" si="30"/>
        <v>1</v>
      </c>
      <c r="R672" t="str">
        <f t="shared" si="31"/>
        <v>49+ months</v>
      </c>
      <c r="S672" t="str">
        <f t="shared" si="32"/>
        <v>&gt; $100</v>
      </c>
    </row>
    <row r="673" spans="1:19" x14ac:dyDescent="0.35">
      <c r="A673" t="s">
        <v>737</v>
      </c>
      <c r="B673">
        <v>42</v>
      </c>
      <c r="C673" t="s">
        <v>55</v>
      </c>
      <c r="D673" t="s">
        <v>56</v>
      </c>
      <c r="E673" t="s">
        <v>55</v>
      </c>
      <c r="F673">
        <v>69</v>
      </c>
      <c r="G673" t="s">
        <v>55</v>
      </c>
      <c r="H673" t="s">
        <v>60</v>
      </c>
      <c r="I673" t="s">
        <v>29</v>
      </c>
      <c r="J673" t="s">
        <v>12</v>
      </c>
      <c r="K673" t="s">
        <v>56</v>
      </c>
      <c r="L673" t="s">
        <v>26</v>
      </c>
      <c r="M673">
        <v>67.47</v>
      </c>
      <c r="N673">
        <v>4774.55</v>
      </c>
      <c r="O673" t="s">
        <v>62</v>
      </c>
      <c r="P673" t="s">
        <v>55</v>
      </c>
      <c r="Q673">
        <f t="shared" si="30"/>
        <v>0</v>
      </c>
      <c r="R673" t="str">
        <f t="shared" si="31"/>
        <v>49+ months</v>
      </c>
      <c r="S673" t="str">
        <f t="shared" si="32"/>
        <v>$50-$75</v>
      </c>
    </row>
    <row r="674" spans="1:19" x14ac:dyDescent="0.35">
      <c r="A674" t="s">
        <v>738</v>
      </c>
      <c r="B674">
        <v>42</v>
      </c>
      <c r="C674" t="s">
        <v>55</v>
      </c>
      <c r="D674" t="s">
        <v>55</v>
      </c>
      <c r="E674" t="s">
        <v>56</v>
      </c>
      <c r="F674">
        <v>48</v>
      </c>
      <c r="G674" t="s">
        <v>56</v>
      </c>
      <c r="H674" t="s">
        <v>55</v>
      </c>
      <c r="I674" t="s">
        <v>29</v>
      </c>
      <c r="J674" t="s">
        <v>12</v>
      </c>
      <c r="K674" t="s">
        <v>55</v>
      </c>
      <c r="L674" t="s">
        <v>26</v>
      </c>
      <c r="M674">
        <v>79.45</v>
      </c>
      <c r="N674">
        <v>3950.19</v>
      </c>
      <c r="O674" t="s">
        <v>76</v>
      </c>
      <c r="P674" t="s">
        <v>55</v>
      </c>
      <c r="Q674">
        <f t="shared" si="30"/>
        <v>0</v>
      </c>
      <c r="R674" t="str">
        <f t="shared" si="31"/>
        <v>25-48 months</v>
      </c>
      <c r="S674" t="str">
        <f t="shared" si="32"/>
        <v>$76-$100</v>
      </c>
    </row>
    <row r="675" spans="1:19" x14ac:dyDescent="0.35">
      <c r="A675" t="s">
        <v>739</v>
      </c>
      <c r="B675">
        <v>45</v>
      </c>
      <c r="C675" t="s">
        <v>55</v>
      </c>
      <c r="D675" t="s">
        <v>56</v>
      </c>
      <c r="E675" t="s">
        <v>55</v>
      </c>
      <c r="F675">
        <v>12</v>
      </c>
      <c r="G675" t="s">
        <v>55</v>
      </c>
      <c r="H675" t="s">
        <v>60</v>
      </c>
      <c r="I675" t="s">
        <v>31</v>
      </c>
      <c r="J675" t="s">
        <v>13</v>
      </c>
      <c r="K675" t="s">
        <v>56</v>
      </c>
      <c r="L675" t="s">
        <v>1066</v>
      </c>
      <c r="M675">
        <v>18.920000000000002</v>
      </c>
      <c r="N675">
        <v>219.96</v>
      </c>
      <c r="O675" t="s">
        <v>58</v>
      </c>
      <c r="P675" t="s">
        <v>56</v>
      </c>
      <c r="Q675">
        <f t="shared" si="30"/>
        <v>1</v>
      </c>
      <c r="R675" t="str">
        <f t="shared" si="31"/>
        <v>0-12 months</v>
      </c>
      <c r="S675" t="str">
        <f t="shared" si="32"/>
        <v>&lt; $50</v>
      </c>
    </row>
    <row r="676" spans="1:19" x14ac:dyDescent="0.35">
      <c r="A676" t="s">
        <v>740</v>
      </c>
      <c r="B676">
        <v>21</v>
      </c>
      <c r="C676" t="s">
        <v>55</v>
      </c>
      <c r="D676" t="s">
        <v>56</v>
      </c>
      <c r="E676" t="s">
        <v>55</v>
      </c>
      <c r="F676">
        <v>71</v>
      </c>
      <c r="G676" t="s">
        <v>56</v>
      </c>
      <c r="H676" t="s">
        <v>55</v>
      </c>
      <c r="I676" t="s">
        <v>31</v>
      </c>
      <c r="J676" t="s">
        <v>12</v>
      </c>
      <c r="K676" t="s">
        <v>56</v>
      </c>
      <c r="L676" t="s">
        <v>24</v>
      </c>
      <c r="M676">
        <v>24.18</v>
      </c>
      <c r="N676">
        <v>1819.37</v>
      </c>
      <c r="O676" t="s">
        <v>69</v>
      </c>
      <c r="P676" t="s">
        <v>55</v>
      </c>
      <c r="Q676">
        <f t="shared" si="30"/>
        <v>0</v>
      </c>
      <c r="R676" t="str">
        <f t="shared" si="31"/>
        <v>49+ months</v>
      </c>
      <c r="S676" t="str">
        <f t="shared" si="32"/>
        <v>&lt; $50</v>
      </c>
    </row>
    <row r="677" spans="1:19" x14ac:dyDescent="0.35">
      <c r="A677" t="s">
        <v>741</v>
      </c>
      <c r="B677">
        <v>25</v>
      </c>
      <c r="C677" t="s">
        <v>55</v>
      </c>
      <c r="D677" t="s">
        <v>55</v>
      </c>
      <c r="E677" t="s">
        <v>56</v>
      </c>
      <c r="F677">
        <v>25</v>
      </c>
      <c r="G677" t="s">
        <v>56</v>
      </c>
      <c r="H677" t="s">
        <v>55</v>
      </c>
      <c r="I677" t="s">
        <v>31</v>
      </c>
      <c r="J677" t="s">
        <v>13</v>
      </c>
      <c r="K677" t="s">
        <v>55</v>
      </c>
      <c r="L677" t="s">
        <v>26</v>
      </c>
      <c r="M677">
        <v>26.87</v>
      </c>
      <c r="N677">
        <v>708.09</v>
      </c>
      <c r="O677" t="s">
        <v>58</v>
      </c>
      <c r="P677" t="s">
        <v>55</v>
      </c>
      <c r="Q677">
        <f t="shared" si="30"/>
        <v>0</v>
      </c>
      <c r="R677" t="str">
        <f t="shared" si="31"/>
        <v>25-48 months</v>
      </c>
      <c r="S677" t="str">
        <f t="shared" si="32"/>
        <v>&lt; $50</v>
      </c>
    </row>
    <row r="678" spans="1:19" x14ac:dyDescent="0.35">
      <c r="A678" t="s">
        <v>742</v>
      </c>
      <c r="B678">
        <v>61</v>
      </c>
      <c r="C678" t="s">
        <v>56</v>
      </c>
      <c r="D678" t="s">
        <v>56</v>
      </c>
      <c r="E678" t="s">
        <v>55</v>
      </c>
      <c r="F678">
        <v>22</v>
      </c>
      <c r="G678" t="s">
        <v>56</v>
      </c>
      <c r="H678" t="s">
        <v>56</v>
      </c>
      <c r="I678" t="s">
        <v>29</v>
      </c>
      <c r="J678" t="s">
        <v>12</v>
      </c>
      <c r="K678" t="s">
        <v>56</v>
      </c>
      <c r="L678" t="s">
        <v>24</v>
      </c>
      <c r="M678">
        <v>78.099999999999994</v>
      </c>
      <c r="N678">
        <v>1702.27</v>
      </c>
      <c r="O678" t="s">
        <v>76</v>
      </c>
      <c r="P678" t="s">
        <v>55</v>
      </c>
      <c r="Q678">
        <f t="shared" si="30"/>
        <v>0</v>
      </c>
      <c r="R678" t="str">
        <f t="shared" si="31"/>
        <v>13-24 months</v>
      </c>
      <c r="S678" t="str">
        <f t="shared" si="32"/>
        <v>$76-$100</v>
      </c>
    </row>
    <row r="679" spans="1:19" x14ac:dyDescent="0.35">
      <c r="A679" t="s">
        <v>743</v>
      </c>
      <c r="B679">
        <v>25</v>
      </c>
      <c r="C679" t="s">
        <v>55</v>
      </c>
      <c r="D679" t="s">
        <v>55</v>
      </c>
      <c r="E679" t="s">
        <v>56</v>
      </c>
      <c r="F679">
        <v>70</v>
      </c>
      <c r="G679" t="s">
        <v>56</v>
      </c>
      <c r="H679" t="s">
        <v>56</v>
      </c>
      <c r="I679" t="s">
        <v>31</v>
      </c>
      <c r="J679" t="s">
        <v>12</v>
      </c>
      <c r="K679" t="s">
        <v>55</v>
      </c>
      <c r="L679" t="s">
        <v>26</v>
      </c>
      <c r="M679">
        <v>26.86</v>
      </c>
      <c r="N679">
        <v>1895.73</v>
      </c>
      <c r="O679" t="s">
        <v>76</v>
      </c>
      <c r="P679" t="s">
        <v>56</v>
      </c>
      <c r="Q679">
        <f t="shared" si="30"/>
        <v>1</v>
      </c>
      <c r="R679" t="str">
        <f t="shared" si="31"/>
        <v>49+ months</v>
      </c>
      <c r="S679" t="str">
        <f t="shared" si="32"/>
        <v>&lt; $50</v>
      </c>
    </row>
    <row r="680" spans="1:19" x14ac:dyDescent="0.35">
      <c r="A680" t="s">
        <v>744</v>
      </c>
      <c r="B680">
        <v>59</v>
      </c>
      <c r="C680" t="s">
        <v>55</v>
      </c>
      <c r="D680" t="s">
        <v>56</v>
      </c>
      <c r="E680" t="s">
        <v>55</v>
      </c>
      <c r="F680">
        <v>63</v>
      </c>
      <c r="G680" t="s">
        <v>56</v>
      </c>
      <c r="H680" t="s">
        <v>55</v>
      </c>
      <c r="I680" t="s">
        <v>30</v>
      </c>
      <c r="J680" t="s">
        <v>12</v>
      </c>
      <c r="K680" t="s">
        <v>55</v>
      </c>
      <c r="L680" t="s">
        <v>26</v>
      </c>
      <c r="M680">
        <v>87.49</v>
      </c>
      <c r="N680">
        <v>5658.99</v>
      </c>
      <c r="O680" t="s">
        <v>80</v>
      </c>
      <c r="P680" t="s">
        <v>56</v>
      </c>
      <c r="Q680">
        <f t="shared" si="30"/>
        <v>1</v>
      </c>
      <c r="R680" t="str">
        <f t="shared" si="31"/>
        <v>49+ months</v>
      </c>
      <c r="S680" t="str">
        <f t="shared" si="32"/>
        <v>$76-$100</v>
      </c>
    </row>
    <row r="681" spans="1:19" x14ac:dyDescent="0.35">
      <c r="A681" t="s">
        <v>745</v>
      </c>
      <c r="B681">
        <v>24</v>
      </c>
      <c r="C681" t="s">
        <v>55</v>
      </c>
      <c r="D681" t="s">
        <v>55</v>
      </c>
      <c r="E681" t="s">
        <v>55</v>
      </c>
      <c r="F681">
        <v>26</v>
      </c>
      <c r="G681" t="s">
        <v>56</v>
      </c>
      <c r="H681" t="s">
        <v>55</v>
      </c>
      <c r="I681" t="s">
        <v>30</v>
      </c>
      <c r="J681" t="s">
        <v>14</v>
      </c>
      <c r="K681" t="s">
        <v>56</v>
      </c>
      <c r="L681" t="s">
        <v>26</v>
      </c>
      <c r="M681">
        <v>102.83</v>
      </c>
      <c r="N681">
        <v>2585.6999999999998</v>
      </c>
      <c r="O681" t="s">
        <v>76</v>
      </c>
      <c r="P681" t="s">
        <v>55</v>
      </c>
      <c r="Q681">
        <f t="shared" si="30"/>
        <v>0</v>
      </c>
      <c r="R681" t="str">
        <f t="shared" si="31"/>
        <v>25-48 months</v>
      </c>
      <c r="S681" t="str">
        <f t="shared" si="32"/>
        <v>&gt; $100</v>
      </c>
    </row>
    <row r="682" spans="1:19" x14ac:dyDescent="0.35">
      <c r="A682" t="s">
        <v>746</v>
      </c>
      <c r="B682">
        <v>41</v>
      </c>
      <c r="C682" t="s">
        <v>55</v>
      </c>
      <c r="D682" t="s">
        <v>55</v>
      </c>
      <c r="E682" t="s">
        <v>56</v>
      </c>
      <c r="F682">
        <v>69</v>
      </c>
      <c r="G682" t="s">
        <v>56</v>
      </c>
      <c r="H682" t="s">
        <v>55</v>
      </c>
      <c r="I682" t="s">
        <v>31</v>
      </c>
      <c r="J682" t="s">
        <v>13</v>
      </c>
      <c r="K682" t="s">
        <v>55</v>
      </c>
      <c r="L682" t="s">
        <v>26</v>
      </c>
      <c r="M682">
        <v>22.24</v>
      </c>
      <c r="N682">
        <v>1522.4</v>
      </c>
      <c r="O682" t="s">
        <v>66</v>
      </c>
      <c r="P682" t="s">
        <v>55</v>
      </c>
      <c r="Q682">
        <f t="shared" si="30"/>
        <v>0</v>
      </c>
      <c r="R682" t="str">
        <f t="shared" si="31"/>
        <v>49+ months</v>
      </c>
      <c r="S682" t="str">
        <f t="shared" si="32"/>
        <v>&lt; $50</v>
      </c>
    </row>
    <row r="683" spans="1:19" x14ac:dyDescent="0.35">
      <c r="A683" t="s">
        <v>747</v>
      </c>
      <c r="B683">
        <v>63</v>
      </c>
      <c r="C683" t="s">
        <v>56</v>
      </c>
      <c r="D683" t="s">
        <v>56</v>
      </c>
      <c r="E683" t="s">
        <v>56</v>
      </c>
      <c r="F683">
        <v>25</v>
      </c>
      <c r="G683" t="s">
        <v>56</v>
      </c>
      <c r="H683" t="s">
        <v>55</v>
      </c>
      <c r="I683" t="s">
        <v>30</v>
      </c>
      <c r="J683" t="s">
        <v>13</v>
      </c>
      <c r="K683" t="s">
        <v>56</v>
      </c>
      <c r="L683" t="s">
        <v>26</v>
      </c>
      <c r="M683">
        <v>79.95</v>
      </c>
      <c r="N683">
        <v>1993.78</v>
      </c>
      <c r="O683" t="s">
        <v>76</v>
      </c>
      <c r="P683" t="s">
        <v>55</v>
      </c>
      <c r="Q683">
        <f t="shared" si="30"/>
        <v>0</v>
      </c>
      <c r="R683" t="str">
        <f t="shared" si="31"/>
        <v>25-48 months</v>
      </c>
      <c r="S683" t="str">
        <f t="shared" si="32"/>
        <v>$76-$100</v>
      </c>
    </row>
    <row r="684" spans="1:19" x14ac:dyDescent="0.35">
      <c r="A684" t="s">
        <v>748</v>
      </c>
      <c r="B684">
        <v>25</v>
      </c>
      <c r="C684" t="s">
        <v>55</v>
      </c>
      <c r="D684" t="s">
        <v>55</v>
      </c>
      <c r="E684" t="s">
        <v>55</v>
      </c>
      <c r="F684">
        <v>71</v>
      </c>
      <c r="G684" t="s">
        <v>56</v>
      </c>
      <c r="H684" t="s">
        <v>56</v>
      </c>
      <c r="I684" t="s">
        <v>29</v>
      </c>
      <c r="J684" t="s">
        <v>13</v>
      </c>
      <c r="K684" t="s">
        <v>55</v>
      </c>
      <c r="L684" t="s">
        <v>24</v>
      </c>
      <c r="M684">
        <v>76.94</v>
      </c>
      <c r="N684">
        <v>5687.63</v>
      </c>
      <c r="O684" t="s">
        <v>80</v>
      </c>
      <c r="P684" t="s">
        <v>55</v>
      </c>
      <c r="Q684">
        <f t="shared" si="30"/>
        <v>0</v>
      </c>
      <c r="R684" t="str">
        <f t="shared" si="31"/>
        <v>49+ months</v>
      </c>
      <c r="S684" t="str">
        <f t="shared" si="32"/>
        <v>$76-$100</v>
      </c>
    </row>
    <row r="685" spans="1:19" x14ac:dyDescent="0.35">
      <c r="A685" t="s">
        <v>749</v>
      </c>
      <c r="B685">
        <v>24</v>
      </c>
      <c r="C685" t="s">
        <v>55</v>
      </c>
      <c r="D685" t="s">
        <v>56</v>
      </c>
      <c r="E685" t="s">
        <v>56</v>
      </c>
      <c r="F685">
        <v>20</v>
      </c>
      <c r="G685" t="s">
        <v>56</v>
      </c>
      <c r="H685" t="s">
        <v>55</v>
      </c>
      <c r="I685" t="s">
        <v>30</v>
      </c>
      <c r="J685" t="s">
        <v>12</v>
      </c>
      <c r="K685" t="s">
        <v>55</v>
      </c>
      <c r="L685" t="s">
        <v>24</v>
      </c>
      <c r="M685">
        <v>99.85</v>
      </c>
      <c r="N685">
        <v>1879.1</v>
      </c>
      <c r="O685" t="s">
        <v>76</v>
      </c>
      <c r="P685" t="s">
        <v>55</v>
      </c>
      <c r="Q685">
        <f t="shared" si="30"/>
        <v>0</v>
      </c>
      <c r="R685" t="str">
        <f t="shared" si="31"/>
        <v>13-24 months</v>
      </c>
      <c r="S685" t="str">
        <f t="shared" si="32"/>
        <v>$76-$100</v>
      </c>
    </row>
    <row r="686" spans="1:19" x14ac:dyDescent="0.35">
      <c r="A686" t="s">
        <v>750</v>
      </c>
      <c r="B686">
        <v>49</v>
      </c>
      <c r="C686" t="s">
        <v>55</v>
      </c>
      <c r="D686" t="s">
        <v>56</v>
      </c>
      <c r="E686" t="s">
        <v>55</v>
      </c>
      <c r="F686">
        <v>32</v>
      </c>
      <c r="G686" t="s">
        <v>56</v>
      </c>
      <c r="H686" t="s">
        <v>56</v>
      </c>
      <c r="I686" t="s">
        <v>29</v>
      </c>
      <c r="J686" t="s">
        <v>13</v>
      </c>
      <c r="K686" t="s">
        <v>55</v>
      </c>
      <c r="L686" t="s">
        <v>25</v>
      </c>
      <c r="M686">
        <v>49.89</v>
      </c>
      <c r="N686">
        <v>1657.9</v>
      </c>
      <c r="O686" t="s">
        <v>69</v>
      </c>
      <c r="P686" t="s">
        <v>55</v>
      </c>
      <c r="Q686">
        <f t="shared" si="30"/>
        <v>0</v>
      </c>
      <c r="R686" t="str">
        <f t="shared" si="31"/>
        <v>25-48 months</v>
      </c>
      <c r="S686" t="str">
        <f t="shared" si="32"/>
        <v>&lt; $50</v>
      </c>
    </row>
    <row r="687" spans="1:19" x14ac:dyDescent="0.35">
      <c r="A687" t="s">
        <v>751</v>
      </c>
      <c r="B687">
        <v>68</v>
      </c>
      <c r="C687" t="s">
        <v>56</v>
      </c>
      <c r="D687" t="s">
        <v>56</v>
      </c>
      <c r="E687" t="s">
        <v>56</v>
      </c>
      <c r="F687">
        <v>25</v>
      </c>
      <c r="G687" t="s">
        <v>56</v>
      </c>
      <c r="H687" t="s">
        <v>56</v>
      </c>
      <c r="I687" t="s">
        <v>31</v>
      </c>
      <c r="J687" t="s">
        <v>12</v>
      </c>
      <c r="K687" t="s">
        <v>56</v>
      </c>
      <c r="L687" t="s">
        <v>26</v>
      </c>
      <c r="M687">
        <v>20.309999999999999</v>
      </c>
      <c r="N687">
        <v>486.19</v>
      </c>
      <c r="O687" t="s">
        <v>62</v>
      </c>
      <c r="P687" t="s">
        <v>56</v>
      </c>
      <c r="Q687">
        <f t="shared" si="30"/>
        <v>1</v>
      </c>
      <c r="R687" t="str">
        <f t="shared" si="31"/>
        <v>25-48 months</v>
      </c>
      <c r="S687" t="str">
        <f t="shared" si="32"/>
        <v>&lt; $50</v>
      </c>
    </row>
    <row r="688" spans="1:19" x14ac:dyDescent="0.35">
      <c r="A688" t="s">
        <v>752</v>
      </c>
      <c r="B688">
        <v>23</v>
      </c>
      <c r="C688" t="s">
        <v>55</v>
      </c>
      <c r="D688" t="s">
        <v>56</v>
      </c>
      <c r="E688" t="s">
        <v>55</v>
      </c>
      <c r="F688">
        <v>53</v>
      </c>
      <c r="G688" t="s">
        <v>56</v>
      </c>
      <c r="H688" t="s">
        <v>56</v>
      </c>
      <c r="I688" t="s">
        <v>29</v>
      </c>
      <c r="J688" t="s">
        <v>12</v>
      </c>
      <c r="K688" t="s">
        <v>56</v>
      </c>
      <c r="L688" t="s">
        <v>24</v>
      </c>
      <c r="M688">
        <v>65.75</v>
      </c>
      <c r="N688">
        <v>3402.91</v>
      </c>
      <c r="O688" t="s">
        <v>76</v>
      </c>
      <c r="P688" t="s">
        <v>56</v>
      </c>
      <c r="Q688">
        <f t="shared" si="30"/>
        <v>1</v>
      </c>
      <c r="R688" t="str">
        <f t="shared" si="31"/>
        <v>49+ months</v>
      </c>
      <c r="S688" t="str">
        <f t="shared" si="32"/>
        <v>$50-$75</v>
      </c>
    </row>
    <row r="689" spans="1:19" x14ac:dyDescent="0.35">
      <c r="A689" t="s">
        <v>753</v>
      </c>
      <c r="B689">
        <v>40</v>
      </c>
      <c r="C689" t="s">
        <v>55</v>
      </c>
      <c r="D689" t="s">
        <v>55</v>
      </c>
      <c r="E689" t="s">
        <v>56</v>
      </c>
      <c r="F689">
        <v>41</v>
      </c>
      <c r="G689" t="s">
        <v>56</v>
      </c>
      <c r="H689" t="s">
        <v>56</v>
      </c>
      <c r="I689" t="s">
        <v>31</v>
      </c>
      <c r="J689" t="s">
        <v>12</v>
      </c>
      <c r="K689" t="s">
        <v>55</v>
      </c>
      <c r="L689" t="s">
        <v>26</v>
      </c>
      <c r="M689">
        <v>23.66</v>
      </c>
      <c r="N689">
        <v>1017.61</v>
      </c>
      <c r="O689" t="s">
        <v>62</v>
      </c>
      <c r="P689" t="s">
        <v>56</v>
      </c>
      <c r="Q689">
        <f t="shared" si="30"/>
        <v>1</v>
      </c>
      <c r="R689" t="str">
        <f t="shared" si="31"/>
        <v>25-48 months</v>
      </c>
      <c r="S689" t="str">
        <f t="shared" si="32"/>
        <v>&lt; $50</v>
      </c>
    </row>
    <row r="690" spans="1:19" x14ac:dyDescent="0.35">
      <c r="A690" t="s">
        <v>754</v>
      </c>
      <c r="B690">
        <v>34</v>
      </c>
      <c r="C690" t="s">
        <v>55</v>
      </c>
      <c r="D690" t="s">
        <v>55</v>
      </c>
      <c r="E690" t="s">
        <v>55</v>
      </c>
      <c r="F690">
        <v>43</v>
      </c>
      <c r="G690" t="s">
        <v>56</v>
      </c>
      <c r="H690" t="s">
        <v>55</v>
      </c>
      <c r="I690" t="s">
        <v>30</v>
      </c>
      <c r="J690" t="s">
        <v>13</v>
      </c>
      <c r="K690" t="s">
        <v>56</v>
      </c>
      <c r="L690" t="s">
        <v>26</v>
      </c>
      <c r="M690">
        <v>107.06</v>
      </c>
      <c r="N690">
        <v>4527</v>
      </c>
      <c r="O690" t="s">
        <v>58</v>
      </c>
      <c r="P690" t="s">
        <v>55</v>
      </c>
      <c r="Q690">
        <f t="shared" si="30"/>
        <v>0</v>
      </c>
      <c r="R690" t="str">
        <f t="shared" si="31"/>
        <v>25-48 months</v>
      </c>
      <c r="S690" t="str">
        <f t="shared" si="32"/>
        <v>&gt; $100</v>
      </c>
    </row>
    <row r="691" spans="1:19" x14ac:dyDescent="0.35">
      <c r="A691" t="s">
        <v>755</v>
      </c>
      <c r="B691">
        <v>56</v>
      </c>
      <c r="C691" t="s">
        <v>55</v>
      </c>
      <c r="D691" t="s">
        <v>55</v>
      </c>
      <c r="E691" t="s">
        <v>56</v>
      </c>
      <c r="F691">
        <v>36</v>
      </c>
      <c r="G691" t="s">
        <v>55</v>
      </c>
      <c r="H691" t="s">
        <v>60</v>
      </c>
      <c r="I691" t="s">
        <v>30</v>
      </c>
      <c r="J691" t="s">
        <v>12</v>
      </c>
      <c r="K691" t="s">
        <v>56</v>
      </c>
      <c r="L691" t="s">
        <v>26</v>
      </c>
      <c r="M691">
        <v>107.13</v>
      </c>
      <c r="N691">
        <v>3680.98</v>
      </c>
      <c r="O691" t="s">
        <v>69</v>
      </c>
      <c r="P691" t="s">
        <v>55</v>
      </c>
      <c r="Q691">
        <f t="shared" si="30"/>
        <v>0</v>
      </c>
      <c r="R691" t="str">
        <f t="shared" si="31"/>
        <v>25-48 months</v>
      </c>
      <c r="S691" t="str">
        <f t="shared" si="32"/>
        <v>&gt; $100</v>
      </c>
    </row>
    <row r="692" spans="1:19" x14ac:dyDescent="0.35">
      <c r="A692" t="s">
        <v>756</v>
      </c>
      <c r="B692">
        <v>70</v>
      </c>
      <c r="C692" t="s">
        <v>56</v>
      </c>
      <c r="D692" t="s">
        <v>56</v>
      </c>
      <c r="E692" t="s">
        <v>56</v>
      </c>
      <c r="F692">
        <v>58</v>
      </c>
      <c r="G692" t="s">
        <v>56</v>
      </c>
      <c r="H692" t="s">
        <v>55</v>
      </c>
      <c r="I692" t="s">
        <v>31</v>
      </c>
      <c r="J692" t="s">
        <v>13</v>
      </c>
      <c r="K692" t="s">
        <v>55</v>
      </c>
      <c r="L692" t="s">
        <v>1066</v>
      </c>
      <c r="M692">
        <v>29.88</v>
      </c>
      <c r="N692">
        <v>1671.07</v>
      </c>
      <c r="O692" t="s">
        <v>80</v>
      </c>
      <c r="P692" t="s">
        <v>55</v>
      </c>
      <c r="Q692">
        <f t="shared" si="30"/>
        <v>0</v>
      </c>
      <c r="R692" t="str">
        <f t="shared" si="31"/>
        <v>49+ months</v>
      </c>
      <c r="S692" t="str">
        <f t="shared" si="32"/>
        <v>&lt; $50</v>
      </c>
    </row>
    <row r="693" spans="1:19" x14ac:dyDescent="0.35">
      <c r="A693" t="s">
        <v>757</v>
      </c>
      <c r="B693">
        <v>26</v>
      </c>
      <c r="C693" t="s">
        <v>55</v>
      </c>
      <c r="D693" t="s">
        <v>56</v>
      </c>
      <c r="E693" t="s">
        <v>55</v>
      </c>
      <c r="F693">
        <v>71</v>
      </c>
      <c r="G693" t="s">
        <v>55</v>
      </c>
      <c r="H693" t="s">
        <v>60</v>
      </c>
      <c r="I693" t="s">
        <v>29</v>
      </c>
      <c r="J693" t="s">
        <v>14</v>
      </c>
      <c r="K693" t="s">
        <v>55</v>
      </c>
      <c r="L693" t="s">
        <v>1066</v>
      </c>
      <c r="M693">
        <v>44.7</v>
      </c>
      <c r="N693">
        <v>3149.37</v>
      </c>
      <c r="O693" t="s">
        <v>58</v>
      </c>
      <c r="P693" t="s">
        <v>55</v>
      </c>
      <c r="Q693">
        <f t="shared" si="30"/>
        <v>0</v>
      </c>
      <c r="R693" t="str">
        <f t="shared" si="31"/>
        <v>49+ months</v>
      </c>
      <c r="S693" t="str">
        <f t="shared" si="32"/>
        <v>&lt; $50</v>
      </c>
    </row>
    <row r="694" spans="1:19" x14ac:dyDescent="0.35">
      <c r="A694" t="s">
        <v>758</v>
      </c>
      <c r="B694">
        <v>50</v>
      </c>
      <c r="C694" t="s">
        <v>55</v>
      </c>
      <c r="D694" t="s">
        <v>56</v>
      </c>
      <c r="E694" t="s">
        <v>56</v>
      </c>
      <c r="F694">
        <v>36</v>
      </c>
      <c r="G694" t="s">
        <v>56</v>
      </c>
      <c r="H694" t="s">
        <v>56</v>
      </c>
      <c r="I694" t="s">
        <v>29</v>
      </c>
      <c r="J694" t="s">
        <v>14</v>
      </c>
      <c r="K694" t="s">
        <v>56</v>
      </c>
      <c r="L694" t="s">
        <v>1066</v>
      </c>
      <c r="M694">
        <v>67.75</v>
      </c>
      <c r="N694">
        <v>2509.4499999999998</v>
      </c>
      <c r="O694" t="s">
        <v>69</v>
      </c>
      <c r="P694" t="s">
        <v>55</v>
      </c>
      <c r="Q694">
        <f t="shared" si="30"/>
        <v>0</v>
      </c>
      <c r="R694" t="str">
        <f t="shared" si="31"/>
        <v>25-48 months</v>
      </c>
      <c r="S694" t="str">
        <f t="shared" si="32"/>
        <v>$50-$75</v>
      </c>
    </row>
    <row r="695" spans="1:19" x14ac:dyDescent="0.35">
      <c r="A695" t="s">
        <v>759</v>
      </c>
      <c r="B695">
        <v>52</v>
      </c>
      <c r="C695" t="s">
        <v>55</v>
      </c>
      <c r="D695" t="s">
        <v>56</v>
      </c>
      <c r="E695" t="s">
        <v>56</v>
      </c>
      <c r="F695">
        <v>57</v>
      </c>
      <c r="G695" t="s">
        <v>55</v>
      </c>
      <c r="H695" t="s">
        <v>60</v>
      </c>
      <c r="I695" t="s">
        <v>29</v>
      </c>
      <c r="J695" t="s">
        <v>13</v>
      </c>
      <c r="K695" t="s">
        <v>55</v>
      </c>
      <c r="L695" t="s">
        <v>24</v>
      </c>
      <c r="M695">
        <v>50.86</v>
      </c>
      <c r="N695">
        <v>2789.11</v>
      </c>
      <c r="O695" t="s">
        <v>62</v>
      </c>
      <c r="P695" t="s">
        <v>55</v>
      </c>
      <c r="Q695">
        <f t="shared" si="30"/>
        <v>0</v>
      </c>
      <c r="R695" t="str">
        <f t="shared" si="31"/>
        <v>49+ months</v>
      </c>
      <c r="S695" t="str">
        <f t="shared" si="32"/>
        <v>$50-$75</v>
      </c>
    </row>
    <row r="696" spans="1:19" x14ac:dyDescent="0.35">
      <c r="A696" t="s">
        <v>760</v>
      </c>
      <c r="B696">
        <v>55</v>
      </c>
      <c r="C696" t="s">
        <v>55</v>
      </c>
      <c r="D696" t="s">
        <v>56</v>
      </c>
      <c r="E696" t="s">
        <v>55</v>
      </c>
      <c r="F696">
        <v>65</v>
      </c>
      <c r="G696" t="s">
        <v>55</v>
      </c>
      <c r="H696" t="s">
        <v>60</v>
      </c>
      <c r="I696" t="s">
        <v>29</v>
      </c>
      <c r="J696" t="s">
        <v>12</v>
      </c>
      <c r="K696" t="s">
        <v>56</v>
      </c>
      <c r="L696" t="s">
        <v>26</v>
      </c>
      <c r="M696">
        <v>50.74</v>
      </c>
      <c r="N696">
        <v>3147.35</v>
      </c>
      <c r="O696" t="s">
        <v>58</v>
      </c>
      <c r="P696" t="s">
        <v>56</v>
      </c>
      <c r="Q696">
        <f t="shared" si="30"/>
        <v>1</v>
      </c>
      <c r="R696" t="str">
        <f t="shared" si="31"/>
        <v>49+ months</v>
      </c>
      <c r="S696" t="str">
        <f t="shared" si="32"/>
        <v>$50-$75</v>
      </c>
    </row>
    <row r="697" spans="1:19" x14ac:dyDescent="0.35">
      <c r="A697" t="s">
        <v>761</v>
      </c>
      <c r="B697">
        <v>33</v>
      </c>
      <c r="C697" t="s">
        <v>55</v>
      </c>
      <c r="D697" t="s">
        <v>55</v>
      </c>
      <c r="E697" t="s">
        <v>56</v>
      </c>
      <c r="F697">
        <v>19</v>
      </c>
      <c r="G697" t="s">
        <v>55</v>
      </c>
      <c r="H697" t="s">
        <v>60</v>
      </c>
      <c r="I697" t="s">
        <v>31</v>
      </c>
      <c r="J697" t="s">
        <v>14</v>
      </c>
      <c r="K697" t="s">
        <v>55</v>
      </c>
      <c r="L697" t="s">
        <v>25</v>
      </c>
      <c r="M697">
        <v>18.62</v>
      </c>
      <c r="N697">
        <v>374.16</v>
      </c>
      <c r="O697" t="s">
        <v>62</v>
      </c>
      <c r="P697" t="s">
        <v>55</v>
      </c>
      <c r="Q697">
        <f t="shared" si="30"/>
        <v>0</v>
      </c>
      <c r="R697" t="str">
        <f t="shared" si="31"/>
        <v>13-24 months</v>
      </c>
      <c r="S697" t="str">
        <f t="shared" si="32"/>
        <v>&lt; $50</v>
      </c>
    </row>
    <row r="698" spans="1:19" x14ac:dyDescent="0.35">
      <c r="A698" t="s">
        <v>762</v>
      </c>
      <c r="B698">
        <v>52</v>
      </c>
      <c r="C698" t="s">
        <v>55</v>
      </c>
      <c r="D698" t="s">
        <v>56</v>
      </c>
      <c r="E698" t="s">
        <v>56</v>
      </c>
      <c r="F698">
        <v>45</v>
      </c>
      <c r="G698" t="s">
        <v>55</v>
      </c>
      <c r="H698" t="s">
        <v>60</v>
      </c>
      <c r="I698" t="s">
        <v>29</v>
      </c>
      <c r="J698" t="s">
        <v>12</v>
      </c>
      <c r="K698" t="s">
        <v>55</v>
      </c>
      <c r="L698" t="s">
        <v>1066</v>
      </c>
      <c r="M698">
        <v>56.33</v>
      </c>
      <c r="N698">
        <v>2568.7600000000002</v>
      </c>
      <c r="O698" t="s">
        <v>80</v>
      </c>
      <c r="P698" t="s">
        <v>55</v>
      </c>
      <c r="Q698">
        <f t="shared" si="30"/>
        <v>0</v>
      </c>
      <c r="R698" t="str">
        <f t="shared" si="31"/>
        <v>25-48 months</v>
      </c>
      <c r="S698" t="str">
        <f t="shared" si="32"/>
        <v>$50-$75</v>
      </c>
    </row>
    <row r="699" spans="1:19" x14ac:dyDescent="0.35">
      <c r="A699" t="s">
        <v>763</v>
      </c>
      <c r="B699">
        <v>58</v>
      </c>
      <c r="C699" t="s">
        <v>55</v>
      </c>
      <c r="D699" t="s">
        <v>56</v>
      </c>
      <c r="E699" t="s">
        <v>55</v>
      </c>
      <c r="F699">
        <v>29</v>
      </c>
      <c r="G699" t="s">
        <v>55</v>
      </c>
      <c r="H699" t="s">
        <v>60</v>
      </c>
      <c r="I699" t="s">
        <v>29</v>
      </c>
      <c r="J699" t="s">
        <v>12</v>
      </c>
      <c r="K699" t="s">
        <v>56</v>
      </c>
      <c r="L699" t="s">
        <v>24</v>
      </c>
      <c r="M699">
        <v>79.150000000000006</v>
      </c>
      <c r="N699">
        <v>2371.9699999999998</v>
      </c>
      <c r="O699" t="s">
        <v>80</v>
      </c>
      <c r="P699" t="s">
        <v>55</v>
      </c>
      <c r="Q699">
        <f t="shared" si="30"/>
        <v>0</v>
      </c>
      <c r="R699" t="str">
        <f t="shared" si="31"/>
        <v>25-48 months</v>
      </c>
      <c r="S699" t="str">
        <f t="shared" si="32"/>
        <v>$76-$100</v>
      </c>
    </row>
    <row r="700" spans="1:19" x14ac:dyDescent="0.35">
      <c r="A700" t="s">
        <v>764</v>
      </c>
      <c r="B700">
        <v>64</v>
      </c>
      <c r="C700" t="s">
        <v>56</v>
      </c>
      <c r="D700" t="s">
        <v>55</v>
      </c>
      <c r="E700" t="s">
        <v>55</v>
      </c>
      <c r="F700">
        <v>71</v>
      </c>
      <c r="G700" t="s">
        <v>55</v>
      </c>
      <c r="H700" t="s">
        <v>60</v>
      </c>
      <c r="I700" t="s">
        <v>30</v>
      </c>
      <c r="J700" t="s">
        <v>12</v>
      </c>
      <c r="K700" t="s">
        <v>55</v>
      </c>
      <c r="L700" t="s">
        <v>26</v>
      </c>
      <c r="M700">
        <v>101.49</v>
      </c>
      <c r="N700">
        <v>7515.54</v>
      </c>
      <c r="O700" t="s">
        <v>64</v>
      </c>
      <c r="P700" t="s">
        <v>56</v>
      </c>
      <c r="Q700">
        <f t="shared" si="30"/>
        <v>1</v>
      </c>
      <c r="R700" t="str">
        <f t="shared" si="31"/>
        <v>49+ months</v>
      </c>
      <c r="S700" t="str">
        <f t="shared" si="32"/>
        <v>&gt; $100</v>
      </c>
    </row>
    <row r="701" spans="1:19" x14ac:dyDescent="0.35">
      <c r="A701" t="s">
        <v>765</v>
      </c>
      <c r="B701">
        <v>32</v>
      </c>
      <c r="C701" t="s">
        <v>55</v>
      </c>
      <c r="D701" t="s">
        <v>55</v>
      </c>
      <c r="E701" t="s">
        <v>55</v>
      </c>
      <c r="F701">
        <v>19</v>
      </c>
      <c r="G701" t="s">
        <v>56</v>
      </c>
      <c r="H701" t="s">
        <v>55</v>
      </c>
      <c r="I701" t="s">
        <v>31</v>
      </c>
      <c r="J701" t="s">
        <v>12</v>
      </c>
      <c r="K701" t="s">
        <v>56</v>
      </c>
      <c r="L701" t="s">
        <v>26</v>
      </c>
      <c r="M701">
        <v>23.89</v>
      </c>
      <c r="N701">
        <v>466.41</v>
      </c>
      <c r="O701" t="s">
        <v>80</v>
      </c>
      <c r="P701" t="s">
        <v>55</v>
      </c>
      <c r="Q701">
        <f t="shared" si="30"/>
        <v>0</v>
      </c>
      <c r="R701" t="str">
        <f t="shared" si="31"/>
        <v>13-24 months</v>
      </c>
      <c r="S701" t="str">
        <f t="shared" si="32"/>
        <v>&lt; $50</v>
      </c>
    </row>
    <row r="702" spans="1:19" x14ac:dyDescent="0.35">
      <c r="A702" t="s">
        <v>766</v>
      </c>
      <c r="B702">
        <v>37</v>
      </c>
      <c r="C702" t="s">
        <v>55</v>
      </c>
      <c r="D702" t="s">
        <v>56</v>
      </c>
      <c r="E702" t="s">
        <v>56</v>
      </c>
      <c r="F702">
        <v>51</v>
      </c>
      <c r="G702" t="s">
        <v>56</v>
      </c>
      <c r="H702" t="s">
        <v>56</v>
      </c>
      <c r="I702" t="s">
        <v>29</v>
      </c>
      <c r="J702" t="s">
        <v>12</v>
      </c>
      <c r="K702" t="s">
        <v>56</v>
      </c>
      <c r="L702" t="s">
        <v>24</v>
      </c>
      <c r="M702">
        <v>65.8</v>
      </c>
      <c r="N702">
        <v>3316.54</v>
      </c>
      <c r="O702" t="s">
        <v>62</v>
      </c>
      <c r="P702" t="s">
        <v>55</v>
      </c>
      <c r="Q702">
        <f t="shared" si="30"/>
        <v>0</v>
      </c>
      <c r="R702" t="str">
        <f t="shared" si="31"/>
        <v>49+ months</v>
      </c>
      <c r="S702" t="str">
        <f t="shared" si="32"/>
        <v>$50-$75</v>
      </c>
    </row>
    <row r="703" spans="1:19" x14ac:dyDescent="0.35">
      <c r="A703" t="s">
        <v>767</v>
      </c>
      <c r="B703">
        <v>64</v>
      </c>
      <c r="C703" t="s">
        <v>56</v>
      </c>
      <c r="D703" t="s">
        <v>56</v>
      </c>
      <c r="E703" t="s">
        <v>56</v>
      </c>
      <c r="F703">
        <v>49</v>
      </c>
      <c r="G703" t="s">
        <v>56</v>
      </c>
      <c r="H703" t="s">
        <v>55</v>
      </c>
      <c r="I703" t="s">
        <v>30</v>
      </c>
      <c r="J703" t="s">
        <v>13</v>
      </c>
      <c r="K703" t="s">
        <v>56</v>
      </c>
      <c r="L703" t="s">
        <v>26</v>
      </c>
      <c r="M703">
        <v>108.51</v>
      </c>
      <c r="N703">
        <v>5168.75</v>
      </c>
      <c r="O703" t="s">
        <v>58</v>
      </c>
      <c r="P703" t="s">
        <v>55</v>
      </c>
      <c r="Q703">
        <f t="shared" si="30"/>
        <v>0</v>
      </c>
      <c r="R703" t="str">
        <f t="shared" si="31"/>
        <v>49+ months</v>
      </c>
      <c r="S703" t="str">
        <f t="shared" si="32"/>
        <v>&gt; $100</v>
      </c>
    </row>
    <row r="704" spans="1:19" x14ac:dyDescent="0.35">
      <c r="A704" t="s">
        <v>768</v>
      </c>
      <c r="B704">
        <v>18</v>
      </c>
      <c r="C704" t="s">
        <v>55</v>
      </c>
      <c r="D704" t="s">
        <v>56</v>
      </c>
      <c r="E704" t="s">
        <v>56</v>
      </c>
      <c r="F704">
        <v>70</v>
      </c>
      <c r="G704" t="s">
        <v>55</v>
      </c>
      <c r="H704" t="s">
        <v>60</v>
      </c>
      <c r="I704" t="s">
        <v>29</v>
      </c>
      <c r="J704" t="s">
        <v>14</v>
      </c>
      <c r="K704" t="s">
        <v>56</v>
      </c>
      <c r="L704" t="s">
        <v>26</v>
      </c>
      <c r="M704">
        <v>59.22</v>
      </c>
      <c r="N704">
        <v>4176.67</v>
      </c>
      <c r="O704" t="s">
        <v>62</v>
      </c>
      <c r="P704" t="s">
        <v>55</v>
      </c>
      <c r="Q704">
        <f t="shared" si="30"/>
        <v>0</v>
      </c>
      <c r="R704" t="str">
        <f t="shared" si="31"/>
        <v>49+ months</v>
      </c>
      <c r="S704" t="str">
        <f t="shared" si="32"/>
        <v>$50-$75</v>
      </c>
    </row>
    <row r="705" spans="1:19" x14ac:dyDescent="0.35">
      <c r="A705" t="s">
        <v>769</v>
      </c>
      <c r="B705">
        <v>37</v>
      </c>
      <c r="C705" t="s">
        <v>55</v>
      </c>
      <c r="D705" t="s">
        <v>55</v>
      </c>
      <c r="E705" t="s">
        <v>55</v>
      </c>
      <c r="F705">
        <v>20</v>
      </c>
      <c r="G705" t="s">
        <v>55</v>
      </c>
      <c r="H705" t="s">
        <v>60</v>
      </c>
      <c r="I705" t="s">
        <v>30</v>
      </c>
      <c r="J705" t="s">
        <v>13</v>
      </c>
      <c r="K705" t="s">
        <v>56</v>
      </c>
      <c r="L705" t="s">
        <v>26</v>
      </c>
      <c r="M705">
        <v>72.23</v>
      </c>
      <c r="N705">
        <v>1452.34</v>
      </c>
      <c r="O705" t="s">
        <v>66</v>
      </c>
      <c r="P705" t="s">
        <v>56</v>
      </c>
      <c r="Q705">
        <f t="shared" si="30"/>
        <v>1</v>
      </c>
      <c r="R705" t="str">
        <f t="shared" si="31"/>
        <v>13-24 months</v>
      </c>
      <c r="S705" t="str">
        <f t="shared" si="32"/>
        <v>$50-$75</v>
      </c>
    </row>
    <row r="706" spans="1:19" x14ac:dyDescent="0.35">
      <c r="A706" t="s">
        <v>770</v>
      </c>
      <c r="B706">
        <v>44</v>
      </c>
      <c r="C706" t="s">
        <v>55</v>
      </c>
      <c r="D706" t="s">
        <v>56</v>
      </c>
      <c r="E706" t="s">
        <v>56</v>
      </c>
      <c r="F706">
        <v>29</v>
      </c>
      <c r="G706" t="s">
        <v>55</v>
      </c>
      <c r="H706" t="s">
        <v>60</v>
      </c>
      <c r="I706" t="s">
        <v>30</v>
      </c>
      <c r="J706" t="s">
        <v>12</v>
      </c>
      <c r="K706" t="s">
        <v>55</v>
      </c>
      <c r="L706" t="s">
        <v>1066</v>
      </c>
      <c r="M706">
        <v>81.290000000000006</v>
      </c>
      <c r="N706">
        <v>2464.62</v>
      </c>
      <c r="O706" t="s">
        <v>69</v>
      </c>
      <c r="P706" t="s">
        <v>55</v>
      </c>
      <c r="Q706">
        <f t="shared" si="30"/>
        <v>0</v>
      </c>
      <c r="R706" t="str">
        <f t="shared" si="31"/>
        <v>25-48 months</v>
      </c>
      <c r="S706" t="str">
        <f t="shared" si="32"/>
        <v>$76-$100</v>
      </c>
    </row>
    <row r="707" spans="1:19" x14ac:dyDescent="0.35">
      <c r="A707" t="s">
        <v>771</v>
      </c>
      <c r="B707">
        <v>70</v>
      </c>
      <c r="C707" t="s">
        <v>56</v>
      </c>
      <c r="D707" t="s">
        <v>56</v>
      </c>
      <c r="E707" t="s">
        <v>55</v>
      </c>
      <c r="F707">
        <v>22</v>
      </c>
      <c r="G707" t="s">
        <v>56</v>
      </c>
      <c r="H707" t="s">
        <v>56</v>
      </c>
      <c r="I707" t="s">
        <v>31</v>
      </c>
      <c r="J707" t="s">
        <v>14</v>
      </c>
      <c r="K707" t="s">
        <v>55</v>
      </c>
      <c r="L707" t="s">
        <v>26</v>
      </c>
      <c r="M707">
        <v>22</v>
      </c>
      <c r="N707">
        <v>475.9</v>
      </c>
      <c r="O707" t="s">
        <v>80</v>
      </c>
      <c r="P707" t="s">
        <v>55</v>
      </c>
      <c r="Q707">
        <f t="shared" ref="Q707:Q770" si="33">IF(P707="Yes",1,0)</f>
        <v>0</v>
      </c>
      <c r="R707" t="str">
        <f t="shared" ref="R707:R770" si="34">IF(F707&lt;=12,"0-12 months",IF(F707&lt;=24,"13-24 months",IF(F707&lt;=48,"25-48 months","49+ months")))</f>
        <v>13-24 months</v>
      </c>
      <c r="S707" t="str">
        <f t="shared" ref="S707:S770" si="35">IF(M707&lt;50,"&lt; $50",IF(M707&lt;=75,"$50-$75",IF(M707&lt;=100,"$76-$100","&gt; $100")))</f>
        <v>&lt; $50</v>
      </c>
    </row>
    <row r="708" spans="1:19" x14ac:dyDescent="0.35">
      <c r="A708" t="s">
        <v>772</v>
      </c>
      <c r="B708">
        <v>75</v>
      </c>
      <c r="C708" t="s">
        <v>56</v>
      </c>
      <c r="D708" t="s">
        <v>56</v>
      </c>
      <c r="E708" t="s">
        <v>56</v>
      </c>
      <c r="F708">
        <v>23</v>
      </c>
      <c r="G708" t="s">
        <v>55</v>
      </c>
      <c r="H708" t="s">
        <v>60</v>
      </c>
      <c r="I708" t="s">
        <v>30</v>
      </c>
      <c r="J708" t="s">
        <v>13</v>
      </c>
      <c r="K708" t="s">
        <v>55</v>
      </c>
      <c r="L708" t="s">
        <v>26</v>
      </c>
      <c r="M708">
        <v>103.36</v>
      </c>
      <c r="N708">
        <v>2320.67</v>
      </c>
      <c r="O708" t="s">
        <v>76</v>
      </c>
      <c r="P708" t="s">
        <v>55</v>
      </c>
      <c r="Q708">
        <f t="shared" si="33"/>
        <v>0</v>
      </c>
      <c r="R708" t="str">
        <f t="shared" si="34"/>
        <v>13-24 months</v>
      </c>
      <c r="S708" t="str">
        <f t="shared" si="35"/>
        <v>&gt; $100</v>
      </c>
    </row>
    <row r="709" spans="1:19" x14ac:dyDescent="0.35">
      <c r="A709" t="s">
        <v>773</v>
      </c>
      <c r="B709">
        <v>74</v>
      </c>
      <c r="C709" t="s">
        <v>56</v>
      </c>
      <c r="D709" t="s">
        <v>56</v>
      </c>
      <c r="E709" t="s">
        <v>55</v>
      </c>
      <c r="F709">
        <v>64</v>
      </c>
      <c r="G709" t="s">
        <v>55</v>
      </c>
      <c r="H709" t="s">
        <v>60</v>
      </c>
      <c r="I709" t="s">
        <v>29</v>
      </c>
      <c r="J709" t="s">
        <v>14</v>
      </c>
      <c r="K709" t="s">
        <v>56</v>
      </c>
      <c r="L709" t="s">
        <v>1066</v>
      </c>
      <c r="M709">
        <v>74.47</v>
      </c>
      <c r="N709">
        <v>5039.49</v>
      </c>
      <c r="O709" t="s">
        <v>62</v>
      </c>
      <c r="P709" t="s">
        <v>55</v>
      </c>
      <c r="Q709">
        <f t="shared" si="33"/>
        <v>0</v>
      </c>
      <c r="R709" t="str">
        <f t="shared" si="34"/>
        <v>49+ months</v>
      </c>
      <c r="S709" t="str">
        <f t="shared" si="35"/>
        <v>$50-$75</v>
      </c>
    </row>
    <row r="710" spans="1:19" x14ac:dyDescent="0.35">
      <c r="A710" t="s">
        <v>774</v>
      </c>
      <c r="B710">
        <v>38</v>
      </c>
      <c r="C710" t="s">
        <v>55</v>
      </c>
      <c r="D710" t="s">
        <v>56</v>
      </c>
      <c r="E710" t="s">
        <v>55</v>
      </c>
      <c r="F710">
        <v>58</v>
      </c>
      <c r="G710" t="s">
        <v>55</v>
      </c>
      <c r="H710" t="s">
        <v>60</v>
      </c>
      <c r="I710" t="s">
        <v>29</v>
      </c>
      <c r="J710" t="s">
        <v>14</v>
      </c>
      <c r="K710" t="s">
        <v>56</v>
      </c>
      <c r="L710" t="s">
        <v>24</v>
      </c>
      <c r="M710">
        <v>78.38</v>
      </c>
      <c r="N710">
        <v>4425.1899999999996</v>
      </c>
      <c r="O710" t="s">
        <v>62</v>
      </c>
      <c r="P710" t="s">
        <v>56</v>
      </c>
      <c r="Q710">
        <f t="shared" si="33"/>
        <v>1</v>
      </c>
      <c r="R710" t="str">
        <f t="shared" si="34"/>
        <v>49+ months</v>
      </c>
      <c r="S710" t="str">
        <f t="shared" si="35"/>
        <v>$76-$100</v>
      </c>
    </row>
    <row r="711" spans="1:19" x14ac:dyDescent="0.35">
      <c r="A711" t="s">
        <v>775</v>
      </c>
      <c r="B711">
        <v>29</v>
      </c>
      <c r="C711" t="s">
        <v>55</v>
      </c>
      <c r="D711" t="s">
        <v>55</v>
      </c>
      <c r="E711" t="s">
        <v>55</v>
      </c>
      <c r="F711">
        <v>41</v>
      </c>
      <c r="G711" t="s">
        <v>55</v>
      </c>
      <c r="H711" t="s">
        <v>60</v>
      </c>
      <c r="I711" t="s">
        <v>29</v>
      </c>
      <c r="J711" t="s">
        <v>13</v>
      </c>
      <c r="K711" t="s">
        <v>55</v>
      </c>
      <c r="L711" t="s">
        <v>1066</v>
      </c>
      <c r="M711">
        <v>65.459999999999994</v>
      </c>
      <c r="N711">
        <v>2567.34</v>
      </c>
      <c r="O711" t="s">
        <v>62</v>
      </c>
      <c r="P711" t="s">
        <v>55</v>
      </c>
      <c r="Q711">
        <f t="shared" si="33"/>
        <v>0</v>
      </c>
      <c r="R711" t="str">
        <f t="shared" si="34"/>
        <v>25-48 months</v>
      </c>
      <c r="S711" t="str">
        <f t="shared" si="35"/>
        <v>$50-$75</v>
      </c>
    </row>
    <row r="712" spans="1:19" x14ac:dyDescent="0.35">
      <c r="A712" t="s">
        <v>776</v>
      </c>
      <c r="B712">
        <v>42</v>
      </c>
      <c r="C712" t="s">
        <v>55</v>
      </c>
      <c r="D712" t="s">
        <v>55</v>
      </c>
      <c r="E712" t="s">
        <v>55</v>
      </c>
      <c r="F712">
        <v>69</v>
      </c>
      <c r="G712" t="s">
        <v>56</v>
      </c>
      <c r="H712" t="s">
        <v>55</v>
      </c>
      <c r="I712" t="s">
        <v>29</v>
      </c>
      <c r="J712" t="s">
        <v>13</v>
      </c>
      <c r="K712" t="s">
        <v>55</v>
      </c>
      <c r="L712" t="s">
        <v>24</v>
      </c>
      <c r="M712">
        <v>71.06</v>
      </c>
      <c r="N712">
        <v>5086.3</v>
      </c>
      <c r="O712" t="s">
        <v>80</v>
      </c>
      <c r="P712" t="s">
        <v>55</v>
      </c>
      <c r="Q712">
        <f t="shared" si="33"/>
        <v>0</v>
      </c>
      <c r="R712" t="str">
        <f t="shared" si="34"/>
        <v>49+ months</v>
      </c>
      <c r="S712" t="str">
        <f t="shared" si="35"/>
        <v>$50-$75</v>
      </c>
    </row>
    <row r="713" spans="1:19" x14ac:dyDescent="0.35">
      <c r="A713" t="s">
        <v>777</v>
      </c>
      <c r="B713">
        <v>33</v>
      </c>
      <c r="C713" t="s">
        <v>55</v>
      </c>
      <c r="D713" t="s">
        <v>55</v>
      </c>
      <c r="E713" t="s">
        <v>56</v>
      </c>
      <c r="F713">
        <v>27</v>
      </c>
      <c r="G713" t="s">
        <v>56</v>
      </c>
      <c r="H713" t="s">
        <v>55</v>
      </c>
      <c r="I713" t="s">
        <v>31</v>
      </c>
      <c r="J713" t="s">
        <v>12</v>
      </c>
      <c r="K713" t="s">
        <v>56</v>
      </c>
      <c r="L713" t="s">
        <v>25</v>
      </c>
      <c r="M713">
        <v>18.71</v>
      </c>
      <c r="N713">
        <v>496.04</v>
      </c>
      <c r="O713" t="s">
        <v>66</v>
      </c>
      <c r="P713" t="s">
        <v>55</v>
      </c>
      <c r="Q713">
        <f t="shared" si="33"/>
        <v>0</v>
      </c>
      <c r="R713" t="str">
        <f t="shared" si="34"/>
        <v>25-48 months</v>
      </c>
      <c r="S713" t="str">
        <f t="shared" si="35"/>
        <v>&lt; $50</v>
      </c>
    </row>
    <row r="714" spans="1:19" x14ac:dyDescent="0.35">
      <c r="A714" t="s">
        <v>778</v>
      </c>
      <c r="B714">
        <v>67</v>
      </c>
      <c r="C714" t="s">
        <v>56</v>
      </c>
      <c r="D714" t="s">
        <v>56</v>
      </c>
      <c r="E714" t="s">
        <v>55</v>
      </c>
      <c r="F714">
        <v>59</v>
      </c>
      <c r="G714" t="s">
        <v>55</v>
      </c>
      <c r="H714" t="s">
        <v>60</v>
      </c>
      <c r="I714" t="s">
        <v>30</v>
      </c>
      <c r="J714" t="s">
        <v>12</v>
      </c>
      <c r="K714" t="s">
        <v>56</v>
      </c>
      <c r="L714" t="s">
        <v>26</v>
      </c>
      <c r="M714">
        <v>76.89</v>
      </c>
      <c r="N714">
        <v>4788.04</v>
      </c>
      <c r="O714" t="s">
        <v>64</v>
      </c>
      <c r="P714" t="s">
        <v>55</v>
      </c>
      <c r="Q714">
        <f t="shared" si="33"/>
        <v>0</v>
      </c>
      <c r="R714" t="str">
        <f t="shared" si="34"/>
        <v>49+ months</v>
      </c>
      <c r="S714" t="str">
        <f t="shared" si="35"/>
        <v>$76-$100</v>
      </c>
    </row>
    <row r="715" spans="1:19" x14ac:dyDescent="0.35">
      <c r="A715" t="s">
        <v>779</v>
      </c>
      <c r="B715">
        <v>64</v>
      </c>
      <c r="C715" t="s">
        <v>56</v>
      </c>
      <c r="D715" t="s">
        <v>56</v>
      </c>
      <c r="E715" t="s">
        <v>55</v>
      </c>
      <c r="F715">
        <v>48</v>
      </c>
      <c r="G715" t="s">
        <v>56</v>
      </c>
      <c r="H715" t="s">
        <v>55</v>
      </c>
      <c r="I715" t="s">
        <v>30</v>
      </c>
      <c r="J715" t="s">
        <v>12</v>
      </c>
      <c r="K715" t="s">
        <v>56</v>
      </c>
      <c r="L715" t="s">
        <v>26</v>
      </c>
      <c r="M715">
        <v>88.26</v>
      </c>
      <c r="N715">
        <v>4022.45</v>
      </c>
      <c r="O715" t="s">
        <v>58</v>
      </c>
      <c r="P715" t="s">
        <v>56</v>
      </c>
      <c r="Q715">
        <f t="shared" si="33"/>
        <v>1</v>
      </c>
      <c r="R715" t="str">
        <f t="shared" si="34"/>
        <v>25-48 months</v>
      </c>
      <c r="S715" t="str">
        <f t="shared" si="35"/>
        <v>$76-$100</v>
      </c>
    </row>
    <row r="716" spans="1:19" x14ac:dyDescent="0.35">
      <c r="A716" t="s">
        <v>780</v>
      </c>
      <c r="B716">
        <v>71</v>
      </c>
      <c r="C716" t="s">
        <v>56</v>
      </c>
      <c r="D716" t="s">
        <v>55</v>
      </c>
      <c r="E716" t="s">
        <v>56</v>
      </c>
      <c r="F716">
        <v>24</v>
      </c>
      <c r="G716" t="s">
        <v>56</v>
      </c>
      <c r="H716" t="s">
        <v>55</v>
      </c>
      <c r="I716" t="s">
        <v>29</v>
      </c>
      <c r="J716" t="s">
        <v>13</v>
      </c>
      <c r="K716" t="s">
        <v>55</v>
      </c>
      <c r="L716" t="s">
        <v>24</v>
      </c>
      <c r="M716">
        <v>68.900000000000006</v>
      </c>
      <c r="N716">
        <v>1642.48</v>
      </c>
      <c r="O716" t="s">
        <v>80</v>
      </c>
      <c r="P716" t="s">
        <v>55</v>
      </c>
      <c r="Q716">
        <f t="shared" si="33"/>
        <v>0</v>
      </c>
      <c r="R716" t="str">
        <f t="shared" si="34"/>
        <v>13-24 months</v>
      </c>
      <c r="S716" t="str">
        <f t="shared" si="35"/>
        <v>$50-$75</v>
      </c>
    </row>
    <row r="717" spans="1:19" x14ac:dyDescent="0.35">
      <c r="A717" t="s">
        <v>781</v>
      </c>
      <c r="B717">
        <v>36</v>
      </c>
      <c r="C717" t="s">
        <v>55</v>
      </c>
      <c r="D717" t="s">
        <v>56</v>
      </c>
      <c r="E717" t="s">
        <v>56</v>
      </c>
      <c r="F717">
        <v>8</v>
      </c>
      <c r="G717" t="s">
        <v>56</v>
      </c>
      <c r="H717" t="s">
        <v>55</v>
      </c>
      <c r="I717" t="s">
        <v>31</v>
      </c>
      <c r="J717" t="s">
        <v>12</v>
      </c>
      <c r="K717" t="s">
        <v>56</v>
      </c>
      <c r="L717" t="s">
        <v>26</v>
      </c>
      <c r="M717">
        <v>27.99</v>
      </c>
      <c r="N717">
        <v>228.75</v>
      </c>
      <c r="O717" t="s">
        <v>58</v>
      </c>
      <c r="P717" t="s">
        <v>55</v>
      </c>
      <c r="Q717">
        <f t="shared" si="33"/>
        <v>0</v>
      </c>
      <c r="R717" t="str">
        <f t="shared" si="34"/>
        <v>0-12 months</v>
      </c>
      <c r="S717" t="str">
        <f t="shared" si="35"/>
        <v>&lt; $50</v>
      </c>
    </row>
    <row r="718" spans="1:19" x14ac:dyDescent="0.35">
      <c r="A718" t="s">
        <v>782</v>
      </c>
      <c r="B718">
        <v>63</v>
      </c>
      <c r="C718" t="s">
        <v>56</v>
      </c>
      <c r="D718" t="s">
        <v>55</v>
      </c>
      <c r="E718" t="s">
        <v>55</v>
      </c>
      <c r="F718">
        <v>30</v>
      </c>
      <c r="G718" t="s">
        <v>56</v>
      </c>
      <c r="H718" t="s">
        <v>56</v>
      </c>
      <c r="I718" t="s">
        <v>30</v>
      </c>
      <c r="J718" t="s">
        <v>12</v>
      </c>
      <c r="K718" t="s">
        <v>55</v>
      </c>
      <c r="L718" t="s">
        <v>25</v>
      </c>
      <c r="M718">
        <v>76.260000000000005</v>
      </c>
      <c r="N718">
        <v>2208.6999999999998</v>
      </c>
      <c r="O718" t="s">
        <v>62</v>
      </c>
      <c r="P718" t="s">
        <v>55</v>
      </c>
      <c r="Q718">
        <f t="shared" si="33"/>
        <v>0</v>
      </c>
      <c r="R718" t="str">
        <f t="shared" si="34"/>
        <v>25-48 months</v>
      </c>
      <c r="S718" t="str">
        <f t="shared" si="35"/>
        <v>$76-$100</v>
      </c>
    </row>
    <row r="719" spans="1:19" x14ac:dyDescent="0.35">
      <c r="A719" t="s">
        <v>783</v>
      </c>
      <c r="B719">
        <v>43</v>
      </c>
      <c r="C719" t="s">
        <v>55</v>
      </c>
      <c r="D719" t="s">
        <v>56</v>
      </c>
      <c r="E719" t="s">
        <v>56</v>
      </c>
      <c r="F719">
        <v>60</v>
      </c>
      <c r="G719" t="s">
        <v>55</v>
      </c>
      <c r="H719" t="s">
        <v>60</v>
      </c>
      <c r="I719" t="s">
        <v>29</v>
      </c>
      <c r="J719" t="s">
        <v>14</v>
      </c>
      <c r="K719" t="s">
        <v>56</v>
      </c>
      <c r="L719" t="s">
        <v>26</v>
      </c>
      <c r="M719">
        <v>54.86</v>
      </c>
      <c r="N719">
        <v>3261.67</v>
      </c>
      <c r="O719" t="s">
        <v>80</v>
      </c>
      <c r="P719" t="s">
        <v>55</v>
      </c>
      <c r="Q719">
        <f t="shared" si="33"/>
        <v>0</v>
      </c>
      <c r="R719" t="str">
        <f t="shared" si="34"/>
        <v>49+ months</v>
      </c>
      <c r="S719" t="str">
        <f t="shared" si="35"/>
        <v>$50-$75</v>
      </c>
    </row>
    <row r="720" spans="1:19" x14ac:dyDescent="0.35">
      <c r="A720" t="s">
        <v>784</v>
      </c>
      <c r="B720">
        <v>22</v>
      </c>
      <c r="C720" t="s">
        <v>55</v>
      </c>
      <c r="D720" t="s">
        <v>55</v>
      </c>
      <c r="E720" t="s">
        <v>55</v>
      </c>
      <c r="F720">
        <v>4</v>
      </c>
      <c r="G720" t="s">
        <v>56</v>
      </c>
      <c r="H720" t="s">
        <v>55</v>
      </c>
      <c r="I720" t="s">
        <v>30</v>
      </c>
      <c r="J720" t="s">
        <v>12</v>
      </c>
      <c r="K720" t="s">
        <v>56</v>
      </c>
      <c r="L720" t="s">
        <v>1066</v>
      </c>
      <c r="M720">
        <v>85.46</v>
      </c>
      <c r="N720">
        <v>343.96</v>
      </c>
      <c r="O720" t="s">
        <v>80</v>
      </c>
      <c r="P720" t="s">
        <v>55</v>
      </c>
      <c r="Q720">
        <f t="shared" si="33"/>
        <v>0</v>
      </c>
      <c r="R720" t="str">
        <f t="shared" si="34"/>
        <v>0-12 months</v>
      </c>
      <c r="S720" t="str">
        <f t="shared" si="35"/>
        <v>$76-$100</v>
      </c>
    </row>
    <row r="721" spans="1:19" x14ac:dyDescent="0.35">
      <c r="A721" t="s">
        <v>785</v>
      </c>
      <c r="B721">
        <v>33</v>
      </c>
      <c r="C721" t="s">
        <v>55</v>
      </c>
      <c r="D721" t="s">
        <v>55</v>
      </c>
      <c r="E721" t="s">
        <v>56</v>
      </c>
      <c r="F721">
        <v>6</v>
      </c>
      <c r="G721" t="s">
        <v>55</v>
      </c>
      <c r="H721" t="s">
        <v>60</v>
      </c>
      <c r="I721" t="s">
        <v>29</v>
      </c>
      <c r="J721" t="s">
        <v>12</v>
      </c>
      <c r="K721" t="s">
        <v>55</v>
      </c>
      <c r="L721" t="s">
        <v>26</v>
      </c>
      <c r="M721">
        <v>52.34</v>
      </c>
      <c r="N721">
        <v>332.15</v>
      </c>
      <c r="O721" t="s">
        <v>64</v>
      </c>
      <c r="P721" t="s">
        <v>55</v>
      </c>
      <c r="Q721">
        <f t="shared" si="33"/>
        <v>0</v>
      </c>
      <c r="R721" t="str">
        <f t="shared" si="34"/>
        <v>0-12 months</v>
      </c>
      <c r="S721" t="str">
        <f t="shared" si="35"/>
        <v>$50-$75</v>
      </c>
    </row>
    <row r="722" spans="1:19" x14ac:dyDescent="0.35">
      <c r="A722" t="s">
        <v>786</v>
      </c>
      <c r="B722">
        <v>50</v>
      </c>
      <c r="C722" t="s">
        <v>55</v>
      </c>
      <c r="D722" t="s">
        <v>56</v>
      </c>
      <c r="E722" t="s">
        <v>55</v>
      </c>
      <c r="F722">
        <v>51</v>
      </c>
      <c r="G722" t="s">
        <v>56</v>
      </c>
      <c r="H722" t="s">
        <v>55</v>
      </c>
      <c r="I722" t="s">
        <v>29</v>
      </c>
      <c r="J722" t="s">
        <v>12</v>
      </c>
      <c r="K722" t="s">
        <v>55</v>
      </c>
      <c r="L722" t="s">
        <v>25</v>
      </c>
      <c r="M722">
        <v>60.14</v>
      </c>
      <c r="N722">
        <v>3067.94</v>
      </c>
      <c r="O722" t="s">
        <v>80</v>
      </c>
      <c r="P722" t="s">
        <v>55</v>
      </c>
      <c r="Q722">
        <f t="shared" si="33"/>
        <v>0</v>
      </c>
      <c r="R722" t="str">
        <f t="shared" si="34"/>
        <v>49+ months</v>
      </c>
      <c r="S722" t="str">
        <f t="shared" si="35"/>
        <v>$50-$75</v>
      </c>
    </row>
    <row r="723" spans="1:19" x14ac:dyDescent="0.35">
      <c r="A723" t="s">
        <v>787</v>
      </c>
      <c r="B723">
        <v>55</v>
      </c>
      <c r="C723" t="s">
        <v>55</v>
      </c>
      <c r="D723" t="s">
        <v>55</v>
      </c>
      <c r="E723" t="s">
        <v>55</v>
      </c>
      <c r="F723">
        <v>5</v>
      </c>
      <c r="G723" t="s">
        <v>56</v>
      </c>
      <c r="H723" t="s">
        <v>55</v>
      </c>
      <c r="I723" t="s">
        <v>30</v>
      </c>
      <c r="J723" t="s">
        <v>12</v>
      </c>
      <c r="K723" t="s">
        <v>56</v>
      </c>
      <c r="L723" t="s">
        <v>25</v>
      </c>
      <c r="M723">
        <v>81.58</v>
      </c>
      <c r="N723">
        <v>393.98</v>
      </c>
      <c r="O723" t="s">
        <v>62</v>
      </c>
      <c r="P723" t="s">
        <v>55</v>
      </c>
      <c r="Q723">
        <f t="shared" si="33"/>
        <v>0</v>
      </c>
      <c r="R723" t="str">
        <f t="shared" si="34"/>
        <v>0-12 months</v>
      </c>
      <c r="S723" t="str">
        <f t="shared" si="35"/>
        <v>$76-$100</v>
      </c>
    </row>
    <row r="724" spans="1:19" x14ac:dyDescent="0.35">
      <c r="A724" t="s">
        <v>788</v>
      </c>
      <c r="B724">
        <v>67</v>
      </c>
      <c r="C724" t="s">
        <v>56</v>
      </c>
      <c r="D724" t="s">
        <v>56</v>
      </c>
      <c r="E724" t="s">
        <v>55</v>
      </c>
      <c r="F724">
        <v>58</v>
      </c>
      <c r="G724" t="s">
        <v>55</v>
      </c>
      <c r="H724" t="s">
        <v>60</v>
      </c>
      <c r="I724" t="s">
        <v>29</v>
      </c>
      <c r="J724" t="s">
        <v>12</v>
      </c>
      <c r="K724" t="s">
        <v>55</v>
      </c>
      <c r="L724" t="s">
        <v>26</v>
      </c>
      <c r="M724">
        <v>68.510000000000005</v>
      </c>
      <c r="N724">
        <v>4060.78</v>
      </c>
      <c r="O724" t="s">
        <v>58</v>
      </c>
      <c r="P724" t="s">
        <v>56</v>
      </c>
      <c r="Q724">
        <f t="shared" si="33"/>
        <v>1</v>
      </c>
      <c r="R724" t="str">
        <f t="shared" si="34"/>
        <v>49+ months</v>
      </c>
      <c r="S724" t="str">
        <f t="shared" si="35"/>
        <v>$50-$75</v>
      </c>
    </row>
    <row r="725" spans="1:19" x14ac:dyDescent="0.35">
      <c r="A725" t="s">
        <v>789</v>
      </c>
      <c r="B725">
        <v>56</v>
      </c>
      <c r="C725" t="s">
        <v>55</v>
      </c>
      <c r="D725" t="s">
        <v>56</v>
      </c>
      <c r="E725" t="s">
        <v>56</v>
      </c>
      <c r="F725">
        <v>64</v>
      </c>
      <c r="G725" t="s">
        <v>56</v>
      </c>
      <c r="H725" t="s">
        <v>56</v>
      </c>
      <c r="I725" t="s">
        <v>30</v>
      </c>
      <c r="J725" t="s">
        <v>14</v>
      </c>
      <c r="K725" t="s">
        <v>56</v>
      </c>
      <c r="L725" t="s">
        <v>24</v>
      </c>
      <c r="M725">
        <v>92.74</v>
      </c>
      <c r="N725">
        <v>5700.12</v>
      </c>
      <c r="O725" t="s">
        <v>80</v>
      </c>
      <c r="P725" t="s">
        <v>55</v>
      </c>
      <c r="Q725">
        <f t="shared" si="33"/>
        <v>0</v>
      </c>
      <c r="R725" t="str">
        <f t="shared" si="34"/>
        <v>49+ months</v>
      </c>
      <c r="S725" t="str">
        <f t="shared" si="35"/>
        <v>$76-$100</v>
      </c>
    </row>
    <row r="726" spans="1:19" x14ac:dyDescent="0.35">
      <c r="A726" t="s">
        <v>790</v>
      </c>
      <c r="B726">
        <v>35</v>
      </c>
      <c r="C726" t="s">
        <v>55</v>
      </c>
      <c r="D726" t="s">
        <v>55</v>
      </c>
      <c r="E726" t="s">
        <v>55</v>
      </c>
      <c r="F726">
        <v>12</v>
      </c>
      <c r="G726" t="s">
        <v>55</v>
      </c>
      <c r="H726" t="s">
        <v>60</v>
      </c>
      <c r="I726" t="s">
        <v>30</v>
      </c>
      <c r="J726" t="s">
        <v>12</v>
      </c>
      <c r="K726" t="s">
        <v>55</v>
      </c>
      <c r="L726" t="s">
        <v>25</v>
      </c>
      <c r="M726">
        <v>108.16</v>
      </c>
      <c r="N726">
        <v>1288.8900000000001</v>
      </c>
      <c r="O726" t="s">
        <v>80</v>
      </c>
      <c r="P726" t="s">
        <v>55</v>
      </c>
      <c r="Q726">
        <f t="shared" si="33"/>
        <v>0</v>
      </c>
      <c r="R726" t="str">
        <f t="shared" si="34"/>
        <v>0-12 months</v>
      </c>
      <c r="S726" t="str">
        <f t="shared" si="35"/>
        <v>&gt; $100</v>
      </c>
    </row>
    <row r="727" spans="1:19" x14ac:dyDescent="0.35">
      <c r="A727" t="s">
        <v>791</v>
      </c>
      <c r="B727">
        <v>54</v>
      </c>
      <c r="C727" t="s">
        <v>55</v>
      </c>
      <c r="D727" t="s">
        <v>55</v>
      </c>
      <c r="E727" t="s">
        <v>56</v>
      </c>
      <c r="F727">
        <v>47</v>
      </c>
      <c r="G727" t="s">
        <v>55</v>
      </c>
      <c r="H727" t="s">
        <v>60</v>
      </c>
      <c r="I727" t="s">
        <v>31</v>
      </c>
      <c r="J727" t="s">
        <v>12</v>
      </c>
      <c r="K727" t="s">
        <v>56</v>
      </c>
      <c r="L727" t="s">
        <v>24</v>
      </c>
      <c r="M727">
        <v>24.15</v>
      </c>
      <c r="N727">
        <v>1152.03</v>
      </c>
      <c r="O727" t="s">
        <v>80</v>
      </c>
      <c r="P727" t="s">
        <v>55</v>
      </c>
      <c r="Q727">
        <f t="shared" si="33"/>
        <v>0</v>
      </c>
      <c r="R727" t="str">
        <f t="shared" si="34"/>
        <v>25-48 months</v>
      </c>
      <c r="S727" t="str">
        <f t="shared" si="35"/>
        <v>&lt; $50</v>
      </c>
    </row>
    <row r="728" spans="1:19" x14ac:dyDescent="0.35">
      <c r="A728" t="s">
        <v>792</v>
      </c>
      <c r="B728">
        <v>61</v>
      </c>
      <c r="C728" t="s">
        <v>56</v>
      </c>
      <c r="D728" t="s">
        <v>55</v>
      </c>
      <c r="E728" t="s">
        <v>55</v>
      </c>
      <c r="F728">
        <v>34</v>
      </c>
      <c r="G728" t="s">
        <v>56</v>
      </c>
      <c r="H728" t="s">
        <v>55</v>
      </c>
      <c r="I728" t="s">
        <v>31</v>
      </c>
      <c r="J728" t="s">
        <v>13</v>
      </c>
      <c r="K728" t="s">
        <v>56</v>
      </c>
      <c r="L728" t="s">
        <v>1066</v>
      </c>
      <c r="M728">
        <v>24.73</v>
      </c>
      <c r="N728">
        <v>805.97</v>
      </c>
      <c r="O728" t="s">
        <v>64</v>
      </c>
      <c r="P728" t="s">
        <v>56</v>
      </c>
      <c r="Q728">
        <f t="shared" si="33"/>
        <v>1</v>
      </c>
      <c r="R728" t="str">
        <f t="shared" si="34"/>
        <v>25-48 months</v>
      </c>
      <c r="S728" t="str">
        <f t="shared" si="35"/>
        <v>&lt; $50</v>
      </c>
    </row>
    <row r="729" spans="1:19" x14ac:dyDescent="0.35">
      <c r="A729" t="s">
        <v>793</v>
      </c>
      <c r="B729">
        <v>28</v>
      </c>
      <c r="C729" t="s">
        <v>55</v>
      </c>
      <c r="D729" t="s">
        <v>55</v>
      </c>
      <c r="E729" t="s">
        <v>56</v>
      </c>
      <c r="F729">
        <v>29</v>
      </c>
      <c r="G729" t="s">
        <v>55</v>
      </c>
      <c r="H729" t="s">
        <v>60</v>
      </c>
      <c r="I729" t="s">
        <v>30</v>
      </c>
      <c r="J729" t="s">
        <v>13</v>
      </c>
      <c r="K729" t="s">
        <v>55</v>
      </c>
      <c r="L729" t="s">
        <v>24</v>
      </c>
      <c r="M729">
        <v>102.12</v>
      </c>
      <c r="N729">
        <v>3103.68</v>
      </c>
      <c r="O729" t="s">
        <v>80</v>
      </c>
      <c r="P729" t="s">
        <v>55</v>
      </c>
      <c r="Q729">
        <f t="shared" si="33"/>
        <v>0</v>
      </c>
      <c r="R729" t="str">
        <f t="shared" si="34"/>
        <v>25-48 months</v>
      </c>
      <c r="S729" t="str">
        <f t="shared" si="35"/>
        <v>&gt; $100</v>
      </c>
    </row>
    <row r="730" spans="1:19" x14ac:dyDescent="0.35">
      <c r="A730" t="s">
        <v>794</v>
      </c>
      <c r="B730">
        <v>29</v>
      </c>
      <c r="C730" t="s">
        <v>55</v>
      </c>
      <c r="D730" t="s">
        <v>56</v>
      </c>
      <c r="E730" t="s">
        <v>55</v>
      </c>
      <c r="F730">
        <v>56</v>
      </c>
      <c r="G730" t="s">
        <v>55</v>
      </c>
      <c r="H730" t="s">
        <v>60</v>
      </c>
      <c r="I730" t="s">
        <v>30</v>
      </c>
      <c r="J730" t="s">
        <v>12</v>
      </c>
      <c r="K730" t="s">
        <v>55</v>
      </c>
      <c r="L730" t="s">
        <v>25</v>
      </c>
      <c r="M730">
        <v>94.31</v>
      </c>
      <c r="N730">
        <v>5409.56</v>
      </c>
      <c r="O730" t="s">
        <v>76</v>
      </c>
      <c r="P730" t="s">
        <v>55</v>
      </c>
      <c r="Q730">
        <f t="shared" si="33"/>
        <v>0</v>
      </c>
      <c r="R730" t="str">
        <f t="shared" si="34"/>
        <v>49+ months</v>
      </c>
      <c r="S730" t="str">
        <f t="shared" si="35"/>
        <v>$76-$100</v>
      </c>
    </row>
    <row r="731" spans="1:19" x14ac:dyDescent="0.35">
      <c r="A731" t="s">
        <v>795</v>
      </c>
      <c r="B731">
        <v>47</v>
      </c>
      <c r="C731" t="s">
        <v>55</v>
      </c>
      <c r="D731" t="s">
        <v>56</v>
      </c>
      <c r="E731" t="s">
        <v>56</v>
      </c>
      <c r="F731">
        <v>61</v>
      </c>
      <c r="G731" t="s">
        <v>56</v>
      </c>
      <c r="H731" t="s">
        <v>56</v>
      </c>
      <c r="I731" t="s">
        <v>30</v>
      </c>
      <c r="J731" t="s">
        <v>12</v>
      </c>
      <c r="K731" t="s">
        <v>55</v>
      </c>
      <c r="L731" t="s">
        <v>26</v>
      </c>
      <c r="M731">
        <v>110.43</v>
      </c>
      <c r="N731">
        <v>6970.29</v>
      </c>
      <c r="O731" t="s">
        <v>62</v>
      </c>
      <c r="P731" t="s">
        <v>55</v>
      </c>
      <c r="Q731">
        <f t="shared" si="33"/>
        <v>0</v>
      </c>
      <c r="R731" t="str">
        <f t="shared" si="34"/>
        <v>49+ months</v>
      </c>
      <c r="S731" t="str">
        <f t="shared" si="35"/>
        <v>&gt; $100</v>
      </c>
    </row>
    <row r="732" spans="1:19" x14ac:dyDescent="0.35">
      <c r="A732" t="s">
        <v>796</v>
      </c>
      <c r="B732">
        <v>21</v>
      </c>
      <c r="C732" t="s">
        <v>55</v>
      </c>
      <c r="D732" t="s">
        <v>56</v>
      </c>
      <c r="E732" t="s">
        <v>56</v>
      </c>
      <c r="F732">
        <v>55</v>
      </c>
      <c r="G732" t="s">
        <v>56</v>
      </c>
      <c r="H732" t="s">
        <v>56</v>
      </c>
      <c r="I732" t="s">
        <v>30</v>
      </c>
      <c r="J732" t="s">
        <v>12</v>
      </c>
      <c r="K732" t="s">
        <v>55</v>
      </c>
      <c r="L732" t="s">
        <v>26</v>
      </c>
      <c r="M732">
        <v>113.69</v>
      </c>
      <c r="N732">
        <v>6216.5</v>
      </c>
      <c r="O732" t="s">
        <v>62</v>
      </c>
      <c r="P732" t="s">
        <v>56</v>
      </c>
      <c r="Q732">
        <f t="shared" si="33"/>
        <v>1</v>
      </c>
      <c r="R732" t="str">
        <f t="shared" si="34"/>
        <v>49+ months</v>
      </c>
      <c r="S732" t="str">
        <f t="shared" si="35"/>
        <v>&gt; $100</v>
      </c>
    </row>
    <row r="733" spans="1:19" x14ac:dyDescent="0.35">
      <c r="A733" t="s">
        <v>797</v>
      </c>
      <c r="B733">
        <v>60</v>
      </c>
      <c r="C733" t="s">
        <v>56</v>
      </c>
      <c r="D733" t="s">
        <v>55</v>
      </c>
      <c r="E733" t="s">
        <v>56</v>
      </c>
      <c r="F733">
        <v>7</v>
      </c>
      <c r="G733" t="s">
        <v>55</v>
      </c>
      <c r="H733" t="s">
        <v>60</v>
      </c>
      <c r="I733" t="s">
        <v>30</v>
      </c>
      <c r="J733" t="s">
        <v>12</v>
      </c>
      <c r="K733" t="s">
        <v>55</v>
      </c>
      <c r="L733" t="s">
        <v>26</v>
      </c>
      <c r="M733">
        <v>87.46</v>
      </c>
      <c r="N733">
        <v>606.28</v>
      </c>
      <c r="O733" t="s">
        <v>69</v>
      </c>
      <c r="P733" t="s">
        <v>56</v>
      </c>
      <c r="Q733">
        <f t="shared" si="33"/>
        <v>1</v>
      </c>
      <c r="R733" t="str">
        <f t="shared" si="34"/>
        <v>0-12 months</v>
      </c>
      <c r="S733" t="str">
        <f t="shared" si="35"/>
        <v>$76-$100</v>
      </c>
    </row>
    <row r="734" spans="1:19" x14ac:dyDescent="0.35">
      <c r="A734" t="s">
        <v>798</v>
      </c>
      <c r="B734">
        <v>68</v>
      </c>
      <c r="C734" t="s">
        <v>56</v>
      </c>
      <c r="D734" t="s">
        <v>56</v>
      </c>
      <c r="E734" t="s">
        <v>55</v>
      </c>
      <c r="F734">
        <v>46</v>
      </c>
      <c r="G734" t="s">
        <v>55</v>
      </c>
      <c r="H734" t="s">
        <v>60</v>
      </c>
      <c r="I734" t="s">
        <v>31</v>
      </c>
      <c r="J734" t="s">
        <v>14</v>
      </c>
      <c r="K734" t="s">
        <v>56</v>
      </c>
      <c r="L734" t="s">
        <v>26</v>
      </c>
      <c r="M734">
        <v>26.02</v>
      </c>
      <c r="N734">
        <v>1213.6500000000001</v>
      </c>
      <c r="O734" t="s">
        <v>66</v>
      </c>
      <c r="P734" t="s">
        <v>55</v>
      </c>
      <c r="Q734">
        <f t="shared" si="33"/>
        <v>0</v>
      </c>
      <c r="R734" t="str">
        <f t="shared" si="34"/>
        <v>25-48 months</v>
      </c>
      <c r="S734" t="str">
        <f t="shared" si="35"/>
        <v>&lt; $50</v>
      </c>
    </row>
    <row r="735" spans="1:19" x14ac:dyDescent="0.35">
      <c r="A735" t="s">
        <v>799</v>
      </c>
      <c r="B735">
        <v>64</v>
      </c>
      <c r="C735" t="s">
        <v>56</v>
      </c>
      <c r="D735" t="s">
        <v>55</v>
      </c>
      <c r="E735" t="s">
        <v>56</v>
      </c>
      <c r="F735">
        <v>20</v>
      </c>
      <c r="G735" t="s">
        <v>56</v>
      </c>
      <c r="H735" t="s">
        <v>55</v>
      </c>
      <c r="I735" t="s">
        <v>31</v>
      </c>
      <c r="J735" t="s">
        <v>12</v>
      </c>
      <c r="K735" t="s">
        <v>55</v>
      </c>
      <c r="L735" t="s">
        <v>26</v>
      </c>
      <c r="M735">
        <v>26.67</v>
      </c>
      <c r="N735">
        <v>564.65</v>
      </c>
      <c r="O735" t="s">
        <v>66</v>
      </c>
      <c r="P735" t="s">
        <v>55</v>
      </c>
      <c r="Q735">
        <f t="shared" si="33"/>
        <v>0</v>
      </c>
      <c r="R735" t="str">
        <f t="shared" si="34"/>
        <v>13-24 months</v>
      </c>
      <c r="S735" t="str">
        <f t="shared" si="35"/>
        <v>&lt; $50</v>
      </c>
    </row>
    <row r="736" spans="1:19" x14ac:dyDescent="0.35">
      <c r="A736" t="s">
        <v>800</v>
      </c>
      <c r="B736">
        <v>26</v>
      </c>
      <c r="C736" t="s">
        <v>55</v>
      </c>
      <c r="D736" t="s">
        <v>55</v>
      </c>
      <c r="E736" t="s">
        <v>56</v>
      </c>
      <c r="F736">
        <v>5</v>
      </c>
      <c r="G736" t="s">
        <v>56</v>
      </c>
      <c r="H736" t="s">
        <v>55</v>
      </c>
      <c r="I736" t="s">
        <v>30</v>
      </c>
      <c r="J736" t="s">
        <v>12</v>
      </c>
      <c r="K736" t="s">
        <v>56</v>
      </c>
      <c r="L736" t="s">
        <v>1066</v>
      </c>
      <c r="M736">
        <v>80.81</v>
      </c>
      <c r="N736">
        <v>389.98</v>
      </c>
      <c r="O736" t="s">
        <v>69</v>
      </c>
      <c r="P736" t="s">
        <v>56</v>
      </c>
      <c r="Q736">
        <f t="shared" si="33"/>
        <v>1</v>
      </c>
      <c r="R736" t="str">
        <f t="shared" si="34"/>
        <v>0-12 months</v>
      </c>
      <c r="S736" t="str">
        <f t="shared" si="35"/>
        <v>$76-$100</v>
      </c>
    </row>
    <row r="737" spans="1:19" x14ac:dyDescent="0.35">
      <c r="A737" t="s">
        <v>801</v>
      </c>
      <c r="B737">
        <v>54</v>
      </c>
      <c r="C737" t="s">
        <v>55</v>
      </c>
      <c r="D737" t="s">
        <v>56</v>
      </c>
      <c r="E737" t="s">
        <v>55</v>
      </c>
      <c r="F737">
        <v>47</v>
      </c>
      <c r="G737" t="s">
        <v>55</v>
      </c>
      <c r="H737" t="s">
        <v>60</v>
      </c>
      <c r="I737" t="s">
        <v>30</v>
      </c>
      <c r="J737" t="s">
        <v>12</v>
      </c>
      <c r="K737" t="s">
        <v>56</v>
      </c>
      <c r="L737" t="s">
        <v>1066</v>
      </c>
      <c r="M737">
        <v>102.45</v>
      </c>
      <c r="N737">
        <v>4789.72</v>
      </c>
      <c r="O737" t="s">
        <v>76</v>
      </c>
      <c r="P737" t="s">
        <v>56</v>
      </c>
      <c r="Q737">
        <f t="shared" si="33"/>
        <v>1</v>
      </c>
      <c r="R737" t="str">
        <f t="shared" si="34"/>
        <v>25-48 months</v>
      </c>
      <c r="S737" t="str">
        <f t="shared" si="35"/>
        <v>&gt; $100</v>
      </c>
    </row>
    <row r="738" spans="1:19" x14ac:dyDescent="0.35">
      <c r="A738" t="s">
        <v>802</v>
      </c>
      <c r="B738">
        <v>71</v>
      </c>
      <c r="C738" t="s">
        <v>56</v>
      </c>
      <c r="D738" t="s">
        <v>55</v>
      </c>
      <c r="E738" t="s">
        <v>55</v>
      </c>
      <c r="F738">
        <v>15</v>
      </c>
      <c r="G738" t="s">
        <v>55</v>
      </c>
      <c r="H738" t="s">
        <v>60</v>
      </c>
      <c r="I738" t="s">
        <v>31</v>
      </c>
      <c r="J738" t="s">
        <v>12</v>
      </c>
      <c r="K738" t="s">
        <v>56</v>
      </c>
      <c r="L738" t="s">
        <v>24</v>
      </c>
      <c r="M738">
        <v>19.95</v>
      </c>
      <c r="N738">
        <v>296.95</v>
      </c>
      <c r="O738" t="s">
        <v>69</v>
      </c>
      <c r="P738" t="s">
        <v>56</v>
      </c>
      <c r="Q738">
        <f t="shared" si="33"/>
        <v>1</v>
      </c>
      <c r="R738" t="str">
        <f t="shared" si="34"/>
        <v>13-24 months</v>
      </c>
      <c r="S738" t="str">
        <f t="shared" si="35"/>
        <v>&lt; $50</v>
      </c>
    </row>
    <row r="739" spans="1:19" x14ac:dyDescent="0.35">
      <c r="A739" t="s">
        <v>803</v>
      </c>
      <c r="B739">
        <v>62</v>
      </c>
      <c r="C739" t="s">
        <v>56</v>
      </c>
      <c r="D739" t="s">
        <v>55</v>
      </c>
      <c r="E739" t="s">
        <v>55</v>
      </c>
      <c r="F739">
        <v>13</v>
      </c>
      <c r="G739" t="s">
        <v>56</v>
      </c>
      <c r="H739" t="s">
        <v>56</v>
      </c>
      <c r="I739" t="s">
        <v>31</v>
      </c>
      <c r="J739" t="s">
        <v>12</v>
      </c>
      <c r="K739" t="s">
        <v>55</v>
      </c>
      <c r="L739" t="s">
        <v>26</v>
      </c>
      <c r="M739">
        <v>27</v>
      </c>
      <c r="N739">
        <v>356.22</v>
      </c>
      <c r="O739" t="s">
        <v>69</v>
      </c>
      <c r="P739" t="s">
        <v>55</v>
      </c>
      <c r="Q739">
        <f t="shared" si="33"/>
        <v>0</v>
      </c>
      <c r="R739" t="str">
        <f t="shared" si="34"/>
        <v>13-24 months</v>
      </c>
      <c r="S739" t="str">
        <f t="shared" si="35"/>
        <v>&lt; $50</v>
      </c>
    </row>
    <row r="740" spans="1:19" x14ac:dyDescent="0.35">
      <c r="A740" t="s">
        <v>804</v>
      </c>
      <c r="B740">
        <v>46</v>
      </c>
      <c r="C740" t="s">
        <v>55</v>
      </c>
      <c r="D740" t="s">
        <v>56</v>
      </c>
      <c r="E740" t="s">
        <v>55</v>
      </c>
      <c r="F740">
        <v>54</v>
      </c>
      <c r="G740" t="s">
        <v>55</v>
      </c>
      <c r="H740" t="s">
        <v>60</v>
      </c>
      <c r="I740" t="s">
        <v>30</v>
      </c>
      <c r="J740" t="s">
        <v>13</v>
      </c>
      <c r="K740" t="s">
        <v>56</v>
      </c>
      <c r="L740" t="s">
        <v>26</v>
      </c>
      <c r="M740">
        <v>93.48</v>
      </c>
      <c r="N740">
        <v>4820.42</v>
      </c>
      <c r="O740" t="s">
        <v>64</v>
      </c>
      <c r="P740" t="s">
        <v>55</v>
      </c>
      <c r="Q740">
        <f t="shared" si="33"/>
        <v>0</v>
      </c>
      <c r="R740" t="str">
        <f t="shared" si="34"/>
        <v>49+ months</v>
      </c>
      <c r="S740" t="str">
        <f t="shared" si="35"/>
        <v>$76-$100</v>
      </c>
    </row>
    <row r="741" spans="1:19" x14ac:dyDescent="0.35">
      <c r="A741" t="s">
        <v>805</v>
      </c>
      <c r="B741">
        <v>44</v>
      </c>
      <c r="C741" t="s">
        <v>55</v>
      </c>
      <c r="D741" t="s">
        <v>55</v>
      </c>
      <c r="E741" t="s">
        <v>56</v>
      </c>
      <c r="F741">
        <v>48</v>
      </c>
      <c r="G741" t="s">
        <v>55</v>
      </c>
      <c r="H741" t="s">
        <v>60</v>
      </c>
      <c r="I741" t="s">
        <v>29</v>
      </c>
      <c r="J741" t="s">
        <v>12</v>
      </c>
      <c r="K741" t="s">
        <v>55</v>
      </c>
      <c r="L741" t="s">
        <v>26</v>
      </c>
      <c r="M741">
        <v>76.11</v>
      </c>
      <c r="N741">
        <v>3832.73</v>
      </c>
      <c r="O741" t="s">
        <v>80</v>
      </c>
      <c r="P741" t="s">
        <v>55</v>
      </c>
      <c r="Q741">
        <f t="shared" si="33"/>
        <v>0</v>
      </c>
      <c r="R741" t="str">
        <f t="shared" si="34"/>
        <v>25-48 months</v>
      </c>
      <c r="S741" t="str">
        <f t="shared" si="35"/>
        <v>$76-$100</v>
      </c>
    </row>
    <row r="742" spans="1:19" x14ac:dyDescent="0.35">
      <c r="A742" t="s">
        <v>806</v>
      </c>
      <c r="B742">
        <v>75</v>
      </c>
      <c r="C742" t="s">
        <v>56</v>
      </c>
      <c r="D742" t="s">
        <v>55</v>
      </c>
      <c r="E742" t="s">
        <v>56</v>
      </c>
      <c r="F742">
        <v>2</v>
      </c>
      <c r="G742" t="s">
        <v>55</v>
      </c>
      <c r="H742" t="s">
        <v>60</v>
      </c>
      <c r="I742" t="s">
        <v>30</v>
      </c>
      <c r="J742" t="s">
        <v>14</v>
      </c>
      <c r="K742" t="s">
        <v>55</v>
      </c>
      <c r="L742" t="s">
        <v>26</v>
      </c>
      <c r="M742">
        <v>117.96</v>
      </c>
      <c r="N742">
        <v>249.87</v>
      </c>
      <c r="O742" t="s">
        <v>64</v>
      </c>
      <c r="P742" t="s">
        <v>56</v>
      </c>
      <c r="Q742">
        <f t="shared" si="33"/>
        <v>1</v>
      </c>
      <c r="R742" t="str">
        <f t="shared" si="34"/>
        <v>0-12 months</v>
      </c>
      <c r="S742" t="str">
        <f t="shared" si="35"/>
        <v>&gt; $100</v>
      </c>
    </row>
    <row r="743" spans="1:19" x14ac:dyDescent="0.35">
      <c r="A743" t="s">
        <v>807</v>
      </c>
      <c r="B743">
        <v>30</v>
      </c>
      <c r="C743" t="s">
        <v>55</v>
      </c>
      <c r="D743" t="s">
        <v>55</v>
      </c>
      <c r="E743" t="s">
        <v>56</v>
      </c>
      <c r="F743">
        <v>55</v>
      </c>
      <c r="G743" t="s">
        <v>55</v>
      </c>
      <c r="H743" t="s">
        <v>60</v>
      </c>
      <c r="I743" t="s">
        <v>30</v>
      </c>
      <c r="J743" t="s">
        <v>14</v>
      </c>
      <c r="K743" t="s">
        <v>56</v>
      </c>
      <c r="L743" t="s">
        <v>24</v>
      </c>
      <c r="M743">
        <v>85.91</v>
      </c>
      <c r="N743">
        <v>4531.3900000000003</v>
      </c>
      <c r="O743" t="s">
        <v>69</v>
      </c>
      <c r="P743" t="s">
        <v>55</v>
      </c>
      <c r="Q743">
        <f t="shared" si="33"/>
        <v>0</v>
      </c>
      <c r="R743" t="str">
        <f t="shared" si="34"/>
        <v>49+ months</v>
      </c>
      <c r="S743" t="str">
        <f t="shared" si="35"/>
        <v>$76-$100</v>
      </c>
    </row>
    <row r="744" spans="1:19" x14ac:dyDescent="0.35">
      <c r="A744" t="s">
        <v>808</v>
      </c>
      <c r="B744">
        <v>69</v>
      </c>
      <c r="C744" t="s">
        <v>56</v>
      </c>
      <c r="D744" t="s">
        <v>56</v>
      </c>
      <c r="E744" t="s">
        <v>56</v>
      </c>
      <c r="F744">
        <v>51</v>
      </c>
      <c r="G744" t="s">
        <v>55</v>
      </c>
      <c r="H744" t="s">
        <v>60</v>
      </c>
      <c r="I744" t="s">
        <v>31</v>
      </c>
      <c r="J744" t="s">
        <v>14</v>
      </c>
      <c r="K744" t="s">
        <v>56</v>
      </c>
      <c r="L744" t="s">
        <v>25</v>
      </c>
      <c r="M744">
        <v>20.45</v>
      </c>
      <c r="N744">
        <v>992.05</v>
      </c>
      <c r="O744" t="s">
        <v>69</v>
      </c>
      <c r="P744" t="s">
        <v>55</v>
      </c>
      <c r="Q744">
        <f t="shared" si="33"/>
        <v>0</v>
      </c>
      <c r="R744" t="str">
        <f t="shared" si="34"/>
        <v>49+ months</v>
      </c>
      <c r="S744" t="str">
        <f t="shared" si="35"/>
        <v>&lt; $50</v>
      </c>
    </row>
    <row r="745" spans="1:19" x14ac:dyDescent="0.35">
      <c r="A745" t="s">
        <v>809</v>
      </c>
      <c r="B745">
        <v>67</v>
      </c>
      <c r="C745" t="s">
        <v>56</v>
      </c>
      <c r="D745" t="s">
        <v>56</v>
      </c>
      <c r="E745" t="s">
        <v>56</v>
      </c>
      <c r="F745">
        <v>70</v>
      </c>
      <c r="G745" t="s">
        <v>56</v>
      </c>
      <c r="H745" t="s">
        <v>55</v>
      </c>
      <c r="I745" t="s">
        <v>31</v>
      </c>
      <c r="J745" t="s">
        <v>12</v>
      </c>
      <c r="K745" t="s">
        <v>56</v>
      </c>
      <c r="L745" t="s">
        <v>25</v>
      </c>
      <c r="M745">
        <v>25.61</v>
      </c>
      <c r="N745">
        <v>1852.42</v>
      </c>
      <c r="O745" t="s">
        <v>69</v>
      </c>
      <c r="P745" t="s">
        <v>56</v>
      </c>
      <c r="Q745">
        <f t="shared" si="33"/>
        <v>1</v>
      </c>
      <c r="R745" t="str">
        <f t="shared" si="34"/>
        <v>49+ months</v>
      </c>
      <c r="S745" t="str">
        <f t="shared" si="35"/>
        <v>&lt; $50</v>
      </c>
    </row>
    <row r="746" spans="1:19" x14ac:dyDescent="0.35">
      <c r="A746" t="s">
        <v>810</v>
      </c>
      <c r="B746">
        <v>75</v>
      </c>
      <c r="C746" t="s">
        <v>56</v>
      </c>
      <c r="D746" t="s">
        <v>56</v>
      </c>
      <c r="E746" t="s">
        <v>55</v>
      </c>
      <c r="F746">
        <v>25</v>
      </c>
      <c r="G746" t="s">
        <v>56</v>
      </c>
      <c r="H746" t="s">
        <v>55</v>
      </c>
      <c r="I746" t="s">
        <v>29</v>
      </c>
      <c r="J746" t="s">
        <v>14</v>
      </c>
      <c r="K746" t="s">
        <v>55</v>
      </c>
      <c r="L746" t="s">
        <v>1066</v>
      </c>
      <c r="M746">
        <v>66.37</v>
      </c>
      <c r="N746">
        <v>1614.44</v>
      </c>
      <c r="O746" t="s">
        <v>69</v>
      </c>
      <c r="P746" t="s">
        <v>55</v>
      </c>
      <c r="Q746">
        <f t="shared" si="33"/>
        <v>0</v>
      </c>
      <c r="R746" t="str">
        <f t="shared" si="34"/>
        <v>25-48 months</v>
      </c>
      <c r="S746" t="str">
        <f t="shared" si="35"/>
        <v>$50-$75</v>
      </c>
    </row>
    <row r="747" spans="1:19" x14ac:dyDescent="0.35">
      <c r="A747" t="s">
        <v>811</v>
      </c>
      <c r="B747">
        <v>19</v>
      </c>
      <c r="C747" t="s">
        <v>55</v>
      </c>
      <c r="D747" t="s">
        <v>56</v>
      </c>
      <c r="E747" t="s">
        <v>56</v>
      </c>
      <c r="F747">
        <v>59</v>
      </c>
      <c r="G747" t="s">
        <v>56</v>
      </c>
      <c r="H747" t="s">
        <v>56</v>
      </c>
      <c r="I747" t="s">
        <v>31</v>
      </c>
      <c r="J747" t="s">
        <v>12</v>
      </c>
      <c r="K747" t="s">
        <v>56</v>
      </c>
      <c r="L747" t="s">
        <v>26</v>
      </c>
      <c r="M747">
        <v>23.93</v>
      </c>
      <c r="N747">
        <v>1388.39</v>
      </c>
      <c r="O747" t="s">
        <v>64</v>
      </c>
      <c r="P747" t="s">
        <v>55</v>
      </c>
      <c r="Q747">
        <f t="shared" si="33"/>
        <v>0</v>
      </c>
      <c r="R747" t="str">
        <f t="shared" si="34"/>
        <v>49+ months</v>
      </c>
      <c r="S747" t="str">
        <f t="shared" si="35"/>
        <v>&lt; $50</v>
      </c>
    </row>
    <row r="748" spans="1:19" x14ac:dyDescent="0.35">
      <c r="A748" t="s">
        <v>812</v>
      </c>
      <c r="B748">
        <v>24</v>
      </c>
      <c r="C748" t="s">
        <v>55</v>
      </c>
      <c r="D748" t="s">
        <v>55</v>
      </c>
      <c r="E748" t="s">
        <v>56</v>
      </c>
      <c r="F748">
        <v>53</v>
      </c>
      <c r="G748" t="s">
        <v>56</v>
      </c>
      <c r="H748" t="s">
        <v>56</v>
      </c>
      <c r="I748" t="s">
        <v>30</v>
      </c>
      <c r="J748" t="s">
        <v>12</v>
      </c>
      <c r="K748" t="s">
        <v>55</v>
      </c>
      <c r="L748" t="s">
        <v>1066</v>
      </c>
      <c r="M748">
        <v>92.54</v>
      </c>
      <c r="N748">
        <v>4705.16</v>
      </c>
      <c r="O748" t="s">
        <v>62</v>
      </c>
      <c r="P748" t="s">
        <v>56</v>
      </c>
      <c r="Q748">
        <f t="shared" si="33"/>
        <v>1</v>
      </c>
      <c r="R748" t="str">
        <f t="shared" si="34"/>
        <v>49+ months</v>
      </c>
      <c r="S748" t="str">
        <f t="shared" si="35"/>
        <v>$76-$100</v>
      </c>
    </row>
    <row r="749" spans="1:19" x14ac:dyDescent="0.35">
      <c r="A749" t="s">
        <v>813</v>
      </c>
      <c r="B749">
        <v>60</v>
      </c>
      <c r="C749" t="s">
        <v>56</v>
      </c>
      <c r="D749" t="s">
        <v>56</v>
      </c>
      <c r="E749" t="s">
        <v>56</v>
      </c>
      <c r="F749">
        <v>44</v>
      </c>
      <c r="G749" t="s">
        <v>55</v>
      </c>
      <c r="H749" t="s">
        <v>60</v>
      </c>
      <c r="I749" t="s">
        <v>31</v>
      </c>
      <c r="J749" t="s">
        <v>14</v>
      </c>
      <c r="K749" t="s">
        <v>56</v>
      </c>
      <c r="L749" t="s">
        <v>26</v>
      </c>
      <c r="M749">
        <v>26.9</v>
      </c>
      <c r="N749">
        <v>1244.19</v>
      </c>
      <c r="O749" t="s">
        <v>80</v>
      </c>
      <c r="P749" t="s">
        <v>56</v>
      </c>
      <c r="Q749">
        <f t="shared" si="33"/>
        <v>1</v>
      </c>
      <c r="R749" t="str">
        <f t="shared" si="34"/>
        <v>25-48 months</v>
      </c>
      <c r="S749" t="str">
        <f t="shared" si="35"/>
        <v>&lt; $50</v>
      </c>
    </row>
    <row r="750" spans="1:19" x14ac:dyDescent="0.35">
      <c r="A750" t="s">
        <v>814</v>
      </c>
      <c r="B750">
        <v>52</v>
      </c>
      <c r="C750" t="s">
        <v>55</v>
      </c>
      <c r="D750" t="s">
        <v>56</v>
      </c>
      <c r="E750" t="s">
        <v>56</v>
      </c>
      <c r="F750">
        <v>28</v>
      </c>
      <c r="G750" t="s">
        <v>56</v>
      </c>
      <c r="H750" t="s">
        <v>55</v>
      </c>
      <c r="I750" t="s">
        <v>31</v>
      </c>
      <c r="J750" t="s">
        <v>12</v>
      </c>
      <c r="K750" t="s">
        <v>56</v>
      </c>
      <c r="L750" t="s">
        <v>26</v>
      </c>
      <c r="M750">
        <v>26.73</v>
      </c>
      <c r="N750">
        <v>787.94</v>
      </c>
      <c r="O750" t="s">
        <v>64</v>
      </c>
      <c r="P750" t="s">
        <v>56</v>
      </c>
      <c r="Q750">
        <f t="shared" si="33"/>
        <v>1</v>
      </c>
      <c r="R750" t="str">
        <f t="shared" si="34"/>
        <v>25-48 months</v>
      </c>
      <c r="S750" t="str">
        <f t="shared" si="35"/>
        <v>&lt; $50</v>
      </c>
    </row>
    <row r="751" spans="1:19" x14ac:dyDescent="0.35">
      <c r="A751" t="s">
        <v>815</v>
      </c>
      <c r="B751">
        <v>30</v>
      </c>
      <c r="C751" t="s">
        <v>55</v>
      </c>
      <c r="D751" t="s">
        <v>56</v>
      </c>
      <c r="E751" t="s">
        <v>55</v>
      </c>
      <c r="F751">
        <v>71</v>
      </c>
      <c r="G751" t="s">
        <v>55</v>
      </c>
      <c r="H751" t="s">
        <v>60</v>
      </c>
      <c r="I751" t="s">
        <v>29</v>
      </c>
      <c r="J751" t="s">
        <v>13</v>
      </c>
      <c r="K751" t="s">
        <v>55</v>
      </c>
      <c r="L751" t="s">
        <v>24</v>
      </c>
      <c r="M751">
        <v>77.849999999999994</v>
      </c>
      <c r="N751">
        <v>5807.49</v>
      </c>
      <c r="O751" t="s">
        <v>62</v>
      </c>
      <c r="P751" t="s">
        <v>55</v>
      </c>
      <c r="Q751">
        <f t="shared" si="33"/>
        <v>0</v>
      </c>
      <c r="R751" t="str">
        <f t="shared" si="34"/>
        <v>49+ months</v>
      </c>
      <c r="S751" t="str">
        <f t="shared" si="35"/>
        <v>$76-$100</v>
      </c>
    </row>
    <row r="752" spans="1:19" x14ac:dyDescent="0.35">
      <c r="A752" t="s">
        <v>816</v>
      </c>
      <c r="B752">
        <v>61</v>
      </c>
      <c r="C752" t="s">
        <v>56</v>
      </c>
      <c r="D752" t="s">
        <v>55</v>
      </c>
      <c r="E752" t="s">
        <v>55</v>
      </c>
      <c r="F752">
        <v>14</v>
      </c>
      <c r="G752" t="s">
        <v>55</v>
      </c>
      <c r="H752" t="s">
        <v>60</v>
      </c>
      <c r="I752" t="s">
        <v>29</v>
      </c>
      <c r="J752" t="s">
        <v>12</v>
      </c>
      <c r="K752" t="s">
        <v>56</v>
      </c>
      <c r="L752" t="s">
        <v>25</v>
      </c>
      <c r="M752">
        <v>59.51</v>
      </c>
      <c r="N752">
        <v>871.42</v>
      </c>
      <c r="O752" t="s">
        <v>69</v>
      </c>
      <c r="P752" t="s">
        <v>55</v>
      </c>
      <c r="Q752">
        <f t="shared" si="33"/>
        <v>0</v>
      </c>
      <c r="R752" t="str">
        <f t="shared" si="34"/>
        <v>13-24 months</v>
      </c>
      <c r="S752" t="str">
        <f t="shared" si="35"/>
        <v>$50-$75</v>
      </c>
    </row>
    <row r="753" spans="1:19" x14ac:dyDescent="0.35">
      <c r="A753" t="s">
        <v>817</v>
      </c>
      <c r="B753">
        <v>35</v>
      </c>
      <c r="C753" t="s">
        <v>55</v>
      </c>
      <c r="D753" t="s">
        <v>55</v>
      </c>
      <c r="E753" t="s">
        <v>56</v>
      </c>
      <c r="F753">
        <v>50</v>
      </c>
      <c r="G753" t="s">
        <v>55</v>
      </c>
      <c r="H753" t="s">
        <v>60</v>
      </c>
      <c r="I753" t="s">
        <v>30</v>
      </c>
      <c r="J753" t="s">
        <v>12</v>
      </c>
      <c r="K753" t="s">
        <v>56</v>
      </c>
      <c r="L753" t="s">
        <v>24</v>
      </c>
      <c r="M753">
        <v>114.47</v>
      </c>
      <c r="N753">
        <v>6038.13</v>
      </c>
      <c r="O753" t="s">
        <v>64</v>
      </c>
      <c r="P753" t="s">
        <v>56</v>
      </c>
      <c r="Q753">
        <f t="shared" si="33"/>
        <v>1</v>
      </c>
      <c r="R753" t="str">
        <f t="shared" si="34"/>
        <v>49+ months</v>
      </c>
      <c r="S753" t="str">
        <f t="shared" si="35"/>
        <v>&gt; $100</v>
      </c>
    </row>
    <row r="754" spans="1:19" x14ac:dyDescent="0.35">
      <c r="A754" t="s">
        <v>818</v>
      </c>
      <c r="B754">
        <v>36</v>
      </c>
      <c r="C754" t="s">
        <v>55</v>
      </c>
      <c r="D754" t="s">
        <v>55</v>
      </c>
      <c r="E754" t="s">
        <v>55</v>
      </c>
      <c r="F754">
        <v>4</v>
      </c>
      <c r="G754" t="s">
        <v>55</v>
      </c>
      <c r="H754" t="s">
        <v>60</v>
      </c>
      <c r="I754" t="s">
        <v>30</v>
      </c>
      <c r="J754" t="s">
        <v>12</v>
      </c>
      <c r="K754" t="s">
        <v>56</v>
      </c>
      <c r="L754" t="s">
        <v>24</v>
      </c>
      <c r="M754">
        <v>73.63</v>
      </c>
      <c r="N754">
        <v>300.07</v>
      </c>
      <c r="O754" t="s">
        <v>66</v>
      </c>
      <c r="P754" t="s">
        <v>56</v>
      </c>
      <c r="Q754">
        <f t="shared" si="33"/>
        <v>1</v>
      </c>
      <c r="R754" t="str">
        <f t="shared" si="34"/>
        <v>0-12 months</v>
      </c>
      <c r="S754" t="str">
        <f t="shared" si="35"/>
        <v>$50-$75</v>
      </c>
    </row>
    <row r="755" spans="1:19" x14ac:dyDescent="0.35">
      <c r="A755" t="s">
        <v>819</v>
      </c>
      <c r="B755">
        <v>38</v>
      </c>
      <c r="C755" t="s">
        <v>55</v>
      </c>
      <c r="D755" t="s">
        <v>56</v>
      </c>
      <c r="E755" t="s">
        <v>56</v>
      </c>
      <c r="F755">
        <v>41</v>
      </c>
      <c r="G755" t="s">
        <v>55</v>
      </c>
      <c r="H755" t="s">
        <v>60</v>
      </c>
      <c r="I755" t="s">
        <v>29</v>
      </c>
      <c r="J755" t="s">
        <v>12</v>
      </c>
      <c r="K755" t="s">
        <v>55</v>
      </c>
      <c r="L755" t="s">
        <v>25</v>
      </c>
      <c r="M755">
        <v>62.47</v>
      </c>
      <c r="N755">
        <v>2526.11</v>
      </c>
      <c r="O755" t="s">
        <v>58</v>
      </c>
      <c r="P755" t="s">
        <v>55</v>
      </c>
      <c r="Q755">
        <f t="shared" si="33"/>
        <v>0</v>
      </c>
      <c r="R755" t="str">
        <f t="shared" si="34"/>
        <v>25-48 months</v>
      </c>
      <c r="S755" t="str">
        <f t="shared" si="35"/>
        <v>$50-$75</v>
      </c>
    </row>
    <row r="756" spans="1:19" x14ac:dyDescent="0.35">
      <c r="A756" t="s">
        <v>820</v>
      </c>
      <c r="B756">
        <v>31</v>
      </c>
      <c r="C756" t="s">
        <v>55</v>
      </c>
      <c r="D756" t="s">
        <v>56</v>
      </c>
      <c r="E756" t="s">
        <v>55</v>
      </c>
      <c r="F756">
        <v>10</v>
      </c>
      <c r="G756" t="s">
        <v>55</v>
      </c>
      <c r="H756" t="s">
        <v>60</v>
      </c>
      <c r="I756" t="s">
        <v>29</v>
      </c>
      <c r="J756" t="s">
        <v>13</v>
      </c>
      <c r="K756" t="s">
        <v>55</v>
      </c>
      <c r="L756" t="s">
        <v>26</v>
      </c>
      <c r="M756">
        <v>52.8</v>
      </c>
      <c r="N756">
        <v>508.81</v>
      </c>
      <c r="O756" t="s">
        <v>64</v>
      </c>
      <c r="P756" t="s">
        <v>55</v>
      </c>
      <c r="Q756">
        <f t="shared" si="33"/>
        <v>0</v>
      </c>
      <c r="R756" t="str">
        <f t="shared" si="34"/>
        <v>0-12 months</v>
      </c>
      <c r="S756" t="str">
        <f t="shared" si="35"/>
        <v>$50-$75</v>
      </c>
    </row>
    <row r="757" spans="1:19" x14ac:dyDescent="0.35">
      <c r="A757" t="s">
        <v>821</v>
      </c>
      <c r="B757">
        <v>20</v>
      </c>
      <c r="C757" t="s">
        <v>55</v>
      </c>
      <c r="D757" t="s">
        <v>55</v>
      </c>
      <c r="E757" t="s">
        <v>55</v>
      </c>
      <c r="F757">
        <v>16</v>
      </c>
      <c r="G757" t="s">
        <v>56</v>
      </c>
      <c r="H757" t="s">
        <v>55</v>
      </c>
      <c r="I757" t="s">
        <v>30</v>
      </c>
      <c r="J757" t="s">
        <v>13</v>
      </c>
      <c r="K757" t="s">
        <v>56</v>
      </c>
      <c r="L757" t="s">
        <v>24</v>
      </c>
      <c r="M757">
        <v>84.25</v>
      </c>
      <c r="N757">
        <v>1371.24</v>
      </c>
      <c r="O757" t="s">
        <v>80</v>
      </c>
      <c r="P757" t="s">
        <v>55</v>
      </c>
      <c r="Q757">
        <f t="shared" si="33"/>
        <v>0</v>
      </c>
      <c r="R757" t="str">
        <f t="shared" si="34"/>
        <v>13-24 months</v>
      </c>
      <c r="S757" t="str">
        <f t="shared" si="35"/>
        <v>$76-$100</v>
      </c>
    </row>
    <row r="758" spans="1:19" x14ac:dyDescent="0.35">
      <c r="A758" t="s">
        <v>822</v>
      </c>
      <c r="B758">
        <v>47</v>
      </c>
      <c r="C758" t="s">
        <v>55</v>
      </c>
      <c r="D758" t="s">
        <v>55</v>
      </c>
      <c r="E758" t="s">
        <v>56</v>
      </c>
      <c r="F758">
        <v>52</v>
      </c>
      <c r="G758" t="s">
        <v>56</v>
      </c>
      <c r="H758" t="s">
        <v>56</v>
      </c>
      <c r="I758" t="s">
        <v>30</v>
      </c>
      <c r="J758" t="s">
        <v>12</v>
      </c>
      <c r="K758" t="s">
        <v>55</v>
      </c>
      <c r="L758" t="s">
        <v>26</v>
      </c>
      <c r="M758">
        <v>110.13</v>
      </c>
      <c r="N758">
        <v>5880.18</v>
      </c>
      <c r="O758" t="s">
        <v>66</v>
      </c>
      <c r="P758" t="s">
        <v>56</v>
      </c>
      <c r="Q758">
        <f t="shared" si="33"/>
        <v>1</v>
      </c>
      <c r="R758" t="str">
        <f t="shared" si="34"/>
        <v>49+ months</v>
      </c>
      <c r="S758" t="str">
        <f t="shared" si="35"/>
        <v>&gt; $100</v>
      </c>
    </row>
    <row r="759" spans="1:19" x14ac:dyDescent="0.35">
      <c r="A759" t="s">
        <v>823</v>
      </c>
      <c r="B759">
        <v>40</v>
      </c>
      <c r="C759" t="s">
        <v>55</v>
      </c>
      <c r="D759" t="s">
        <v>55</v>
      </c>
      <c r="E759" t="s">
        <v>56</v>
      </c>
      <c r="F759">
        <v>72</v>
      </c>
      <c r="G759" t="s">
        <v>55</v>
      </c>
      <c r="H759" t="s">
        <v>60</v>
      </c>
      <c r="I759" t="s">
        <v>29</v>
      </c>
      <c r="J759" t="s">
        <v>13</v>
      </c>
      <c r="K759" t="s">
        <v>55</v>
      </c>
      <c r="L759" t="s">
        <v>26</v>
      </c>
      <c r="M759">
        <v>79.36</v>
      </c>
      <c r="N759">
        <v>5709.35</v>
      </c>
      <c r="O759" t="s">
        <v>80</v>
      </c>
      <c r="P759" t="s">
        <v>55</v>
      </c>
      <c r="Q759">
        <f t="shared" si="33"/>
        <v>0</v>
      </c>
      <c r="R759" t="str">
        <f t="shared" si="34"/>
        <v>49+ months</v>
      </c>
      <c r="S759" t="str">
        <f t="shared" si="35"/>
        <v>$76-$100</v>
      </c>
    </row>
    <row r="760" spans="1:19" x14ac:dyDescent="0.35">
      <c r="A760" t="s">
        <v>824</v>
      </c>
      <c r="B760">
        <v>71</v>
      </c>
      <c r="C760" t="s">
        <v>56</v>
      </c>
      <c r="D760" t="s">
        <v>55</v>
      </c>
      <c r="E760" t="s">
        <v>56</v>
      </c>
      <c r="F760">
        <v>4</v>
      </c>
      <c r="G760" t="s">
        <v>56</v>
      </c>
      <c r="H760" t="s">
        <v>56</v>
      </c>
      <c r="I760" t="s">
        <v>30</v>
      </c>
      <c r="J760" t="s">
        <v>14</v>
      </c>
      <c r="K760" t="s">
        <v>55</v>
      </c>
      <c r="L760" t="s">
        <v>26</v>
      </c>
      <c r="M760">
        <v>74.400000000000006</v>
      </c>
      <c r="N760">
        <v>305.60000000000002</v>
      </c>
      <c r="O760" t="s">
        <v>66</v>
      </c>
      <c r="P760" t="s">
        <v>55</v>
      </c>
      <c r="Q760">
        <f t="shared" si="33"/>
        <v>0</v>
      </c>
      <c r="R760" t="str">
        <f t="shared" si="34"/>
        <v>0-12 months</v>
      </c>
      <c r="S760" t="str">
        <f t="shared" si="35"/>
        <v>$50-$75</v>
      </c>
    </row>
    <row r="761" spans="1:19" x14ac:dyDescent="0.35">
      <c r="A761" t="s">
        <v>825</v>
      </c>
      <c r="B761">
        <v>75</v>
      </c>
      <c r="C761" t="s">
        <v>56</v>
      </c>
      <c r="D761" t="s">
        <v>56</v>
      </c>
      <c r="E761" t="s">
        <v>56</v>
      </c>
      <c r="F761">
        <v>34</v>
      </c>
      <c r="G761" t="s">
        <v>56</v>
      </c>
      <c r="H761" t="s">
        <v>56</v>
      </c>
      <c r="I761" t="s">
        <v>31</v>
      </c>
      <c r="J761" t="s">
        <v>14</v>
      </c>
      <c r="K761" t="s">
        <v>56</v>
      </c>
      <c r="L761" t="s">
        <v>26</v>
      </c>
      <c r="M761">
        <v>26.26</v>
      </c>
      <c r="N761">
        <v>924.09</v>
      </c>
      <c r="O761" t="s">
        <v>69</v>
      </c>
      <c r="P761" t="s">
        <v>55</v>
      </c>
      <c r="Q761">
        <f t="shared" si="33"/>
        <v>0</v>
      </c>
      <c r="R761" t="str">
        <f t="shared" si="34"/>
        <v>25-48 months</v>
      </c>
      <c r="S761" t="str">
        <f t="shared" si="35"/>
        <v>&lt; $50</v>
      </c>
    </row>
    <row r="762" spans="1:19" x14ac:dyDescent="0.35">
      <c r="A762" t="s">
        <v>826</v>
      </c>
      <c r="B762">
        <v>28</v>
      </c>
      <c r="C762" t="s">
        <v>55</v>
      </c>
      <c r="D762" t="s">
        <v>56</v>
      </c>
      <c r="E762" t="s">
        <v>55</v>
      </c>
      <c r="F762">
        <v>16</v>
      </c>
      <c r="G762" t="s">
        <v>56</v>
      </c>
      <c r="H762" t="s">
        <v>55</v>
      </c>
      <c r="I762" t="s">
        <v>30</v>
      </c>
      <c r="J762" t="s">
        <v>14</v>
      </c>
      <c r="K762" t="s">
        <v>55</v>
      </c>
      <c r="L762" t="s">
        <v>1066</v>
      </c>
      <c r="M762">
        <v>103.41</v>
      </c>
      <c r="N762">
        <v>1658.88</v>
      </c>
      <c r="O762" t="s">
        <v>64</v>
      </c>
      <c r="P762" t="s">
        <v>55</v>
      </c>
      <c r="Q762">
        <f t="shared" si="33"/>
        <v>0</v>
      </c>
      <c r="R762" t="str">
        <f t="shared" si="34"/>
        <v>13-24 months</v>
      </c>
      <c r="S762" t="str">
        <f t="shared" si="35"/>
        <v>&gt; $100</v>
      </c>
    </row>
    <row r="763" spans="1:19" x14ac:dyDescent="0.35">
      <c r="A763" t="s">
        <v>827</v>
      </c>
      <c r="B763">
        <v>60</v>
      </c>
      <c r="C763" t="s">
        <v>56</v>
      </c>
      <c r="D763" t="s">
        <v>55</v>
      </c>
      <c r="E763" t="s">
        <v>55</v>
      </c>
      <c r="F763">
        <v>42</v>
      </c>
      <c r="G763" t="s">
        <v>55</v>
      </c>
      <c r="H763" t="s">
        <v>60</v>
      </c>
      <c r="I763" t="s">
        <v>29</v>
      </c>
      <c r="J763" t="s">
        <v>12</v>
      </c>
      <c r="K763" t="s">
        <v>55</v>
      </c>
      <c r="L763" t="s">
        <v>1066</v>
      </c>
      <c r="M763">
        <v>68.459999999999994</v>
      </c>
      <c r="N763">
        <v>2824.6</v>
      </c>
      <c r="O763" t="s">
        <v>62</v>
      </c>
      <c r="P763" t="s">
        <v>55</v>
      </c>
      <c r="Q763">
        <f t="shared" si="33"/>
        <v>0</v>
      </c>
      <c r="R763" t="str">
        <f t="shared" si="34"/>
        <v>25-48 months</v>
      </c>
      <c r="S763" t="str">
        <f t="shared" si="35"/>
        <v>$50-$75</v>
      </c>
    </row>
    <row r="764" spans="1:19" x14ac:dyDescent="0.35">
      <c r="A764" t="s">
        <v>828</v>
      </c>
      <c r="B764">
        <v>60</v>
      </c>
      <c r="C764" t="s">
        <v>56</v>
      </c>
      <c r="D764" t="s">
        <v>56</v>
      </c>
      <c r="E764" t="s">
        <v>56</v>
      </c>
      <c r="F764">
        <v>10</v>
      </c>
      <c r="G764" t="s">
        <v>56</v>
      </c>
      <c r="H764" t="s">
        <v>56</v>
      </c>
      <c r="I764" t="s">
        <v>31</v>
      </c>
      <c r="J764" t="s">
        <v>13</v>
      </c>
      <c r="K764" t="s">
        <v>55</v>
      </c>
      <c r="L764" t="s">
        <v>1066</v>
      </c>
      <c r="M764">
        <v>20.260000000000002</v>
      </c>
      <c r="N764">
        <v>192.99</v>
      </c>
      <c r="O764" t="s">
        <v>58</v>
      </c>
      <c r="P764" t="s">
        <v>56</v>
      </c>
      <c r="Q764">
        <f t="shared" si="33"/>
        <v>1</v>
      </c>
      <c r="R764" t="str">
        <f t="shared" si="34"/>
        <v>0-12 months</v>
      </c>
      <c r="S764" t="str">
        <f t="shared" si="35"/>
        <v>&lt; $50</v>
      </c>
    </row>
    <row r="765" spans="1:19" x14ac:dyDescent="0.35">
      <c r="A765" t="s">
        <v>829</v>
      </c>
      <c r="B765">
        <v>66</v>
      </c>
      <c r="C765" t="s">
        <v>56</v>
      </c>
      <c r="D765" t="s">
        <v>55</v>
      </c>
      <c r="E765" t="s">
        <v>55</v>
      </c>
      <c r="F765">
        <v>59</v>
      </c>
      <c r="G765" t="s">
        <v>56</v>
      </c>
      <c r="H765" t="s">
        <v>55</v>
      </c>
      <c r="I765" t="s">
        <v>29</v>
      </c>
      <c r="J765" t="s">
        <v>12</v>
      </c>
      <c r="K765" t="s">
        <v>55</v>
      </c>
      <c r="L765" t="s">
        <v>24</v>
      </c>
      <c r="M765">
        <v>58.1</v>
      </c>
      <c r="N765">
        <v>3477.46</v>
      </c>
      <c r="O765" t="s">
        <v>64</v>
      </c>
      <c r="P765" t="s">
        <v>56</v>
      </c>
      <c r="Q765">
        <f t="shared" si="33"/>
        <v>1</v>
      </c>
      <c r="R765" t="str">
        <f t="shared" si="34"/>
        <v>49+ months</v>
      </c>
      <c r="S765" t="str">
        <f t="shared" si="35"/>
        <v>$50-$75</v>
      </c>
    </row>
    <row r="766" spans="1:19" x14ac:dyDescent="0.35">
      <c r="A766" t="s">
        <v>830</v>
      </c>
      <c r="B766">
        <v>30</v>
      </c>
      <c r="C766" t="s">
        <v>55</v>
      </c>
      <c r="D766" t="s">
        <v>56</v>
      </c>
      <c r="E766" t="s">
        <v>55</v>
      </c>
      <c r="F766">
        <v>55</v>
      </c>
      <c r="G766" t="s">
        <v>55</v>
      </c>
      <c r="H766" t="s">
        <v>60</v>
      </c>
      <c r="I766" t="s">
        <v>30</v>
      </c>
      <c r="J766" t="s">
        <v>14</v>
      </c>
      <c r="K766" t="s">
        <v>56</v>
      </c>
      <c r="L766" t="s">
        <v>26</v>
      </c>
      <c r="M766">
        <v>113.81</v>
      </c>
      <c r="N766">
        <v>6443.6</v>
      </c>
      <c r="O766" t="s">
        <v>64</v>
      </c>
      <c r="P766" t="s">
        <v>56</v>
      </c>
      <c r="Q766">
        <f t="shared" si="33"/>
        <v>1</v>
      </c>
      <c r="R766" t="str">
        <f t="shared" si="34"/>
        <v>49+ months</v>
      </c>
      <c r="S766" t="str">
        <f t="shared" si="35"/>
        <v>&gt; $100</v>
      </c>
    </row>
    <row r="767" spans="1:19" x14ac:dyDescent="0.35">
      <c r="A767" t="s">
        <v>831</v>
      </c>
      <c r="B767">
        <v>29</v>
      </c>
      <c r="C767" t="s">
        <v>55</v>
      </c>
      <c r="D767" t="s">
        <v>55</v>
      </c>
      <c r="E767" t="s">
        <v>56</v>
      </c>
      <c r="F767">
        <v>61</v>
      </c>
      <c r="G767" t="s">
        <v>55</v>
      </c>
      <c r="H767" t="s">
        <v>60</v>
      </c>
      <c r="I767" t="s">
        <v>29</v>
      </c>
      <c r="J767" t="s">
        <v>12</v>
      </c>
      <c r="K767" t="s">
        <v>56</v>
      </c>
      <c r="L767" t="s">
        <v>25</v>
      </c>
      <c r="M767">
        <v>43.36</v>
      </c>
      <c r="N767">
        <v>2623.21</v>
      </c>
      <c r="O767" t="s">
        <v>58</v>
      </c>
      <c r="P767" t="s">
        <v>56</v>
      </c>
      <c r="Q767">
        <f t="shared" si="33"/>
        <v>1</v>
      </c>
      <c r="R767" t="str">
        <f t="shared" si="34"/>
        <v>49+ months</v>
      </c>
      <c r="S767" t="str">
        <f t="shared" si="35"/>
        <v>&lt; $50</v>
      </c>
    </row>
    <row r="768" spans="1:19" x14ac:dyDescent="0.35">
      <c r="A768" t="s">
        <v>832</v>
      </c>
      <c r="B768">
        <v>45</v>
      </c>
      <c r="C768" t="s">
        <v>55</v>
      </c>
      <c r="D768" t="s">
        <v>55</v>
      </c>
      <c r="E768" t="s">
        <v>56</v>
      </c>
      <c r="F768">
        <v>57</v>
      </c>
      <c r="G768" t="s">
        <v>56</v>
      </c>
      <c r="H768" t="s">
        <v>56</v>
      </c>
      <c r="I768" t="s">
        <v>30</v>
      </c>
      <c r="J768" t="s">
        <v>12</v>
      </c>
      <c r="K768" t="s">
        <v>55</v>
      </c>
      <c r="L768" t="s">
        <v>26</v>
      </c>
      <c r="M768">
        <v>79.47</v>
      </c>
      <c r="N768">
        <v>4354.0200000000004</v>
      </c>
      <c r="O768" t="s">
        <v>58</v>
      </c>
      <c r="P768" t="s">
        <v>56</v>
      </c>
      <c r="Q768">
        <f t="shared" si="33"/>
        <v>1</v>
      </c>
      <c r="R768" t="str">
        <f t="shared" si="34"/>
        <v>49+ months</v>
      </c>
      <c r="S768" t="str">
        <f t="shared" si="35"/>
        <v>$76-$100</v>
      </c>
    </row>
    <row r="769" spans="1:19" x14ac:dyDescent="0.35">
      <c r="A769" t="s">
        <v>833</v>
      </c>
      <c r="B769">
        <v>49</v>
      </c>
      <c r="C769" t="s">
        <v>55</v>
      </c>
      <c r="D769" t="s">
        <v>55</v>
      </c>
      <c r="E769" t="s">
        <v>56</v>
      </c>
      <c r="F769">
        <v>7</v>
      </c>
      <c r="G769" t="s">
        <v>56</v>
      </c>
      <c r="H769" t="s">
        <v>56</v>
      </c>
      <c r="I769" t="s">
        <v>29</v>
      </c>
      <c r="J769" t="s">
        <v>12</v>
      </c>
      <c r="K769" t="s">
        <v>56</v>
      </c>
      <c r="L769" t="s">
        <v>24</v>
      </c>
      <c r="M769">
        <v>49.55</v>
      </c>
      <c r="N769">
        <v>348.19</v>
      </c>
      <c r="O769" t="s">
        <v>58</v>
      </c>
      <c r="P769" t="s">
        <v>56</v>
      </c>
      <c r="Q769">
        <f t="shared" si="33"/>
        <v>1</v>
      </c>
      <c r="R769" t="str">
        <f t="shared" si="34"/>
        <v>0-12 months</v>
      </c>
      <c r="S769" t="str">
        <f t="shared" si="35"/>
        <v>&lt; $50</v>
      </c>
    </row>
    <row r="770" spans="1:19" x14ac:dyDescent="0.35">
      <c r="A770" t="s">
        <v>834</v>
      </c>
      <c r="B770">
        <v>62</v>
      </c>
      <c r="C770" t="s">
        <v>56</v>
      </c>
      <c r="D770" t="s">
        <v>55</v>
      </c>
      <c r="E770" t="s">
        <v>55</v>
      </c>
      <c r="F770">
        <v>51</v>
      </c>
      <c r="G770" t="s">
        <v>55</v>
      </c>
      <c r="H770" t="s">
        <v>60</v>
      </c>
      <c r="I770" t="s">
        <v>30</v>
      </c>
      <c r="J770" t="s">
        <v>12</v>
      </c>
      <c r="K770" t="s">
        <v>56</v>
      </c>
      <c r="L770" t="s">
        <v>1066</v>
      </c>
      <c r="M770">
        <v>87.38</v>
      </c>
      <c r="N770">
        <v>4343.01</v>
      </c>
      <c r="O770" t="s">
        <v>69</v>
      </c>
      <c r="P770" t="s">
        <v>55</v>
      </c>
      <c r="Q770">
        <f t="shared" si="33"/>
        <v>0</v>
      </c>
      <c r="R770" t="str">
        <f t="shared" si="34"/>
        <v>49+ months</v>
      </c>
      <c r="S770" t="str">
        <f t="shared" si="35"/>
        <v>$76-$100</v>
      </c>
    </row>
    <row r="771" spans="1:19" x14ac:dyDescent="0.35">
      <c r="A771" t="s">
        <v>835</v>
      </c>
      <c r="B771">
        <v>18</v>
      </c>
      <c r="C771" t="s">
        <v>55</v>
      </c>
      <c r="D771" t="s">
        <v>56</v>
      </c>
      <c r="E771" t="s">
        <v>56</v>
      </c>
      <c r="F771">
        <v>65</v>
      </c>
      <c r="G771" t="s">
        <v>55</v>
      </c>
      <c r="H771" t="s">
        <v>60</v>
      </c>
      <c r="I771" t="s">
        <v>31</v>
      </c>
      <c r="J771" t="s">
        <v>13</v>
      </c>
      <c r="K771" t="s">
        <v>56</v>
      </c>
      <c r="L771" t="s">
        <v>26</v>
      </c>
      <c r="M771">
        <v>26.18</v>
      </c>
      <c r="N771">
        <v>1633.63</v>
      </c>
      <c r="O771" t="s">
        <v>64</v>
      </c>
      <c r="P771" t="s">
        <v>55</v>
      </c>
      <c r="Q771">
        <f t="shared" ref="Q771:Q834" si="36">IF(P771="Yes",1,0)</f>
        <v>0</v>
      </c>
      <c r="R771" t="str">
        <f t="shared" ref="R771:R834" si="37">IF(F771&lt;=12,"0-12 months",IF(F771&lt;=24,"13-24 months",IF(F771&lt;=48,"25-48 months","49+ months")))</f>
        <v>49+ months</v>
      </c>
      <c r="S771" t="str">
        <f t="shared" ref="S771:S834" si="38">IF(M771&lt;50,"&lt; $50",IF(M771&lt;=75,"$50-$75",IF(M771&lt;=100,"$76-$100","&gt; $100")))</f>
        <v>&lt; $50</v>
      </c>
    </row>
    <row r="772" spans="1:19" x14ac:dyDescent="0.35">
      <c r="A772" t="s">
        <v>836</v>
      </c>
      <c r="B772">
        <v>27</v>
      </c>
      <c r="C772" t="s">
        <v>55</v>
      </c>
      <c r="D772" t="s">
        <v>56</v>
      </c>
      <c r="E772" t="s">
        <v>55</v>
      </c>
      <c r="F772">
        <v>55</v>
      </c>
      <c r="G772" t="s">
        <v>56</v>
      </c>
      <c r="H772" t="s">
        <v>55</v>
      </c>
      <c r="I772" t="s">
        <v>30</v>
      </c>
      <c r="J772" t="s">
        <v>14</v>
      </c>
      <c r="K772" t="s">
        <v>56</v>
      </c>
      <c r="L772" t="s">
        <v>1066</v>
      </c>
      <c r="M772">
        <v>112.65</v>
      </c>
      <c r="N772">
        <v>6265.64</v>
      </c>
      <c r="O772" t="s">
        <v>58</v>
      </c>
      <c r="P772" t="s">
        <v>55</v>
      </c>
      <c r="Q772">
        <f t="shared" si="36"/>
        <v>0</v>
      </c>
      <c r="R772" t="str">
        <f t="shared" si="37"/>
        <v>49+ months</v>
      </c>
      <c r="S772" t="str">
        <f t="shared" si="38"/>
        <v>&gt; $100</v>
      </c>
    </row>
    <row r="773" spans="1:19" x14ac:dyDescent="0.35">
      <c r="A773" t="s">
        <v>837</v>
      </c>
      <c r="B773">
        <v>18</v>
      </c>
      <c r="C773" t="s">
        <v>55</v>
      </c>
      <c r="D773" t="s">
        <v>55</v>
      </c>
      <c r="E773" t="s">
        <v>56</v>
      </c>
      <c r="F773">
        <v>61</v>
      </c>
      <c r="G773" t="s">
        <v>56</v>
      </c>
      <c r="H773" t="s">
        <v>55</v>
      </c>
      <c r="I773" t="s">
        <v>30</v>
      </c>
      <c r="J773" t="s">
        <v>14</v>
      </c>
      <c r="K773" t="s">
        <v>56</v>
      </c>
      <c r="L773" t="s">
        <v>24</v>
      </c>
      <c r="M773">
        <v>78.37</v>
      </c>
      <c r="N773">
        <v>4577.83</v>
      </c>
      <c r="O773" t="s">
        <v>76</v>
      </c>
      <c r="P773" t="s">
        <v>56</v>
      </c>
      <c r="Q773">
        <f t="shared" si="36"/>
        <v>1</v>
      </c>
      <c r="R773" t="str">
        <f t="shared" si="37"/>
        <v>49+ months</v>
      </c>
      <c r="S773" t="str">
        <f t="shared" si="38"/>
        <v>$76-$100</v>
      </c>
    </row>
    <row r="774" spans="1:19" x14ac:dyDescent="0.35">
      <c r="A774" t="s">
        <v>838</v>
      </c>
      <c r="B774">
        <v>69</v>
      </c>
      <c r="C774" t="s">
        <v>56</v>
      </c>
      <c r="D774" t="s">
        <v>55</v>
      </c>
      <c r="E774" t="s">
        <v>55</v>
      </c>
      <c r="F774">
        <v>63</v>
      </c>
      <c r="G774" t="s">
        <v>55</v>
      </c>
      <c r="H774" t="s">
        <v>60</v>
      </c>
      <c r="I774" t="s">
        <v>29</v>
      </c>
      <c r="J774" t="s">
        <v>13</v>
      </c>
      <c r="K774" t="s">
        <v>55</v>
      </c>
      <c r="L774" t="s">
        <v>24</v>
      </c>
      <c r="M774">
        <v>40.54</v>
      </c>
      <c r="N774">
        <v>2508.85</v>
      </c>
      <c r="O774" t="s">
        <v>58</v>
      </c>
      <c r="P774" t="s">
        <v>55</v>
      </c>
      <c r="Q774">
        <f t="shared" si="36"/>
        <v>0</v>
      </c>
      <c r="R774" t="str">
        <f t="shared" si="37"/>
        <v>49+ months</v>
      </c>
      <c r="S774" t="str">
        <f t="shared" si="38"/>
        <v>&lt; $50</v>
      </c>
    </row>
    <row r="775" spans="1:19" x14ac:dyDescent="0.35">
      <c r="A775" t="s">
        <v>839</v>
      </c>
      <c r="B775">
        <v>67</v>
      </c>
      <c r="C775" t="s">
        <v>56</v>
      </c>
      <c r="D775" t="s">
        <v>55</v>
      </c>
      <c r="E775" t="s">
        <v>56</v>
      </c>
      <c r="F775">
        <v>35</v>
      </c>
      <c r="G775" t="s">
        <v>56</v>
      </c>
      <c r="H775" t="s">
        <v>56</v>
      </c>
      <c r="I775" t="s">
        <v>29</v>
      </c>
      <c r="J775" t="s">
        <v>12</v>
      </c>
      <c r="K775" t="s">
        <v>56</v>
      </c>
      <c r="L775" t="s">
        <v>1066</v>
      </c>
      <c r="M775">
        <v>45.67</v>
      </c>
      <c r="N775">
        <v>1598.03</v>
      </c>
      <c r="O775" t="s">
        <v>69</v>
      </c>
      <c r="P775" t="s">
        <v>56</v>
      </c>
      <c r="Q775">
        <f t="shared" si="36"/>
        <v>1</v>
      </c>
      <c r="R775" t="str">
        <f t="shared" si="37"/>
        <v>25-48 months</v>
      </c>
      <c r="S775" t="str">
        <f t="shared" si="38"/>
        <v>&lt; $50</v>
      </c>
    </row>
    <row r="776" spans="1:19" x14ac:dyDescent="0.35">
      <c r="A776" t="s">
        <v>840</v>
      </c>
      <c r="B776">
        <v>62</v>
      </c>
      <c r="C776" t="s">
        <v>56</v>
      </c>
      <c r="D776" t="s">
        <v>55</v>
      </c>
      <c r="E776" t="s">
        <v>55</v>
      </c>
      <c r="F776">
        <v>27</v>
      </c>
      <c r="G776" t="s">
        <v>56</v>
      </c>
      <c r="H776" t="s">
        <v>55</v>
      </c>
      <c r="I776" t="s">
        <v>29</v>
      </c>
      <c r="J776" t="s">
        <v>12</v>
      </c>
      <c r="K776" t="s">
        <v>56</v>
      </c>
      <c r="L776" t="s">
        <v>25</v>
      </c>
      <c r="M776">
        <v>75.09</v>
      </c>
      <c r="N776">
        <v>2070.9299999999998</v>
      </c>
      <c r="O776" t="s">
        <v>64</v>
      </c>
      <c r="P776" t="s">
        <v>55</v>
      </c>
      <c r="Q776">
        <f t="shared" si="36"/>
        <v>0</v>
      </c>
      <c r="R776" t="str">
        <f t="shared" si="37"/>
        <v>25-48 months</v>
      </c>
      <c r="S776" t="str">
        <f t="shared" si="38"/>
        <v>$76-$100</v>
      </c>
    </row>
    <row r="777" spans="1:19" x14ac:dyDescent="0.35">
      <c r="A777" t="s">
        <v>841</v>
      </c>
      <c r="B777">
        <v>74</v>
      </c>
      <c r="C777" t="s">
        <v>56</v>
      </c>
      <c r="D777" t="s">
        <v>56</v>
      </c>
      <c r="E777" t="s">
        <v>55</v>
      </c>
      <c r="F777">
        <v>45</v>
      </c>
      <c r="G777" t="s">
        <v>55</v>
      </c>
      <c r="H777" t="s">
        <v>60</v>
      </c>
      <c r="I777" t="s">
        <v>31</v>
      </c>
      <c r="J777" t="s">
        <v>13</v>
      </c>
      <c r="K777" t="s">
        <v>55</v>
      </c>
      <c r="L777" t="s">
        <v>26</v>
      </c>
      <c r="M777">
        <v>18.489999999999998</v>
      </c>
      <c r="N777">
        <v>834.05</v>
      </c>
      <c r="O777" t="s">
        <v>58</v>
      </c>
      <c r="P777" t="s">
        <v>55</v>
      </c>
      <c r="Q777">
        <f t="shared" si="36"/>
        <v>0</v>
      </c>
      <c r="R777" t="str">
        <f t="shared" si="37"/>
        <v>25-48 months</v>
      </c>
      <c r="S777" t="str">
        <f t="shared" si="38"/>
        <v>&lt; $50</v>
      </c>
    </row>
    <row r="778" spans="1:19" x14ac:dyDescent="0.35">
      <c r="A778" t="s">
        <v>842</v>
      </c>
      <c r="B778">
        <v>25</v>
      </c>
      <c r="C778" t="s">
        <v>55</v>
      </c>
      <c r="D778" t="s">
        <v>55</v>
      </c>
      <c r="E778" t="s">
        <v>55</v>
      </c>
      <c r="F778">
        <v>45</v>
      </c>
      <c r="G778" t="s">
        <v>56</v>
      </c>
      <c r="H778" t="s">
        <v>55</v>
      </c>
      <c r="I778" t="s">
        <v>30</v>
      </c>
      <c r="J778" t="s">
        <v>13</v>
      </c>
      <c r="K778" t="s">
        <v>55</v>
      </c>
      <c r="L778" t="s">
        <v>1066</v>
      </c>
      <c r="M778">
        <v>96.16</v>
      </c>
      <c r="N778">
        <v>4218.04</v>
      </c>
      <c r="O778" t="s">
        <v>62</v>
      </c>
      <c r="P778" t="s">
        <v>55</v>
      </c>
      <c r="Q778">
        <f t="shared" si="36"/>
        <v>0</v>
      </c>
      <c r="R778" t="str">
        <f t="shared" si="37"/>
        <v>25-48 months</v>
      </c>
      <c r="S778" t="str">
        <f t="shared" si="38"/>
        <v>$76-$100</v>
      </c>
    </row>
    <row r="779" spans="1:19" x14ac:dyDescent="0.35">
      <c r="A779" t="s">
        <v>843</v>
      </c>
      <c r="B779">
        <v>37</v>
      </c>
      <c r="C779" t="s">
        <v>55</v>
      </c>
      <c r="D779" t="s">
        <v>55</v>
      </c>
      <c r="E779" t="s">
        <v>55</v>
      </c>
      <c r="F779">
        <v>9</v>
      </c>
      <c r="G779" t="s">
        <v>56</v>
      </c>
      <c r="H779" t="s">
        <v>55</v>
      </c>
      <c r="I779" t="s">
        <v>29</v>
      </c>
      <c r="J779" t="s">
        <v>12</v>
      </c>
      <c r="K779" t="s">
        <v>56</v>
      </c>
      <c r="L779" t="s">
        <v>26</v>
      </c>
      <c r="M779">
        <v>52.23</v>
      </c>
      <c r="N779">
        <v>466.14</v>
      </c>
      <c r="O779" t="s">
        <v>80</v>
      </c>
      <c r="P779" t="s">
        <v>55</v>
      </c>
      <c r="Q779">
        <f t="shared" si="36"/>
        <v>0</v>
      </c>
      <c r="R779" t="str">
        <f t="shared" si="37"/>
        <v>0-12 months</v>
      </c>
      <c r="S779" t="str">
        <f t="shared" si="38"/>
        <v>$50-$75</v>
      </c>
    </row>
    <row r="780" spans="1:19" x14ac:dyDescent="0.35">
      <c r="A780" t="s">
        <v>844</v>
      </c>
      <c r="B780">
        <v>21</v>
      </c>
      <c r="C780" t="s">
        <v>55</v>
      </c>
      <c r="D780" t="s">
        <v>55</v>
      </c>
      <c r="E780" t="s">
        <v>56</v>
      </c>
      <c r="F780">
        <v>45</v>
      </c>
      <c r="G780" t="s">
        <v>56</v>
      </c>
      <c r="H780" t="s">
        <v>55</v>
      </c>
      <c r="I780" t="s">
        <v>31</v>
      </c>
      <c r="J780" t="s">
        <v>13</v>
      </c>
      <c r="K780" t="s">
        <v>56</v>
      </c>
      <c r="L780" t="s">
        <v>25</v>
      </c>
      <c r="M780">
        <v>20.36</v>
      </c>
      <c r="N780">
        <v>925.57</v>
      </c>
      <c r="O780" t="s">
        <v>62</v>
      </c>
      <c r="P780" t="s">
        <v>56</v>
      </c>
      <c r="Q780">
        <f t="shared" si="36"/>
        <v>1</v>
      </c>
      <c r="R780" t="str">
        <f t="shared" si="37"/>
        <v>25-48 months</v>
      </c>
      <c r="S780" t="str">
        <f t="shared" si="38"/>
        <v>&lt; $50</v>
      </c>
    </row>
    <row r="781" spans="1:19" x14ac:dyDescent="0.35">
      <c r="A781" t="s">
        <v>845</v>
      </c>
      <c r="B781">
        <v>20</v>
      </c>
      <c r="C781" t="s">
        <v>55</v>
      </c>
      <c r="D781" t="s">
        <v>55</v>
      </c>
      <c r="E781" t="s">
        <v>55</v>
      </c>
      <c r="F781">
        <v>32</v>
      </c>
      <c r="G781" t="s">
        <v>55</v>
      </c>
      <c r="H781" t="s">
        <v>60</v>
      </c>
      <c r="I781" t="s">
        <v>31</v>
      </c>
      <c r="J781" t="s">
        <v>12</v>
      </c>
      <c r="K781" t="s">
        <v>56</v>
      </c>
      <c r="L781" t="s">
        <v>25</v>
      </c>
      <c r="M781">
        <v>29.04</v>
      </c>
      <c r="N781">
        <v>940.1</v>
      </c>
      <c r="O781" t="s">
        <v>64</v>
      </c>
      <c r="P781" t="s">
        <v>56</v>
      </c>
      <c r="Q781">
        <f t="shared" si="36"/>
        <v>1</v>
      </c>
      <c r="R781" t="str">
        <f t="shared" si="37"/>
        <v>25-48 months</v>
      </c>
      <c r="S781" t="str">
        <f t="shared" si="38"/>
        <v>&lt; $50</v>
      </c>
    </row>
    <row r="782" spans="1:19" x14ac:dyDescent="0.35">
      <c r="A782" t="s">
        <v>846</v>
      </c>
      <c r="B782">
        <v>61</v>
      </c>
      <c r="C782" t="s">
        <v>56</v>
      </c>
      <c r="D782" t="s">
        <v>55</v>
      </c>
      <c r="E782" t="s">
        <v>56</v>
      </c>
      <c r="F782">
        <v>26</v>
      </c>
      <c r="G782" t="s">
        <v>55</v>
      </c>
      <c r="H782" t="s">
        <v>60</v>
      </c>
      <c r="I782" t="s">
        <v>30</v>
      </c>
      <c r="J782" t="s">
        <v>13</v>
      </c>
      <c r="K782" t="s">
        <v>55</v>
      </c>
      <c r="L782" t="s">
        <v>26</v>
      </c>
      <c r="M782">
        <v>84.87</v>
      </c>
      <c r="N782">
        <v>2319.7199999999998</v>
      </c>
      <c r="O782" t="s">
        <v>62</v>
      </c>
      <c r="P782" t="s">
        <v>55</v>
      </c>
      <c r="Q782">
        <f t="shared" si="36"/>
        <v>0</v>
      </c>
      <c r="R782" t="str">
        <f t="shared" si="37"/>
        <v>25-48 months</v>
      </c>
      <c r="S782" t="str">
        <f t="shared" si="38"/>
        <v>$76-$100</v>
      </c>
    </row>
    <row r="783" spans="1:19" x14ac:dyDescent="0.35">
      <c r="A783" t="s">
        <v>847</v>
      </c>
      <c r="B783">
        <v>42</v>
      </c>
      <c r="C783" t="s">
        <v>55</v>
      </c>
      <c r="D783" t="s">
        <v>55</v>
      </c>
      <c r="E783" t="s">
        <v>56</v>
      </c>
      <c r="F783">
        <v>18</v>
      </c>
      <c r="G783" t="s">
        <v>55</v>
      </c>
      <c r="H783" t="s">
        <v>60</v>
      </c>
      <c r="I783" t="s">
        <v>29</v>
      </c>
      <c r="J783" t="s">
        <v>12</v>
      </c>
      <c r="K783" t="s">
        <v>55</v>
      </c>
      <c r="L783" t="s">
        <v>24</v>
      </c>
      <c r="M783">
        <v>57.11</v>
      </c>
      <c r="N783">
        <v>1018.17</v>
      </c>
      <c r="O783" t="s">
        <v>80</v>
      </c>
      <c r="P783" t="s">
        <v>55</v>
      </c>
      <c r="Q783">
        <f t="shared" si="36"/>
        <v>0</v>
      </c>
      <c r="R783" t="str">
        <f t="shared" si="37"/>
        <v>13-24 months</v>
      </c>
      <c r="S783" t="str">
        <f t="shared" si="38"/>
        <v>$50-$75</v>
      </c>
    </row>
    <row r="784" spans="1:19" x14ac:dyDescent="0.35">
      <c r="A784" t="s">
        <v>848</v>
      </c>
      <c r="B784">
        <v>53</v>
      </c>
      <c r="C784" t="s">
        <v>55</v>
      </c>
      <c r="D784" t="s">
        <v>56</v>
      </c>
      <c r="E784" t="s">
        <v>55</v>
      </c>
      <c r="F784">
        <v>12</v>
      </c>
      <c r="G784" t="s">
        <v>55</v>
      </c>
      <c r="H784" t="s">
        <v>60</v>
      </c>
      <c r="I784" t="s">
        <v>29</v>
      </c>
      <c r="J784" t="s">
        <v>13</v>
      </c>
      <c r="K784" t="s">
        <v>55</v>
      </c>
      <c r="L784" t="s">
        <v>26</v>
      </c>
      <c r="M784">
        <v>61.73</v>
      </c>
      <c r="N784">
        <v>746.59</v>
      </c>
      <c r="O784" t="s">
        <v>66</v>
      </c>
      <c r="P784" t="s">
        <v>56</v>
      </c>
      <c r="Q784">
        <f t="shared" si="36"/>
        <v>1</v>
      </c>
      <c r="R784" t="str">
        <f t="shared" si="37"/>
        <v>0-12 months</v>
      </c>
      <c r="S784" t="str">
        <f t="shared" si="38"/>
        <v>$50-$75</v>
      </c>
    </row>
    <row r="785" spans="1:19" x14ac:dyDescent="0.35">
      <c r="A785" t="s">
        <v>849</v>
      </c>
      <c r="B785">
        <v>72</v>
      </c>
      <c r="C785" t="s">
        <v>56</v>
      </c>
      <c r="D785" t="s">
        <v>55</v>
      </c>
      <c r="E785" t="s">
        <v>56</v>
      </c>
      <c r="F785">
        <v>52</v>
      </c>
      <c r="G785" t="s">
        <v>55</v>
      </c>
      <c r="H785" t="s">
        <v>60</v>
      </c>
      <c r="I785" t="s">
        <v>29</v>
      </c>
      <c r="J785" t="s">
        <v>14</v>
      </c>
      <c r="K785" t="s">
        <v>55</v>
      </c>
      <c r="L785" t="s">
        <v>1066</v>
      </c>
      <c r="M785">
        <v>43.39</v>
      </c>
      <c r="N785">
        <v>2194.0500000000002</v>
      </c>
      <c r="O785" t="s">
        <v>80</v>
      </c>
      <c r="P785" t="s">
        <v>55</v>
      </c>
      <c r="Q785">
        <f t="shared" si="36"/>
        <v>0</v>
      </c>
      <c r="R785" t="str">
        <f t="shared" si="37"/>
        <v>49+ months</v>
      </c>
      <c r="S785" t="str">
        <f t="shared" si="38"/>
        <v>&lt; $50</v>
      </c>
    </row>
    <row r="786" spans="1:19" x14ac:dyDescent="0.35">
      <c r="A786" t="s">
        <v>850</v>
      </c>
      <c r="B786">
        <v>39</v>
      </c>
      <c r="C786" t="s">
        <v>55</v>
      </c>
      <c r="D786" t="s">
        <v>56</v>
      </c>
      <c r="E786" t="s">
        <v>55</v>
      </c>
      <c r="F786">
        <v>62</v>
      </c>
      <c r="G786" t="s">
        <v>56</v>
      </c>
      <c r="H786" t="s">
        <v>56</v>
      </c>
      <c r="I786" t="s">
        <v>29</v>
      </c>
      <c r="J786" t="s">
        <v>13</v>
      </c>
      <c r="K786" t="s">
        <v>56</v>
      </c>
      <c r="L786" t="s">
        <v>1066</v>
      </c>
      <c r="M786">
        <v>60.65</v>
      </c>
      <c r="N786">
        <v>3788.3</v>
      </c>
      <c r="O786" t="s">
        <v>62</v>
      </c>
      <c r="P786" t="s">
        <v>55</v>
      </c>
      <c r="Q786">
        <f t="shared" si="36"/>
        <v>0</v>
      </c>
      <c r="R786" t="str">
        <f t="shared" si="37"/>
        <v>49+ months</v>
      </c>
      <c r="S786" t="str">
        <f t="shared" si="38"/>
        <v>$50-$75</v>
      </c>
    </row>
    <row r="787" spans="1:19" x14ac:dyDescent="0.35">
      <c r="A787" t="s">
        <v>851</v>
      </c>
      <c r="B787">
        <v>32</v>
      </c>
      <c r="C787" t="s">
        <v>55</v>
      </c>
      <c r="D787" t="s">
        <v>56</v>
      </c>
      <c r="E787" t="s">
        <v>55</v>
      </c>
      <c r="F787">
        <v>40</v>
      </c>
      <c r="G787" t="s">
        <v>56</v>
      </c>
      <c r="H787" t="s">
        <v>55</v>
      </c>
      <c r="I787" t="s">
        <v>29</v>
      </c>
      <c r="J787" t="s">
        <v>13</v>
      </c>
      <c r="K787" t="s">
        <v>56</v>
      </c>
      <c r="L787" t="s">
        <v>26</v>
      </c>
      <c r="M787">
        <v>40</v>
      </c>
      <c r="N787">
        <v>1619.93</v>
      </c>
      <c r="O787" t="s">
        <v>80</v>
      </c>
      <c r="P787" t="s">
        <v>56</v>
      </c>
      <c r="Q787">
        <f t="shared" si="36"/>
        <v>1</v>
      </c>
      <c r="R787" t="str">
        <f t="shared" si="37"/>
        <v>25-48 months</v>
      </c>
      <c r="S787" t="str">
        <f t="shared" si="38"/>
        <v>&lt; $50</v>
      </c>
    </row>
    <row r="788" spans="1:19" x14ac:dyDescent="0.35">
      <c r="A788" t="s">
        <v>852</v>
      </c>
      <c r="B788">
        <v>33</v>
      </c>
      <c r="C788" t="s">
        <v>55</v>
      </c>
      <c r="D788" t="s">
        <v>56</v>
      </c>
      <c r="E788" t="s">
        <v>56</v>
      </c>
      <c r="F788">
        <v>61</v>
      </c>
      <c r="G788" t="s">
        <v>55</v>
      </c>
      <c r="H788" t="s">
        <v>60</v>
      </c>
      <c r="I788" t="s">
        <v>30</v>
      </c>
      <c r="J788" t="s">
        <v>12</v>
      </c>
      <c r="K788" t="s">
        <v>56</v>
      </c>
      <c r="L788" t="s">
        <v>26</v>
      </c>
      <c r="M788">
        <v>94.19</v>
      </c>
      <c r="N788">
        <v>5527.75</v>
      </c>
      <c r="O788" t="s">
        <v>66</v>
      </c>
      <c r="P788" t="s">
        <v>56</v>
      </c>
      <c r="Q788">
        <f t="shared" si="36"/>
        <v>1</v>
      </c>
      <c r="R788" t="str">
        <f t="shared" si="37"/>
        <v>49+ months</v>
      </c>
      <c r="S788" t="str">
        <f t="shared" si="38"/>
        <v>$76-$100</v>
      </c>
    </row>
    <row r="789" spans="1:19" x14ac:dyDescent="0.35">
      <c r="A789" t="s">
        <v>853</v>
      </c>
      <c r="B789">
        <v>52</v>
      </c>
      <c r="C789" t="s">
        <v>55</v>
      </c>
      <c r="D789" t="s">
        <v>55</v>
      </c>
      <c r="E789" t="s">
        <v>55</v>
      </c>
      <c r="F789">
        <v>16</v>
      </c>
      <c r="G789" t="s">
        <v>56</v>
      </c>
      <c r="H789" t="s">
        <v>56</v>
      </c>
      <c r="I789" t="s">
        <v>30</v>
      </c>
      <c r="J789" t="s">
        <v>14</v>
      </c>
      <c r="K789" t="s">
        <v>56</v>
      </c>
      <c r="L789" t="s">
        <v>26</v>
      </c>
      <c r="M789">
        <v>107.08</v>
      </c>
      <c r="N789">
        <v>1722.88</v>
      </c>
      <c r="O789" t="s">
        <v>76</v>
      </c>
      <c r="P789" t="s">
        <v>55</v>
      </c>
      <c r="Q789">
        <f t="shared" si="36"/>
        <v>0</v>
      </c>
      <c r="R789" t="str">
        <f t="shared" si="37"/>
        <v>13-24 months</v>
      </c>
      <c r="S789" t="str">
        <f t="shared" si="38"/>
        <v>&gt; $100</v>
      </c>
    </row>
    <row r="790" spans="1:19" x14ac:dyDescent="0.35">
      <c r="A790" t="s">
        <v>854</v>
      </c>
      <c r="B790">
        <v>36</v>
      </c>
      <c r="C790" t="s">
        <v>55</v>
      </c>
      <c r="D790" t="s">
        <v>56</v>
      </c>
      <c r="E790" t="s">
        <v>55</v>
      </c>
      <c r="F790">
        <v>48</v>
      </c>
      <c r="G790" t="s">
        <v>55</v>
      </c>
      <c r="H790" t="s">
        <v>60</v>
      </c>
      <c r="I790" t="s">
        <v>29</v>
      </c>
      <c r="J790" t="s">
        <v>12</v>
      </c>
      <c r="K790" t="s">
        <v>56</v>
      </c>
      <c r="L790" t="s">
        <v>24</v>
      </c>
      <c r="M790">
        <v>72.540000000000006</v>
      </c>
      <c r="N790">
        <v>3334.91</v>
      </c>
      <c r="O790" t="s">
        <v>80</v>
      </c>
      <c r="P790" t="s">
        <v>56</v>
      </c>
      <c r="Q790">
        <f t="shared" si="36"/>
        <v>1</v>
      </c>
      <c r="R790" t="str">
        <f t="shared" si="37"/>
        <v>25-48 months</v>
      </c>
      <c r="S790" t="str">
        <f t="shared" si="38"/>
        <v>$50-$75</v>
      </c>
    </row>
    <row r="791" spans="1:19" x14ac:dyDescent="0.35">
      <c r="A791" t="s">
        <v>855</v>
      </c>
      <c r="B791">
        <v>54</v>
      </c>
      <c r="C791" t="s">
        <v>55</v>
      </c>
      <c r="D791" t="s">
        <v>55</v>
      </c>
      <c r="E791" t="s">
        <v>56</v>
      </c>
      <c r="F791">
        <v>39</v>
      </c>
      <c r="G791" t="s">
        <v>55</v>
      </c>
      <c r="H791" t="s">
        <v>60</v>
      </c>
      <c r="I791" t="s">
        <v>30</v>
      </c>
      <c r="J791" t="s">
        <v>12</v>
      </c>
      <c r="K791" t="s">
        <v>55</v>
      </c>
      <c r="L791" t="s">
        <v>25</v>
      </c>
      <c r="M791">
        <v>93.4</v>
      </c>
      <c r="N791">
        <v>3740.1</v>
      </c>
      <c r="O791" t="s">
        <v>62</v>
      </c>
      <c r="P791" t="s">
        <v>56</v>
      </c>
      <c r="Q791">
        <f t="shared" si="36"/>
        <v>1</v>
      </c>
      <c r="R791" t="str">
        <f t="shared" si="37"/>
        <v>25-48 months</v>
      </c>
      <c r="S791" t="str">
        <f t="shared" si="38"/>
        <v>$76-$100</v>
      </c>
    </row>
    <row r="792" spans="1:19" x14ac:dyDescent="0.35">
      <c r="A792" t="s">
        <v>856</v>
      </c>
      <c r="B792">
        <v>40</v>
      </c>
      <c r="C792" t="s">
        <v>55</v>
      </c>
      <c r="D792" t="s">
        <v>56</v>
      </c>
      <c r="E792" t="s">
        <v>55</v>
      </c>
      <c r="F792">
        <v>68</v>
      </c>
      <c r="G792" t="s">
        <v>56</v>
      </c>
      <c r="H792" t="s">
        <v>56</v>
      </c>
      <c r="I792" t="s">
        <v>30</v>
      </c>
      <c r="J792" t="s">
        <v>12</v>
      </c>
      <c r="K792" t="s">
        <v>55</v>
      </c>
      <c r="L792" t="s">
        <v>24</v>
      </c>
      <c r="M792">
        <v>112.93</v>
      </c>
      <c r="N792">
        <v>7347.53</v>
      </c>
      <c r="O792" t="s">
        <v>69</v>
      </c>
      <c r="P792" t="s">
        <v>55</v>
      </c>
      <c r="Q792">
        <f t="shared" si="36"/>
        <v>0</v>
      </c>
      <c r="R792" t="str">
        <f t="shared" si="37"/>
        <v>49+ months</v>
      </c>
      <c r="S792" t="str">
        <f t="shared" si="38"/>
        <v>&gt; $100</v>
      </c>
    </row>
    <row r="793" spans="1:19" x14ac:dyDescent="0.35">
      <c r="A793" t="s">
        <v>857</v>
      </c>
      <c r="B793">
        <v>37</v>
      </c>
      <c r="C793" t="s">
        <v>55</v>
      </c>
      <c r="D793" t="s">
        <v>55</v>
      </c>
      <c r="E793" t="s">
        <v>56</v>
      </c>
      <c r="F793">
        <v>62</v>
      </c>
      <c r="G793" t="s">
        <v>55</v>
      </c>
      <c r="H793" t="s">
        <v>60</v>
      </c>
      <c r="I793" t="s">
        <v>30</v>
      </c>
      <c r="J793" t="s">
        <v>13</v>
      </c>
      <c r="K793" t="s">
        <v>56</v>
      </c>
      <c r="L793" t="s">
        <v>24</v>
      </c>
      <c r="M793">
        <v>116.37</v>
      </c>
      <c r="N793">
        <v>7453.38</v>
      </c>
      <c r="O793" t="s">
        <v>62</v>
      </c>
      <c r="P793" t="s">
        <v>55</v>
      </c>
      <c r="Q793">
        <f t="shared" si="36"/>
        <v>0</v>
      </c>
      <c r="R793" t="str">
        <f t="shared" si="37"/>
        <v>49+ months</v>
      </c>
      <c r="S793" t="str">
        <f t="shared" si="38"/>
        <v>&gt; $100</v>
      </c>
    </row>
    <row r="794" spans="1:19" x14ac:dyDescent="0.35">
      <c r="A794" t="s">
        <v>858</v>
      </c>
      <c r="B794">
        <v>62</v>
      </c>
      <c r="C794" t="s">
        <v>56</v>
      </c>
      <c r="D794" t="s">
        <v>55</v>
      </c>
      <c r="E794" t="s">
        <v>55</v>
      </c>
      <c r="F794">
        <v>52</v>
      </c>
      <c r="G794" t="s">
        <v>56</v>
      </c>
      <c r="H794" t="s">
        <v>55</v>
      </c>
      <c r="I794" t="s">
        <v>30</v>
      </c>
      <c r="J794" t="s">
        <v>12</v>
      </c>
      <c r="K794" t="s">
        <v>56</v>
      </c>
      <c r="L794" t="s">
        <v>1066</v>
      </c>
      <c r="M794">
        <v>94.97</v>
      </c>
      <c r="N794">
        <v>5044.71</v>
      </c>
      <c r="O794" t="s">
        <v>62</v>
      </c>
      <c r="P794" t="s">
        <v>56</v>
      </c>
      <c r="Q794">
        <f t="shared" si="36"/>
        <v>1</v>
      </c>
      <c r="R794" t="str">
        <f t="shared" si="37"/>
        <v>49+ months</v>
      </c>
      <c r="S794" t="str">
        <f t="shared" si="38"/>
        <v>$76-$100</v>
      </c>
    </row>
    <row r="795" spans="1:19" x14ac:dyDescent="0.35">
      <c r="A795" t="s">
        <v>859</v>
      </c>
      <c r="B795">
        <v>67</v>
      </c>
      <c r="C795" t="s">
        <v>56</v>
      </c>
      <c r="D795" t="s">
        <v>56</v>
      </c>
      <c r="E795" t="s">
        <v>56</v>
      </c>
      <c r="F795">
        <v>23</v>
      </c>
      <c r="G795" t="s">
        <v>55</v>
      </c>
      <c r="H795" t="s">
        <v>60</v>
      </c>
      <c r="I795" t="s">
        <v>29</v>
      </c>
      <c r="J795" t="s">
        <v>13</v>
      </c>
      <c r="K795" t="s">
        <v>55</v>
      </c>
      <c r="L795" t="s">
        <v>25</v>
      </c>
      <c r="M795">
        <v>42.48</v>
      </c>
      <c r="N795">
        <v>947.79</v>
      </c>
      <c r="O795" t="s">
        <v>69</v>
      </c>
      <c r="P795" t="s">
        <v>56</v>
      </c>
      <c r="Q795">
        <f t="shared" si="36"/>
        <v>1</v>
      </c>
      <c r="R795" t="str">
        <f t="shared" si="37"/>
        <v>13-24 months</v>
      </c>
      <c r="S795" t="str">
        <f t="shared" si="38"/>
        <v>&lt; $50</v>
      </c>
    </row>
    <row r="796" spans="1:19" x14ac:dyDescent="0.35">
      <c r="A796" t="s">
        <v>860</v>
      </c>
      <c r="B796">
        <v>22</v>
      </c>
      <c r="C796" t="s">
        <v>55</v>
      </c>
      <c r="D796" t="s">
        <v>55</v>
      </c>
      <c r="E796" t="s">
        <v>55</v>
      </c>
      <c r="F796">
        <v>4</v>
      </c>
      <c r="G796" t="s">
        <v>55</v>
      </c>
      <c r="H796" t="s">
        <v>60</v>
      </c>
      <c r="I796" t="s">
        <v>31</v>
      </c>
      <c r="J796" t="s">
        <v>12</v>
      </c>
      <c r="K796" t="s">
        <v>55</v>
      </c>
      <c r="L796" t="s">
        <v>24</v>
      </c>
      <c r="M796">
        <v>29.87</v>
      </c>
      <c r="N796">
        <v>120.54</v>
      </c>
      <c r="O796" t="s">
        <v>76</v>
      </c>
      <c r="P796" t="s">
        <v>56</v>
      </c>
      <c r="Q796">
        <f t="shared" si="36"/>
        <v>1</v>
      </c>
      <c r="R796" t="str">
        <f t="shared" si="37"/>
        <v>0-12 months</v>
      </c>
      <c r="S796" t="str">
        <f t="shared" si="38"/>
        <v>&lt; $50</v>
      </c>
    </row>
    <row r="797" spans="1:19" x14ac:dyDescent="0.35">
      <c r="A797" t="s">
        <v>861</v>
      </c>
      <c r="B797">
        <v>49</v>
      </c>
      <c r="C797" t="s">
        <v>55</v>
      </c>
      <c r="D797" t="s">
        <v>55</v>
      </c>
      <c r="E797" t="s">
        <v>55</v>
      </c>
      <c r="F797">
        <v>29</v>
      </c>
      <c r="G797" t="s">
        <v>56</v>
      </c>
      <c r="H797" t="s">
        <v>55</v>
      </c>
      <c r="I797" t="s">
        <v>30</v>
      </c>
      <c r="J797" t="s">
        <v>12</v>
      </c>
      <c r="K797" t="s">
        <v>56</v>
      </c>
      <c r="L797" t="s">
        <v>26</v>
      </c>
      <c r="M797">
        <v>71.209999999999994</v>
      </c>
      <c r="N797">
        <v>2179.04</v>
      </c>
      <c r="O797" t="s">
        <v>80</v>
      </c>
      <c r="P797" t="s">
        <v>56</v>
      </c>
      <c r="Q797">
        <f t="shared" si="36"/>
        <v>1</v>
      </c>
      <c r="R797" t="str">
        <f t="shared" si="37"/>
        <v>25-48 months</v>
      </c>
      <c r="S797" t="str">
        <f t="shared" si="38"/>
        <v>$50-$75</v>
      </c>
    </row>
    <row r="798" spans="1:19" x14ac:dyDescent="0.35">
      <c r="A798" t="s">
        <v>862</v>
      </c>
      <c r="B798">
        <v>69</v>
      </c>
      <c r="C798" t="s">
        <v>56</v>
      </c>
      <c r="D798" t="s">
        <v>56</v>
      </c>
      <c r="E798" t="s">
        <v>56</v>
      </c>
      <c r="F798">
        <v>47</v>
      </c>
      <c r="G798" t="s">
        <v>56</v>
      </c>
      <c r="H798" t="s">
        <v>56</v>
      </c>
      <c r="I798" t="s">
        <v>29</v>
      </c>
      <c r="J798" t="s">
        <v>13</v>
      </c>
      <c r="K798" t="s">
        <v>55</v>
      </c>
      <c r="L798" t="s">
        <v>26</v>
      </c>
      <c r="M798">
        <v>48.3</v>
      </c>
      <c r="N798">
        <v>2359.34</v>
      </c>
      <c r="O798" t="s">
        <v>76</v>
      </c>
      <c r="P798" t="s">
        <v>55</v>
      </c>
      <c r="Q798">
        <f t="shared" si="36"/>
        <v>0</v>
      </c>
      <c r="R798" t="str">
        <f t="shared" si="37"/>
        <v>25-48 months</v>
      </c>
      <c r="S798" t="str">
        <f t="shared" si="38"/>
        <v>&lt; $50</v>
      </c>
    </row>
    <row r="799" spans="1:19" x14ac:dyDescent="0.35">
      <c r="A799" t="s">
        <v>863</v>
      </c>
      <c r="B799">
        <v>57</v>
      </c>
      <c r="C799" t="s">
        <v>55</v>
      </c>
      <c r="D799" t="s">
        <v>56</v>
      </c>
      <c r="E799" t="s">
        <v>56</v>
      </c>
      <c r="F799">
        <v>57</v>
      </c>
      <c r="G799" t="s">
        <v>55</v>
      </c>
      <c r="H799" t="s">
        <v>60</v>
      </c>
      <c r="I799" t="s">
        <v>30</v>
      </c>
      <c r="J799" t="s">
        <v>14</v>
      </c>
      <c r="K799" t="s">
        <v>56</v>
      </c>
      <c r="L799" t="s">
        <v>26</v>
      </c>
      <c r="M799">
        <v>95.86</v>
      </c>
      <c r="N799">
        <v>5202.3500000000004</v>
      </c>
      <c r="O799" t="s">
        <v>80</v>
      </c>
      <c r="P799" t="s">
        <v>55</v>
      </c>
      <c r="Q799">
        <f t="shared" si="36"/>
        <v>0</v>
      </c>
      <c r="R799" t="str">
        <f t="shared" si="37"/>
        <v>49+ months</v>
      </c>
      <c r="S799" t="str">
        <f t="shared" si="38"/>
        <v>$76-$100</v>
      </c>
    </row>
    <row r="800" spans="1:19" x14ac:dyDescent="0.35">
      <c r="A800" t="s">
        <v>864</v>
      </c>
      <c r="B800">
        <v>56</v>
      </c>
      <c r="C800" t="s">
        <v>55</v>
      </c>
      <c r="D800" t="s">
        <v>55</v>
      </c>
      <c r="E800" t="s">
        <v>56</v>
      </c>
      <c r="F800">
        <v>29</v>
      </c>
      <c r="G800" t="s">
        <v>55</v>
      </c>
      <c r="H800" t="s">
        <v>60</v>
      </c>
      <c r="I800" t="s">
        <v>31</v>
      </c>
      <c r="J800" t="s">
        <v>14</v>
      </c>
      <c r="K800" t="s">
        <v>55</v>
      </c>
      <c r="L800" t="s">
        <v>24</v>
      </c>
      <c r="M800">
        <v>22.29</v>
      </c>
      <c r="N800">
        <v>675.3</v>
      </c>
      <c r="O800" t="s">
        <v>76</v>
      </c>
      <c r="P800" t="s">
        <v>55</v>
      </c>
      <c r="Q800">
        <f t="shared" si="36"/>
        <v>0</v>
      </c>
      <c r="R800" t="str">
        <f t="shared" si="37"/>
        <v>25-48 months</v>
      </c>
      <c r="S800" t="str">
        <f t="shared" si="38"/>
        <v>&lt; $50</v>
      </c>
    </row>
    <row r="801" spans="1:19" x14ac:dyDescent="0.35">
      <c r="A801" t="s">
        <v>865</v>
      </c>
      <c r="B801">
        <v>22</v>
      </c>
      <c r="C801" t="s">
        <v>55</v>
      </c>
      <c r="D801" t="s">
        <v>56</v>
      </c>
      <c r="E801" t="s">
        <v>55</v>
      </c>
      <c r="F801">
        <v>52</v>
      </c>
      <c r="G801" t="s">
        <v>56</v>
      </c>
      <c r="H801" t="s">
        <v>55</v>
      </c>
      <c r="I801" t="s">
        <v>29</v>
      </c>
      <c r="J801" t="s">
        <v>14</v>
      </c>
      <c r="K801" t="s">
        <v>55</v>
      </c>
      <c r="L801" t="s">
        <v>1066</v>
      </c>
      <c r="M801">
        <v>41.29</v>
      </c>
      <c r="N801">
        <v>2126.83</v>
      </c>
      <c r="O801" t="s">
        <v>66</v>
      </c>
      <c r="P801" t="s">
        <v>55</v>
      </c>
      <c r="Q801">
        <f t="shared" si="36"/>
        <v>0</v>
      </c>
      <c r="R801" t="str">
        <f t="shared" si="37"/>
        <v>49+ months</v>
      </c>
      <c r="S801" t="str">
        <f t="shared" si="38"/>
        <v>&lt; $50</v>
      </c>
    </row>
    <row r="802" spans="1:19" x14ac:dyDescent="0.35">
      <c r="A802" t="s">
        <v>866</v>
      </c>
      <c r="B802">
        <v>21</v>
      </c>
      <c r="C802" t="s">
        <v>55</v>
      </c>
      <c r="D802" t="s">
        <v>56</v>
      </c>
      <c r="E802" t="s">
        <v>56</v>
      </c>
      <c r="F802">
        <v>71</v>
      </c>
      <c r="G802" t="s">
        <v>55</v>
      </c>
      <c r="H802" t="s">
        <v>60</v>
      </c>
      <c r="I802" t="s">
        <v>31</v>
      </c>
      <c r="J802" t="s">
        <v>14</v>
      </c>
      <c r="K802" t="s">
        <v>56</v>
      </c>
      <c r="L802" t="s">
        <v>26</v>
      </c>
      <c r="M802">
        <v>18.87</v>
      </c>
      <c r="N802">
        <v>1411.8</v>
      </c>
      <c r="O802" t="s">
        <v>69</v>
      </c>
      <c r="P802" t="s">
        <v>55</v>
      </c>
      <c r="Q802">
        <f t="shared" si="36"/>
        <v>0</v>
      </c>
      <c r="R802" t="str">
        <f t="shared" si="37"/>
        <v>49+ months</v>
      </c>
      <c r="S802" t="str">
        <f t="shared" si="38"/>
        <v>&lt; $50</v>
      </c>
    </row>
    <row r="803" spans="1:19" x14ac:dyDescent="0.35">
      <c r="A803" t="s">
        <v>867</v>
      </c>
      <c r="B803">
        <v>71</v>
      </c>
      <c r="C803" t="s">
        <v>56</v>
      </c>
      <c r="D803" t="s">
        <v>56</v>
      </c>
      <c r="E803" t="s">
        <v>55</v>
      </c>
      <c r="F803">
        <v>10</v>
      </c>
      <c r="G803" t="s">
        <v>56</v>
      </c>
      <c r="H803" t="s">
        <v>55</v>
      </c>
      <c r="I803" t="s">
        <v>31</v>
      </c>
      <c r="J803" t="s">
        <v>12</v>
      </c>
      <c r="K803" t="s">
        <v>56</v>
      </c>
      <c r="L803" t="s">
        <v>26</v>
      </c>
      <c r="M803">
        <v>18.5</v>
      </c>
      <c r="N803">
        <v>174.69</v>
      </c>
      <c r="O803" t="s">
        <v>69</v>
      </c>
      <c r="P803" t="s">
        <v>56</v>
      </c>
      <c r="Q803">
        <f t="shared" si="36"/>
        <v>1</v>
      </c>
      <c r="R803" t="str">
        <f t="shared" si="37"/>
        <v>0-12 months</v>
      </c>
      <c r="S803" t="str">
        <f t="shared" si="38"/>
        <v>&lt; $50</v>
      </c>
    </row>
    <row r="804" spans="1:19" x14ac:dyDescent="0.35">
      <c r="A804" t="s">
        <v>868</v>
      </c>
      <c r="B804">
        <v>40</v>
      </c>
      <c r="C804" t="s">
        <v>55</v>
      </c>
      <c r="D804" t="s">
        <v>55</v>
      </c>
      <c r="E804" t="s">
        <v>55</v>
      </c>
      <c r="F804">
        <v>39</v>
      </c>
      <c r="G804" t="s">
        <v>56</v>
      </c>
      <c r="H804" t="s">
        <v>56</v>
      </c>
      <c r="I804" t="s">
        <v>29</v>
      </c>
      <c r="J804" t="s">
        <v>12</v>
      </c>
      <c r="K804" t="s">
        <v>56</v>
      </c>
      <c r="L804" t="s">
        <v>24</v>
      </c>
      <c r="M804">
        <v>74.41</v>
      </c>
      <c r="N804">
        <v>2965.35</v>
      </c>
      <c r="O804" t="s">
        <v>58</v>
      </c>
      <c r="P804" t="s">
        <v>55</v>
      </c>
      <c r="Q804">
        <f t="shared" si="36"/>
        <v>0</v>
      </c>
      <c r="R804" t="str">
        <f t="shared" si="37"/>
        <v>25-48 months</v>
      </c>
      <c r="S804" t="str">
        <f t="shared" si="38"/>
        <v>$50-$75</v>
      </c>
    </row>
    <row r="805" spans="1:19" x14ac:dyDescent="0.35">
      <c r="A805" t="s">
        <v>869</v>
      </c>
      <c r="B805">
        <v>48</v>
      </c>
      <c r="C805" t="s">
        <v>55</v>
      </c>
      <c r="D805" t="s">
        <v>56</v>
      </c>
      <c r="E805" t="s">
        <v>55</v>
      </c>
      <c r="F805">
        <v>49</v>
      </c>
      <c r="G805" t="s">
        <v>55</v>
      </c>
      <c r="H805" t="s">
        <v>60</v>
      </c>
      <c r="I805" t="s">
        <v>29</v>
      </c>
      <c r="J805" t="s">
        <v>13</v>
      </c>
      <c r="K805" t="s">
        <v>56</v>
      </c>
      <c r="L805" t="s">
        <v>26</v>
      </c>
      <c r="M805">
        <v>44.72</v>
      </c>
      <c r="N805">
        <v>2221.69</v>
      </c>
      <c r="O805" t="s">
        <v>76</v>
      </c>
      <c r="P805" t="s">
        <v>55</v>
      </c>
      <c r="Q805">
        <f t="shared" si="36"/>
        <v>0</v>
      </c>
      <c r="R805" t="str">
        <f t="shared" si="37"/>
        <v>49+ months</v>
      </c>
      <c r="S805" t="str">
        <f t="shared" si="38"/>
        <v>&lt; $50</v>
      </c>
    </row>
    <row r="806" spans="1:19" x14ac:dyDescent="0.35">
      <c r="A806" t="s">
        <v>870</v>
      </c>
      <c r="B806">
        <v>30</v>
      </c>
      <c r="C806" t="s">
        <v>55</v>
      </c>
      <c r="D806" t="s">
        <v>55</v>
      </c>
      <c r="E806" t="s">
        <v>55</v>
      </c>
      <c r="F806">
        <v>8</v>
      </c>
      <c r="G806" t="s">
        <v>56</v>
      </c>
      <c r="H806" t="s">
        <v>55</v>
      </c>
      <c r="I806" t="s">
        <v>30</v>
      </c>
      <c r="J806" t="s">
        <v>12</v>
      </c>
      <c r="K806" t="s">
        <v>56</v>
      </c>
      <c r="L806" t="s">
        <v>25</v>
      </c>
      <c r="M806">
        <v>70.739999999999995</v>
      </c>
      <c r="N806">
        <v>580.85</v>
      </c>
      <c r="O806" t="s">
        <v>80</v>
      </c>
      <c r="P806" t="s">
        <v>55</v>
      </c>
      <c r="Q806">
        <f t="shared" si="36"/>
        <v>0</v>
      </c>
      <c r="R806" t="str">
        <f t="shared" si="37"/>
        <v>0-12 months</v>
      </c>
      <c r="S806" t="str">
        <f t="shared" si="38"/>
        <v>$50-$75</v>
      </c>
    </row>
    <row r="807" spans="1:19" x14ac:dyDescent="0.35">
      <c r="A807" t="s">
        <v>871</v>
      </c>
      <c r="B807">
        <v>21</v>
      </c>
      <c r="C807" t="s">
        <v>55</v>
      </c>
      <c r="D807" t="s">
        <v>56</v>
      </c>
      <c r="E807" t="s">
        <v>55</v>
      </c>
      <c r="F807">
        <v>24</v>
      </c>
      <c r="G807" t="s">
        <v>55</v>
      </c>
      <c r="H807" t="s">
        <v>60</v>
      </c>
      <c r="I807" t="s">
        <v>30</v>
      </c>
      <c r="J807" t="s">
        <v>12</v>
      </c>
      <c r="K807" t="s">
        <v>56</v>
      </c>
      <c r="L807" t="s">
        <v>25</v>
      </c>
      <c r="M807">
        <v>76.489999999999995</v>
      </c>
      <c r="N807">
        <v>1813.25</v>
      </c>
      <c r="O807" t="s">
        <v>69</v>
      </c>
      <c r="P807" t="s">
        <v>55</v>
      </c>
      <c r="Q807">
        <f t="shared" si="36"/>
        <v>0</v>
      </c>
      <c r="R807" t="str">
        <f t="shared" si="37"/>
        <v>13-24 months</v>
      </c>
      <c r="S807" t="str">
        <f t="shared" si="38"/>
        <v>$76-$100</v>
      </c>
    </row>
    <row r="808" spans="1:19" x14ac:dyDescent="0.35">
      <c r="A808" t="s">
        <v>872</v>
      </c>
      <c r="B808">
        <v>22</v>
      </c>
      <c r="C808" t="s">
        <v>55</v>
      </c>
      <c r="D808" t="s">
        <v>56</v>
      </c>
      <c r="E808" t="s">
        <v>55</v>
      </c>
      <c r="F808">
        <v>70</v>
      </c>
      <c r="G808" t="s">
        <v>55</v>
      </c>
      <c r="H808" t="s">
        <v>60</v>
      </c>
      <c r="I808" t="s">
        <v>30</v>
      </c>
      <c r="J808" t="s">
        <v>14</v>
      </c>
      <c r="K808" t="s">
        <v>56</v>
      </c>
      <c r="L808" t="s">
        <v>24</v>
      </c>
      <c r="M808">
        <v>85.14</v>
      </c>
      <c r="N808">
        <v>5864.63</v>
      </c>
      <c r="O808" t="s">
        <v>66</v>
      </c>
      <c r="P808" t="s">
        <v>55</v>
      </c>
      <c r="Q808">
        <f t="shared" si="36"/>
        <v>0</v>
      </c>
      <c r="R808" t="str">
        <f t="shared" si="37"/>
        <v>49+ months</v>
      </c>
      <c r="S808" t="str">
        <f t="shared" si="38"/>
        <v>$76-$100</v>
      </c>
    </row>
    <row r="809" spans="1:19" x14ac:dyDescent="0.35">
      <c r="A809" t="s">
        <v>873</v>
      </c>
      <c r="B809">
        <v>59</v>
      </c>
      <c r="C809" t="s">
        <v>55</v>
      </c>
      <c r="D809" t="s">
        <v>56</v>
      </c>
      <c r="E809" t="s">
        <v>55</v>
      </c>
      <c r="F809">
        <v>41</v>
      </c>
      <c r="G809" t="s">
        <v>56</v>
      </c>
      <c r="H809" t="s">
        <v>56</v>
      </c>
      <c r="I809" t="s">
        <v>29</v>
      </c>
      <c r="J809" t="s">
        <v>14</v>
      </c>
      <c r="K809" t="s">
        <v>55</v>
      </c>
      <c r="L809" t="s">
        <v>26</v>
      </c>
      <c r="M809">
        <v>48.14</v>
      </c>
      <c r="N809">
        <v>1887.8</v>
      </c>
      <c r="O809" t="s">
        <v>62</v>
      </c>
      <c r="P809" t="s">
        <v>55</v>
      </c>
      <c r="Q809">
        <f t="shared" si="36"/>
        <v>0</v>
      </c>
      <c r="R809" t="str">
        <f t="shared" si="37"/>
        <v>25-48 months</v>
      </c>
      <c r="S809" t="str">
        <f t="shared" si="38"/>
        <v>&lt; $50</v>
      </c>
    </row>
    <row r="810" spans="1:19" x14ac:dyDescent="0.35">
      <c r="A810" t="s">
        <v>874</v>
      </c>
      <c r="B810">
        <v>37</v>
      </c>
      <c r="C810" t="s">
        <v>55</v>
      </c>
      <c r="D810" t="s">
        <v>56</v>
      </c>
      <c r="E810" t="s">
        <v>56</v>
      </c>
      <c r="F810">
        <v>48</v>
      </c>
      <c r="G810" t="s">
        <v>56</v>
      </c>
      <c r="H810" t="s">
        <v>56</v>
      </c>
      <c r="I810" t="s">
        <v>29</v>
      </c>
      <c r="J810" t="s">
        <v>12</v>
      </c>
      <c r="K810" t="s">
        <v>55</v>
      </c>
      <c r="L810" t="s">
        <v>1066</v>
      </c>
      <c r="M810">
        <v>58.15</v>
      </c>
      <c r="N810">
        <v>2661.99</v>
      </c>
      <c r="O810" t="s">
        <v>80</v>
      </c>
      <c r="P810" t="s">
        <v>55</v>
      </c>
      <c r="Q810">
        <f t="shared" si="36"/>
        <v>0</v>
      </c>
      <c r="R810" t="str">
        <f t="shared" si="37"/>
        <v>25-48 months</v>
      </c>
      <c r="S810" t="str">
        <f t="shared" si="38"/>
        <v>$50-$75</v>
      </c>
    </row>
    <row r="811" spans="1:19" x14ac:dyDescent="0.35">
      <c r="A811" t="s">
        <v>875</v>
      </c>
      <c r="B811">
        <v>35</v>
      </c>
      <c r="C811" t="s">
        <v>55</v>
      </c>
      <c r="D811" t="s">
        <v>55</v>
      </c>
      <c r="E811" t="s">
        <v>55</v>
      </c>
      <c r="F811">
        <v>39</v>
      </c>
      <c r="G811" t="s">
        <v>56</v>
      </c>
      <c r="H811" t="s">
        <v>56</v>
      </c>
      <c r="I811" t="s">
        <v>31</v>
      </c>
      <c r="J811" t="s">
        <v>14</v>
      </c>
      <c r="K811" t="s">
        <v>55</v>
      </c>
      <c r="L811" t="s">
        <v>24</v>
      </c>
      <c r="M811">
        <v>28.35</v>
      </c>
      <c r="N811">
        <v>1090.3499999999999</v>
      </c>
      <c r="O811" t="s">
        <v>62</v>
      </c>
      <c r="P811" t="s">
        <v>56</v>
      </c>
      <c r="Q811">
        <f t="shared" si="36"/>
        <v>1</v>
      </c>
      <c r="R811" t="str">
        <f t="shared" si="37"/>
        <v>25-48 months</v>
      </c>
      <c r="S811" t="str">
        <f t="shared" si="38"/>
        <v>&lt; $50</v>
      </c>
    </row>
    <row r="812" spans="1:19" x14ac:dyDescent="0.35">
      <c r="A812" t="s">
        <v>876</v>
      </c>
      <c r="B812">
        <v>42</v>
      </c>
      <c r="C812" t="s">
        <v>55</v>
      </c>
      <c r="D812" t="s">
        <v>56</v>
      </c>
      <c r="E812" t="s">
        <v>55</v>
      </c>
      <c r="F812">
        <v>69</v>
      </c>
      <c r="G812" t="s">
        <v>55</v>
      </c>
      <c r="H812" t="s">
        <v>60</v>
      </c>
      <c r="I812" t="s">
        <v>30</v>
      </c>
      <c r="J812" t="s">
        <v>12</v>
      </c>
      <c r="K812" t="s">
        <v>55</v>
      </c>
      <c r="L812" t="s">
        <v>25</v>
      </c>
      <c r="M812">
        <v>115.5</v>
      </c>
      <c r="N812">
        <v>8212.8700000000008</v>
      </c>
      <c r="O812" t="s">
        <v>66</v>
      </c>
      <c r="P812" t="s">
        <v>56</v>
      </c>
      <c r="Q812">
        <f t="shared" si="36"/>
        <v>1</v>
      </c>
      <c r="R812" t="str">
        <f t="shared" si="37"/>
        <v>49+ months</v>
      </c>
      <c r="S812" t="str">
        <f t="shared" si="38"/>
        <v>&gt; $100</v>
      </c>
    </row>
    <row r="813" spans="1:19" x14ac:dyDescent="0.35">
      <c r="A813" t="s">
        <v>877</v>
      </c>
      <c r="B813">
        <v>34</v>
      </c>
      <c r="C813" t="s">
        <v>55</v>
      </c>
      <c r="D813" t="s">
        <v>56</v>
      </c>
      <c r="E813" t="s">
        <v>56</v>
      </c>
      <c r="F813">
        <v>44</v>
      </c>
      <c r="G813" t="s">
        <v>55</v>
      </c>
      <c r="H813" t="s">
        <v>60</v>
      </c>
      <c r="I813" t="s">
        <v>29</v>
      </c>
      <c r="J813" t="s">
        <v>14</v>
      </c>
      <c r="K813" t="s">
        <v>56</v>
      </c>
      <c r="L813" t="s">
        <v>1066</v>
      </c>
      <c r="M813">
        <v>62.13</v>
      </c>
      <c r="N813">
        <v>2882.15</v>
      </c>
      <c r="O813" t="s">
        <v>76</v>
      </c>
      <c r="P813" t="s">
        <v>55</v>
      </c>
      <c r="Q813">
        <f t="shared" si="36"/>
        <v>0</v>
      </c>
      <c r="R813" t="str">
        <f t="shared" si="37"/>
        <v>25-48 months</v>
      </c>
      <c r="S813" t="str">
        <f t="shared" si="38"/>
        <v>$50-$75</v>
      </c>
    </row>
    <row r="814" spans="1:19" x14ac:dyDescent="0.35">
      <c r="A814" t="s">
        <v>878</v>
      </c>
      <c r="B814">
        <v>72</v>
      </c>
      <c r="C814" t="s">
        <v>56</v>
      </c>
      <c r="D814" t="s">
        <v>55</v>
      </c>
      <c r="E814" t="s">
        <v>55</v>
      </c>
      <c r="F814">
        <v>67</v>
      </c>
      <c r="G814" t="s">
        <v>55</v>
      </c>
      <c r="H814" t="s">
        <v>60</v>
      </c>
      <c r="I814" t="s">
        <v>30</v>
      </c>
      <c r="J814" t="s">
        <v>12</v>
      </c>
      <c r="K814" t="s">
        <v>56</v>
      </c>
      <c r="L814" t="s">
        <v>26</v>
      </c>
      <c r="M814">
        <v>70.760000000000005</v>
      </c>
      <c r="N814">
        <v>4911.3599999999997</v>
      </c>
      <c r="O814" t="s">
        <v>80</v>
      </c>
      <c r="P814" t="s">
        <v>55</v>
      </c>
      <c r="Q814">
        <f t="shared" si="36"/>
        <v>0</v>
      </c>
      <c r="R814" t="str">
        <f t="shared" si="37"/>
        <v>49+ months</v>
      </c>
      <c r="S814" t="str">
        <f t="shared" si="38"/>
        <v>$50-$75</v>
      </c>
    </row>
    <row r="815" spans="1:19" x14ac:dyDescent="0.35">
      <c r="A815" t="s">
        <v>879</v>
      </c>
      <c r="B815">
        <v>33</v>
      </c>
      <c r="C815" t="s">
        <v>55</v>
      </c>
      <c r="D815" t="s">
        <v>55</v>
      </c>
      <c r="E815" t="s">
        <v>55</v>
      </c>
      <c r="F815">
        <v>51</v>
      </c>
      <c r="G815" t="s">
        <v>55</v>
      </c>
      <c r="H815" t="s">
        <v>60</v>
      </c>
      <c r="I815" t="s">
        <v>30</v>
      </c>
      <c r="J815" t="s">
        <v>12</v>
      </c>
      <c r="K815" t="s">
        <v>55</v>
      </c>
      <c r="L815" t="s">
        <v>1066</v>
      </c>
      <c r="M815">
        <v>110.51</v>
      </c>
      <c r="N815">
        <v>5709.05</v>
      </c>
      <c r="O815" t="s">
        <v>58</v>
      </c>
      <c r="P815" t="s">
        <v>56</v>
      </c>
      <c r="Q815">
        <f t="shared" si="36"/>
        <v>1</v>
      </c>
      <c r="R815" t="str">
        <f t="shared" si="37"/>
        <v>49+ months</v>
      </c>
      <c r="S815" t="str">
        <f t="shared" si="38"/>
        <v>&gt; $100</v>
      </c>
    </row>
    <row r="816" spans="1:19" x14ac:dyDescent="0.35">
      <c r="A816" t="s">
        <v>880</v>
      </c>
      <c r="B816">
        <v>60</v>
      </c>
      <c r="C816" t="s">
        <v>56</v>
      </c>
      <c r="D816" t="s">
        <v>55</v>
      </c>
      <c r="E816" t="s">
        <v>55</v>
      </c>
      <c r="F816">
        <v>23</v>
      </c>
      <c r="G816" t="s">
        <v>56</v>
      </c>
      <c r="H816" t="s">
        <v>55</v>
      </c>
      <c r="I816" t="s">
        <v>30</v>
      </c>
      <c r="J816" t="s">
        <v>12</v>
      </c>
      <c r="K816" t="s">
        <v>55</v>
      </c>
      <c r="L816" t="s">
        <v>24</v>
      </c>
      <c r="M816">
        <v>112.22</v>
      </c>
      <c r="N816">
        <v>2493.67</v>
      </c>
      <c r="O816" t="s">
        <v>80</v>
      </c>
      <c r="P816" t="s">
        <v>56</v>
      </c>
      <c r="Q816">
        <f t="shared" si="36"/>
        <v>1</v>
      </c>
      <c r="R816" t="str">
        <f t="shared" si="37"/>
        <v>13-24 months</v>
      </c>
      <c r="S816" t="str">
        <f t="shared" si="38"/>
        <v>&gt; $100</v>
      </c>
    </row>
    <row r="817" spans="1:19" x14ac:dyDescent="0.35">
      <c r="A817" t="s">
        <v>881</v>
      </c>
      <c r="B817">
        <v>35</v>
      </c>
      <c r="C817" t="s">
        <v>55</v>
      </c>
      <c r="D817" t="s">
        <v>55</v>
      </c>
      <c r="E817" t="s">
        <v>56</v>
      </c>
      <c r="F817">
        <v>57</v>
      </c>
      <c r="G817" t="s">
        <v>55</v>
      </c>
      <c r="H817" t="s">
        <v>60</v>
      </c>
      <c r="I817" t="s">
        <v>30</v>
      </c>
      <c r="J817" t="s">
        <v>12</v>
      </c>
      <c r="K817" t="s">
        <v>55</v>
      </c>
      <c r="L817" t="s">
        <v>26</v>
      </c>
      <c r="M817">
        <v>101.52</v>
      </c>
      <c r="N817">
        <v>5541.45</v>
      </c>
      <c r="O817" t="s">
        <v>80</v>
      </c>
      <c r="P817" t="s">
        <v>55</v>
      </c>
      <c r="Q817">
        <f t="shared" si="36"/>
        <v>0</v>
      </c>
      <c r="R817" t="str">
        <f t="shared" si="37"/>
        <v>49+ months</v>
      </c>
      <c r="S817" t="str">
        <f t="shared" si="38"/>
        <v>&gt; $100</v>
      </c>
    </row>
    <row r="818" spans="1:19" x14ac:dyDescent="0.35">
      <c r="A818" t="s">
        <v>882</v>
      </c>
      <c r="B818">
        <v>32</v>
      </c>
      <c r="C818" t="s">
        <v>55</v>
      </c>
      <c r="D818" t="s">
        <v>56</v>
      </c>
      <c r="E818" t="s">
        <v>56</v>
      </c>
      <c r="F818">
        <v>24</v>
      </c>
      <c r="G818" t="s">
        <v>55</v>
      </c>
      <c r="H818" t="s">
        <v>60</v>
      </c>
      <c r="I818" t="s">
        <v>29</v>
      </c>
      <c r="J818" t="s">
        <v>13</v>
      </c>
      <c r="K818" t="s">
        <v>56</v>
      </c>
      <c r="L818" t="s">
        <v>24</v>
      </c>
      <c r="M818">
        <v>49.12</v>
      </c>
      <c r="N818">
        <v>1242.78</v>
      </c>
      <c r="O818" t="s">
        <v>76</v>
      </c>
      <c r="P818" t="s">
        <v>55</v>
      </c>
      <c r="Q818">
        <f t="shared" si="36"/>
        <v>0</v>
      </c>
      <c r="R818" t="str">
        <f t="shared" si="37"/>
        <v>13-24 months</v>
      </c>
      <c r="S818" t="str">
        <f t="shared" si="38"/>
        <v>&lt; $50</v>
      </c>
    </row>
    <row r="819" spans="1:19" x14ac:dyDescent="0.35">
      <c r="A819" t="s">
        <v>883</v>
      </c>
      <c r="B819">
        <v>19</v>
      </c>
      <c r="C819" t="s">
        <v>55</v>
      </c>
      <c r="D819" t="s">
        <v>55</v>
      </c>
      <c r="E819" t="s">
        <v>56</v>
      </c>
      <c r="F819">
        <v>31</v>
      </c>
      <c r="G819" t="s">
        <v>56</v>
      </c>
      <c r="H819" t="s">
        <v>55</v>
      </c>
      <c r="I819" t="s">
        <v>30</v>
      </c>
      <c r="J819" t="s">
        <v>12</v>
      </c>
      <c r="K819" t="s">
        <v>56</v>
      </c>
      <c r="L819" t="s">
        <v>26</v>
      </c>
      <c r="M819">
        <v>86.29</v>
      </c>
      <c r="N819">
        <v>2633.7</v>
      </c>
      <c r="O819" t="s">
        <v>64</v>
      </c>
      <c r="P819" t="s">
        <v>55</v>
      </c>
      <c r="Q819">
        <f t="shared" si="36"/>
        <v>0</v>
      </c>
      <c r="R819" t="str">
        <f t="shared" si="37"/>
        <v>25-48 months</v>
      </c>
      <c r="S819" t="str">
        <f t="shared" si="38"/>
        <v>$76-$100</v>
      </c>
    </row>
    <row r="820" spans="1:19" x14ac:dyDescent="0.35">
      <c r="A820" t="s">
        <v>884</v>
      </c>
      <c r="B820">
        <v>22</v>
      </c>
      <c r="C820" t="s">
        <v>55</v>
      </c>
      <c r="D820" t="s">
        <v>55</v>
      </c>
      <c r="E820" t="s">
        <v>55</v>
      </c>
      <c r="F820">
        <v>19</v>
      </c>
      <c r="G820" t="s">
        <v>55</v>
      </c>
      <c r="H820" t="s">
        <v>60</v>
      </c>
      <c r="I820" t="s">
        <v>30</v>
      </c>
      <c r="J820" t="s">
        <v>12</v>
      </c>
      <c r="K820" t="s">
        <v>55</v>
      </c>
      <c r="L820" t="s">
        <v>25</v>
      </c>
      <c r="M820">
        <v>88.74</v>
      </c>
      <c r="N820">
        <v>1775.59</v>
      </c>
      <c r="O820" t="s">
        <v>80</v>
      </c>
      <c r="P820" t="s">
        <v>56</v>
      </c>
      <c r="Q820">
        <f t="shared" si="36"/>
        <v>1</v>
      </c>
      <c r="R820" t="str">
        <f t="shared" si="37"/>
        <v>13-24 months</v>
      </c>
      <c r="S820" t="str">
        <f t="shared" si="38"/>
        <v>$76-$100</v>
      </c>
    </row>
    <row r="821" spans="1:19" x14ac:dyDescent="0.35">
      <c r="A821" t="s">
        <v>885</v>
      </c>
      <c r="B821">
        <v>28</v>
      </c>
      <c r="C821" t="s">
        <v>55</v>
      </c>
      <c r="D821" t="s">
        <v>55</v>
      </c>
      <c r="E821" t="s">
        <v>56</v>
      </c>
      <c r="F821">
        <v>38</v>
      </c>
      <c r="G821" t="s">
        <v>56</v>
      </c>
      <c r="H821" t="s">
        <v>56</v>
      </c>
      <c r="I821" t="s">
        <v>31</v>
      </c>
      <c r="J821" t="s">
        <v>12</v>
      </c>
      <c r="K821" t="s">
        <v>55</v>
      </c>
      <c r="L821" t="s">
        <v>24</v>
      </c>
      <c r="M821">
        <v>27.37</v>
      </c>
      <c r="N821">
        <v>1041.08</v>
      </c>
      <c r="O821" t="s">
        <v>76</v>
      </c>
      <c r="P821" t="s">
        <v>55</v>
      </c>
      <c r="Q821">
        <f t="shared" si="36"/>
        <v>0</v>
      </c>
      <c r="R821" t="str">
        <f t="shared" si="37"/>
        <v>25-48 months</v>
      </c>
      <c r="S821" t="str">
        <f t="shared" si="38"/>
        <v>&lt; $50</v>
      </c>
    </row>
    <row r="822" spans="1:19" x14ac:dyDescent="0.35">
      <c r="A822" t="s">
        <v>886</v>
      </c>
      <c r="B822">
        <v>31</v>
      </c>
      <c r="C822" t="s">
        <v>55</v>
      </c>
      <c r="D822" t="s">
        <v>55</v>
      </c>
      <c r="E822" t="s">
        <v>56</v>
      </c>
      <c r="F822">
        <v>20</v>
      </c>
      <c r="G822" t="s">
        <v>56</v>
      </c>
      <c r="H822" t="s">
        <v>55</v>
      </c>
      <c r="I822" t="s">
        <v>30</v>
      </c>
      <c r="J822" t="s">
        <v>14</v>
      </c>
      <c r="K822" t="s">
        <v>56</v>
      </c>
      <c r="L822" t="s">
        <v>24</v>
      </c>
      <c r="M822">
        <v>119.89</v>
      </c>
      <c r="N822">
        <v>2435.3000000000002</v>
      </c>
      <c r="O822" t="s">
        <v>58</v>
      </c>
      <c r="P822" t="s">
        <v>55</v>
      </c>
      <c r="Q822">
        <f t="shared" si="36"/>
        <v>0</v>
      </c>
      <c r="R822" t="str">
        <f t="shared" si="37"/>
        <v>13-24 months</v>
      </c>
      <c r="S822" t="str">
        <f t="shared" si="38"/>
        <v>&gt; $100</v>
      </c>
    </row>
    <row r="823" spans="1:19" x14ac:dyDescent="0.35">
      <c r="A823" t="s">
        <v>887</v>
      </c>
      <c r="B823">
        <v>64</v>
      </c>
      <c r="C823" t="s">
        <v>56</v>
      </c>
      <c r="D823" t="s">
        <v>56</v>
      </c>
      <c r="E823" t="s">
        <v>56</v>
      </c>
      <c r="F823">
        <v>61</v>
      </c>
      <c r="G823" t="s">
        <v>55</v>
      </c>
      <c r="H823" t="s">
        <v>60</v>
      </c>
      <c r="I823" t="s">
        <v>29</v>
      </c>
      <c r="J823" t="s">
        <v>12</v>
      </c>
      <c r="K823" t="s">
        <v>56</v>
      </c>
      <c r="L823" t="s">
        <v>1066</v>
      </c>
      <c r="M823">
        <v>51.72</v>
      </c>
      <c r="N823">
        <v>3058.01</v>
      </c>
      <c r="O823" t="s">
        <v>66</v>
      </c>
      <c r="P823" t="s">
        <v>56</v>
      </c>
      <c r="Q823">
        <f t="shared" si="36"/>
        <v>1</v>
      </c>
      <c r="R823" t="str">
        <f t="shared" si="37"/>
        <v>49+ months</v>
      </c>
      <c r="S823" t="str">
        <f t="shared" si="38"/>
        <v>$50-$75</v>
      </c>
    </row>
    <row r="824" spans="1:19" x14ac:dyDescent="0.35">
      <c r="A824" t="s">
        <v>888</v>
      </c>
      <c r="B824">
        <v>41</v>
      </c>
      <c r="C824" t="s">
        <v>55</v>
      </c>
      <c r="D824" t="s">
        <v>56</v>
      </c>
      <c r="E824" t="s">
        <v>55</v>
      </c>
      <c r="F824">
        <v>41</v>
      </c>
      <c r="G824" t="s">
        <v>56</v>
      </c>
      <c r="H824" t="s">
        <v>55</v>
      </c>
      <c r="I824" t="s">
        <v>29</v>
      </c>
      <c r="J824" t="s">
        <v>12</v>
      </c>
      <c r="K824" t="s">
        <v>55</v>
      </c>
      <c r="L824" t="s">
        <v>24</v>
      </c>
      <c r="M824">
        <v>54.08</v>
      </c>
      <c r="N824">
        <v>2218.7800000000002</v>
      </c>
      <c r="O824" t="s">
        <v>69</v>
      </c>
      <c r="P824" t="s">
        <v>55</v>
      </c>
      <c r="Q824">
        <f t="shared" si="36"/>
        <v>0</v>
      </c>
      <c r="R824" t="str">
        <f t="shared" si="37"/>
        <v>25-48 months</v>
      </c>
      <c r="S824" t="str">
        <f t="shared" si="38"/>
        <v>$50-$75</v>
      </c>
    </row>
    <row r="825" spans="1:19" x14ac:dyDescent="0.35">
      <c r="A825" t="s">
        <v>889</v>
      </c>
      <c r="B825">
        <v>48</v>
      </c>
      <c r="C825" t="s">
        <v>55</v>
      </c>
      <c r="D825" t="s">
        <v>56</v>
      </c>
      <c r="E825" t="s">
        <v>55</v>
      </c>
      <c r="F825">
        <v>54</v>
      </c>
      <c r="G825" t="s">
        <v>56</v>
      </c>
      <c r="H825" t="s">
        <v>55</v>
      </c>
      <c r="I825" t="s">
        <v>30</v>
      </c>
      <c r="J825" t="s">
        <v>12</v>
      </c>
      <c r="K825" t="s">
        <v>55</v>
      </c>
      <c r="L825" t="s">
        <v>1066</v>
      </c>
      <c r="M825">
        <v>103.3</v>
      </c>
      <c r="N825">
        <v>5648.85</v>
      </c>
      <c r="O825" t="s">
        <v>76</v>
      </c>
      <c r="P825" t="s">
        <v>55</v>
      </c>
      <c r="Q825">
        <f t="shared" si="36"/>
        <v>0</v>
      </c>
      <c r="R825" t="str">
        <f t="shared" si="37"/>
        <v>49+ months</v>
      </c>
      <c r="S825" t="str">
        <f t="shared" si="38"/>
        <v>&gt; $100</v>
      </c>
    </row>
    <row r="826" spans="1:19" x14ac:dyDescent="0.35">
      <c r="A826" t="s">
        <v>890</v>
      </c>
      <c r="B826">
        <v>38</v>
      </c>
      <c r="C826" t="s">
        <v>55</v>
      </c>
      <c r="D826" t="s">
        <v>56</v>
      </c>
      <c r="E826" t="s">
        <v>56</v>
      </c>
      <c r="F826">
        <v>53</v>
      </c>
      <c r="G826" t="s">
        <v>56</v>
      </c>
      <c r="H826" t="s">
        <v>55</v>
      </c>
      <c r="I826" t="s">
        <v>30</v>
      </c>
      <c r="J826" t="s">
        <v>13</v>
      </c>
      <c r="K826" t="s">
        <v>56</v>
      </c>
      <c r="L826" t="s">
        <v>25</v>
      </c>
      <c r="M826">
        <v>113.82</v>
      </c>
      <c r="N826">
        <v>5681.74</v>
      </c>
      <c r="O826" t="s">
        <v>76</v>
      </c>
      <c r="P826" t="s">
        <v>56</v>
      </c>
      <c r="Q826">
        <f t="shared" si="36"/>
        <v>1</v>
      </c>
      <c r="R826" t="str">
        <f t="shared" si="37"/>
        <v>49+ months</v>
      </c>
      <c r="S826" t="str">
        <f t="shared" si="38"/>
        <v>&gt; $100</v>
      </c>
    </row>
    <row r="827" spans="1:19" x14ac:dyDescent="0.35">
      <c r="A827" t="s">
        <v>891</v>
      </c>
      <c r="B827">
        <v>66</v>
      </c>
      <c r="C827" t="s">
        <v>56</v>
      </c>
      <c r="D827" t="s">
        <v>55</v>
      </c>
      <c r="E827" t="s">
        <v>56</v>
      </c>
      <c r="F827">
        <v>17</v>
      </c>
      <c r="G827" t="s">
        <v>55</v>
      </c>
      <c r="H827" t="s">
        <v>60</v>
      </c>
      <c r="I827" t="s">
        <v>31</v>
      </c>
      <c r="J827" t="s">
        <v>12</v>
      </c>
      <c r="K827" t="s">
        <v>56</v>
      </c>
      <c r="L827" t="s">
        <v>25</v>
      </c>
      <c r="M827">
        <v>19.59</v>
      </c>
      <c r="N827">
        <v>347.69</v>
      </c>
      <c r="O827" t="s">
        <v>64</v>
      </c>
      <c r="P827" t="s">
        <v>55</v>
      </c>
      <c r="Q827">
        <f t="shared" si="36"/>
        <v>0</v>
      </c>
      <c r="R827" t="str">
        <f t="shared" si="37"/>
        <v>13-24 months</v>
      </c>
      <c r="S827" t="str">
        <f t="shared" si="38"/>
        <v>&lt; $50</v>
      </c>
    </row>
    <row r="828" spans="1:19" x14ac:dyDescent="0.35">
      <c r="A828" t="s">
        <v>892</v>
      </c>
      <c r="B828">
        <v>40</v>
      </c>
      <c r="C828" t="s">
        <v>55</v>
      </c>
      <c r="D828" t="s">
        <v>56</v>
      </c>
      <c r="E828" t="s">
        <v>55</v>
      </c>
      <c r="F828">
        <v>72</v>
      </c>
      <c r="G828" t="s">
        <v>55</v>
      </c>
      <c r="H828" t="s">
        <v>60</v>
      </c>
      <c r="I828" t="s">
        <v>30</v>
      </c>
      <c r="J828" t="s">
        <v>12</v>
      </c>
      <c r="K828" t="s">
        <v>55</v>
      </c>
      <c r="L828" t="s">
        <v>24</v>
      </c>
      <c r="M828">
        <v>100.83</v>
      </c>
      <c r="N828">
        <v>7690.24</v>
      </c>
      <c r="O828" t="s">
        <v>69</v>
      </c>
      <c r="P828" t="s">
        <v>56</v>
      </c>
      <c r="Q828">
        <f t="shared" si="36"/>
        <v>1</v>
      </c>
      <c r="R828" t="str">
        <f t="shared" si="37"/>
        <v>49+ months</v>
      </c>
      <c r="S828" t="str">
        <f t="shared" si="38"/>
        <v>&gt; $100</v>
      </c>
    </row>
    <row r="829" spans="1:19" x14ac:dyDescent="0.35">
      <c r="A829" t="s">
        <v>893</v>
      </c>
      <c r="B829">
        <v>40</v>
      </c>
      <c r="C829" t="s">
        <v>55</v>
      </c>
      <c r="D829" t="s">
        <v>55</v>
      </c>
      <c r="E829" t="s">
        <v>55</v>
      </c>
      <c r="F829">
        <v>58</v>
      </c>
      <c r="G829" t="s">
        <v>55</v>
      </c>
      <c r="H829" t="s">
        <v>60</v>
      </c>
      <c r="I829" t="s">
        <v>29</v>
      </c>
      <c r="J829" t="s">
        <v>12</v>
      </c>
      <c r="K829" t="s">
        <v>55</v>
      </c>
      <c r="L829" t="s">
        <v>1066</v>
      </c>
      <c r="M829">
        <v>69.34</v>
      </c>
      <c r="N829">
        <v>4129.68</v>
      </c>
      <c r="O829" t="s">
        <v>66</v>
      </c>
      <c r="P829" t="s">
        <v>55</v>
      </c>
      <c r="Q829">
        <f t="shared" si="36"/>
        <v>0</v>
      </c>
      <c r="R829" t="str">
        <f t="shared" si="37"/>
        <v>49+ months</v>
      </c>
      <c r="S829" t="str">
        <f t="shared" si="38"/>
        <v>$50-$75</v>
      </c>
    </row>
    <row r="830" spans="1:19" x14ac:dyDescent="0.35">
      <c r="A830" t="s">
        <v>894</v>
      </c>
      <c r="B830">
        <v>50</v>
      </c>
      <c r="C830" t="s">
        <v>55</v>
      </c>
      <c r="D830" t="s">
        <v>56</v>
      </c>
      <c r="E830" t="s">
        <v>56</v>
      </c>
      <c r="F830">
        <v>1</v>
      </c>
      <c r="G830" t="s">
        <v>55</v>
      </c>
      <c r="H830" t="s">
        <v>60</v>
      </c>
      <c r="I830" t="s">
        <v>29</v>
      </c>
      <c r="J830" t="s">
        <v>13</v>
      </c>
      <c r="K830" t="s">
        <v>55</v>
      </c>
      <c r="L830" t="s">
        <v>24</v>
      </c>
      <c r="M830">
        <v>57.54</v>
      </c>
      <c r="N830">
        <v>57.6</v>
      </c>
      <c r="O830" t="s">
        <v>66</v>
      </c>
      <c r="P830" t="s">
        <v>55</v>
      </c>
      <c r="Q830">
        <f t="shared" si="36"/>
        <v>0</v>
      </c>
      <c r="R830" t="str">
        <f t="shared" si="37"/>
        <v>0-12 months</v>
      </c>
      <c r="S830" t="str">
        <f t="shared" si="38"/>
        <v>$50-$75</v>
      </c>
    </row>
    <row r="831" spans="1:19" x14ac:dyDescent="0.35">
      <c r="A831" t="s">
        <v>895</v>
      </c>
      <c r="B831">
        <v>24</v>
      </c>
      <c r="C831" t="s">
        <v>55</v>
      </c>
      <c r="D831" t="s">
        <v>56</v>
      </c>
      <c r="E831" t="s">
        <v>55</v>
      </c>
      <c r="F831">
        <v>64</v>
      </c>
      <c r="G831" t="s">
        <v>55</v>
      </c>
      <c r="H831" t="s">
        <v>60</v>
      </c>
      <c r="I831" t="s">
        <v>30</v>
      </c>
      <c r="J831" t="s">
        <v>12</v>
      </c>
      <c r="K831" t="s">
        <v>55</v>
      </c>
      <c r="L831" t="s">
        <v>26</v>
      </c>
      <c r="M831">
        <v>78.92</v>
      </c>
      <c r="N831">
        <v>4834.62</v>
      </c>
      <c r="O831" t="s">
        <v>69</v>
      </c>
      <c r="P831" t="s">
        <v>55</v>
      </c>
      <c r="Q831">
        <f t="shared" si="36"/>
        <v>0</v>
      </c>
      <c r="R831" t="str">
        <f t="shared" si="37"/>
        <v>49+ months</v>
      </c>
      <c r="S831" t="str">
        <f t="shared" si="38"/>
        <v>$76-$100</v>
      </c>
    </row>
    <row r="832" spans="1:19" x14ac:dyDescent="0.35">
      <c r="A832" t="s">
        <v>896</v>
      </c>
      <c r="B832">
        <v>74</v>
      </c>
      <c r="C832" t="s">
        <v>56</v>
      </c>
      <c r="D832" t="s">
        <v>56</v>
      </c>
      <c r="E832" t="s">
        <v>55</v>
      </c>
      <c r="F832">
        <v>67</v>
      </c>
      <c r="G832" t="s">
        <v>55</v>
      </c>
      <c r="H832" t="s">
        <v>60</v>
      </c>
      <c r="I832" t="s">
        <v>30</v>
      </c>
      <c r="J832" t="s">
        <v>12</v>
      </c>
      <c r="K832" t="s">
        <v>55</v>
      </c>
      <c r="L832" t="s">
        <v>26</v>
      </c>
      <c r="M832">
        <v>84.39</v>
      </c>
      <c r="N832">
        <v>5645.06</v>
      </c>
      <c r="O832" t="s">
        <v>62</v>
      </c>
      <c r="P832" t="s">
        <v>56</v>
      </c>
      <c r="Q832">
        <f t="shared" si="36"/>
        <v>1</v>
      </c>
      <c r="R832" t="str">
        <f t="shared" si="37"/>
        <v>49+ months</v>
      </c>
      <c r="S832" t="str">
        <f t="shared" si="38"/>
        <v>$76-$100</v>
      </c>
    </row>
    <row r="833" spans="1:19" x14ac:dyDescent="0.35">
      <c r="A833" t="s">
        <v>897</v>
      </c>
      <c r="B833">
        <v>36</v>
      </c>
      <c r="C833" t="s">
        <v>55</v>
      </c>
      <c r="D833" t="s">
        <v>55</v>
      </c>
      <c r="E833" t="s">
        <v>56</v>
      </c>
      <c r="F833">
        <v>30</v>
      </c>
      <c r="G833" t="s">
        <v>56</v>
      </c>
      <c r="H833" t="s">
        <v>56</v>
      </c>
      <c r="I833" t="s">
        <v>29</v>
      </c>
      <c r="J833" t="s">
        <v>13</v>
      </c>
      <c r="K833" t="s">
        <v>56</v>
      </c>
      <c r="L833" t="s">
        <v>26</v>
      </c>
      <c r="M833">
        <v>76.099999999999994</v>
      </c>
      <c r="N833">
        <v>2408.98</v>
      </c>
      <c r="O833" t="s">
        <v>66</v>
      </c>
      <c r="P833" t="s">
        <v>55</v>
      </c>
      <c r="Q833">
        <f t="shared" si="36"/>
        <v>0</v>
      </c>
      <c r="R833" t="str">
        <f t="shared" si="37"/>
        <v>25-48 months</v>
      </c>
      <c r="S833" t="str">
        <f t="shared" si="38"/>
        <v>$76-$100</v>
      </c>
    </row>
    <row r="834" spans="1:19" x14ac:dyDescent="0.35">
      <c r="A834" t="s">
        <v>898</v>
      </c>
      <c r="B834">
        <v>30</v>
      </c>
      <c r="C834" t="s">
        <v>55</v>
      </c>
      <c r="D834" t="s">
        <v>56</v>
      </c>
      <c r="E834" t="s">
        <v>55</v>
      </c>
      <c r="F834">
        <v>4</v>
      </c>
      <c r="G834" t="s">
        <v>55</v>
      </c>
      <c r="H834" t="s">
        <v>60</v>
      </c>
      <c r="I834" t="s">
        <v>30</v>
      </c>
      <c r="J834" t="s">
        <v>14</v>
      </c>
      <c r="K834" t="s">
        <v>55</v>
      </c>
      <c r="L834" t="s">
        <v>1066</v>
      </c>
      <c r="M834">
        <v>96.04</v>
      </c>
      <c r="N834">
        <v>399.42</v>
      </c>
      <c r="O834" t="s">
        <v>80</v>
      </c>
      <c r="P834" t="s">
        <v>56</v>
      </c>
      <c r="Q834">
        <f t="shared" si="36"/>
        <v>1</v>
      </c>
      <c r="R834" t="str">
        <f t="shared" si="37"/>
        <v>0-12 months</v>
      </c>
      <c r="S834" t="str">
        <f t="shared" si="38"/>
        <v>$76-$100</v>
      </c>
    </row>
    <row r="835" spans="1:19" x14ac:dyDescent="0.35">
      <c r="A835" t="s">
        <v>899</v>
      </c>
      <c r="B835">
        <v>63</v>
      </c>
      <c r="C835" t="s">
        <v>56</v>
      </c>
      <c r="D835" t="s">
        <v>56</v>
      </c>
      <c r="E835" t="s">
        <v>55</v>
      </c>
      <c r="F835">
        <v>56</v>
      </c>
      <c r="G835" t="s">
        <v>56</v>
      </c>
      <c r="H835" t="s">
        <v>55</v>
      </c>
      <c r="I835" t="s">
        <v>29</v>
      </c>
      <c r="J835" t="s">
        <v>14</v>
      </c>
      <c r="K835" t="s">
        <v>56</v>
      </c>
      <c r="L835" t="s">
        <v>25</v>
      </c>
      <c r="M835">
        <v>72.150000000000006</v>
      </c>
      <c r="N835">
        <v>4158.84</v>
      </c>
      <c r="O835" t="s">
        <v>80</v>
      </c>
      <c r="P835" t="s">
        <v>55</v>
      </c>
      <c r="Q835">
        <f t="shared" ref="Q835:Q898" si="39">IF(P835="Yes",1,0)</f>
        <v>0</v>
      </c>
      <c r="R835" t="str">
        <f t="shared" ref="R835:R898" si="40">IF(F835&lt;=12,"0-12 months",IF(F835&lt;=24,"13-24 months",IF(F835&lt;=48,"25-48 months","49+ months")))</f>
        <v>49+ months</v>
      </c>
      <c r="S835" t="str">
        <f t="shared" ref="S835:S898" si="41">IF(M835&lt;50,"&lt; $50",IF(M835&lt;=75,"$50-$75",IF(M835&lt;=100,"$76-$100","&gt; $100")))</f>
        <v>$50-$75</v>
      </c>
    </row>
    <row r="836" spans="1:19" x14ac:dyDescent="0.35">
      <c r="A836" t="s">
        <v>900</v>
      </c>
      <c r="B836">
        <v>38</v>
      </c>
      <c r="C836" t="s">
        <v>55</v>
      </c>
      <c r="D836" t="s">
        <v>56</v>
      </c>
      <c r="E836" t="s">
        <v>55</v>
      </c>
      <c r="F836">
        <v>36</v>
      </c>
      <c r="G836" t="s">
        <v>56</v>
      </c>
      <c r="H836" t="s">
        <v>55</v>
      </c>
      <c r="I836" t="s">
        <v>29</v>
      </c>
      <c r="J836" t="s">
        <v>12</v>
      </c>
      <c r="K836" t="s">
        <v>56</v>
      </c>
      <c r="L836" t="s">
        <v>24</v>
      </c>
      <c r="M836">
        <v>77.290000000000006</v>
      </c>
      <c r="N836">
        <v>2880.67</v>
      </c>
      <c r="O836" t="s">
        <v>66</v>
      </c>
      <c r="P836" t="s">
        <v>55</v>
      </c>
      <c r="Q836">
        <f t="shared" si="39"/>
        <v>0</v>
      </c>
      <c r="R836" t="str">
        <f t="shared" si="40"/>
        <v>25-48 months</v>
      </c>
      <c r="S836" t="str">
        <f t="shared" si="41"/>
        <v>$76-$100</v>
      </c>
    </row>
    <row r="837" spans="1:19" x14ac:dyDescent="0.35">
      <c r="A837" t="s">
        <v>901</v>
      </c>
      <c r="B837">
        <v>53</v>
      </c>
      <c r="C837" t="s">
        <v>55</v>
      </c>
      <c r="D837" t="s">
        <v>56</v>
      </c>
      <c r="E837" t="s">
        <v>56</v>
      </c>
      <c r="F837">
        <v>32</v>
      </c>
      <c r="G837" t="s">
        <v>55</v>
      </c>
      <c r="H837" t="s">
        <v>60</v>
      </c>
      <c r="I837" t="s">
        <v>30</v>
      </c>
      <c r="J837" t="s">
        <v>14</v>
      </c>
      <c r="K837" t="s">
        <v>56</v>
      </c>
      <c r="L837" t="s">
        <v>1066</v>
      </c>
      <c r="M837">
        <v>83.26</v>
      </c>
      <c r="N837">
        <v>2552.88</v>
      </c>
      <c r="O837" t="s">
        <v>69</v>
      </c>
      <c r="P837" t="s">
        <v>55</v>
      </c>
      <c r="Q837">
        <f t="shared" si="39"/>
        <v>0</v>
      </c>
      <c r="R837" t="str">
        <f t="shared" si="40"/>
        <v>25-48 months</v>
      </c>
      <c r="S837" t="str">
        <f t="shared" si="41"/>
        <v>$76-$100</v>
      </c>
    </row>
    <row r="838" spans="1:19" x14ac:dyDescent="0.35">
      <c r="A838" t="s">
        <v>902</v>
      </c>
      <c r="B838">
        <v>49</v>
      </c>
      <c r="C838" t="s">
        <v>55</v>
      </c>
      <c r="D838" t="s">
        <v>55</v>
      </c>
      <c r="E838" t="s">
        <v>56</v>
      </c>
      <c r="F838">
        <v>26</v>
      </c>
      <c r="G838" t="s">
        <v>56</v>
      </c>
      <c r="H838" t="s">
        <v>55</v>
      </c>
      <c r="I838" t="s">
        <v>29</v>
      </c>
      <c r="J838" t="s">
        <v>14</v>
      </c>
      <c r="K838" t="s">
        <v>56</v>
      </c>
      <c r="L838" t="s">
        <v>26</v>
      </c>
      <c r="M838">
        <v>42.69</v>
      </c>
      <c r="N838">
        <v>1117.6300000000001</v>
      </c>
      <c r="O838" t="s">
        <v>62</v>
      </c>
      <c r="P838" t="s">
        <v>55</v>
      </c>
      <c r="Q838">
        <f t="shared" si="39"/>
        <v>0</v>
      </c>
      <c r="R838" t="str">
        <f t="shared" si="40"/>
        <v>25-48 months</v>
      </c>
      <c r="S838" t="str">
        <f t="shared" si="41"/>
        <v>&lt; $50</v>
      </c>
    </row>
    <row r="839" spans="1:19" x14ac:dyDescent="0.35">
      <c r="A839" t="s">
        <v>903</v>
      </c>
      <c r="B839">
        <v>20</v>
      </c>
      <c r="C839" t="s">
        <v>55</v>
      </c>
      <c r="D839" t="s">
        <v>55</v>
      </c>
      <c r="E839" t="s">
        <v>55</v>
      </c>
      <c r="F839">
        <v>49</v>
      </c>
      <c r="G839" t="s">
        <v>56</v>
      </c>
      <c r="H839" t="s">
        <v>55</v>
      </c>
      <c r="I839" t="s">
        <v>29</v>
      </c>
      <c r="J839" t="s">
        <v>12</v>
      </c>
      <c r="K839" t="s">
        <v>56</v>
      </c>
      <c r="L839" t="s">
        <v>25</v>
      </c>
      <c r="M839">
        <v>73.63</v>
      </c>
      <c r="N839">
        <v>3770.24</v>
      </c>
      <c r="O839" t="s">
        <v>64</v>
      </c>
      <c r="P839" t="s">
        <v>55</v>
      </c>
      <c r="Q839">
        <f t="shared" si="39"/>
        <v>0</v>
      </c>
      <c r="R839" t="str">
        <f t="shared" si="40"/>
        <v>49+ months</v>
      </c>
      <c r="S839" t="str">
        <f t="shared" si="41"/>
        <v>$50-$75</v>
      </c>
    </row>
    <row r="840" spans="1:19" x14ac:dyDescent="0.35">
      <c r="A840" t="s">
        <v>904</v>
      </c>
      <c r="B840">
        <v>68</v>
      </c>
      <c r="C840" t="s">
        <v>56</v>
      </c>
      <c r="D840" t="s">
        <v>55</v>
      </c>
      <c r="E840" t="s">
        <v>55</v>
      </c>
      <c r="F840">
        <v>70</v>
      </c>
      <c r="G840" t="s">
        <v>56</v>
      </c>
      <c r="H840" t="s">
        <v>56</v>
      </c>
      <c r="I840" t="s">
        <v>29</v>
      </c>
      <c r="J840" t="s">
        <v>14</v>
      </c>
      <c r="K840" t="s">
        <v>55</v>
      </c>
      <c r="L840" t="s">
        <v>24</v>
      </c>
      <c r="M840">
        <v>57.89</v>
      </c>
      <c r="N840">
        <v>3929.46</v>
      </c>
      <c r="O840" t="s">
        <v>62</v>
      </c>
      <c r="P840" t="s">
        <v>55</v>
      </c>
      <c r="Q840">
        <f t="shared" si="39"/>
        <v>0</v>
      </c>
      <c r="R840" t="str">
        <f t="shared" si="40"/>
        <v>49+ months</v>
      </c>
      <c r="S840" t="str">
        <f t="shared" si="41"/>
        <v>$50-$75</v>
      </c>
    </row>
    <row r="841" spans="1:19" x14ac:dyDescent="0.35">
      <c r="A841" t="s">
        <v>905</v>
      </c>
      <c r="B841">
        <v>47</v>
      </c>
      <c r="C841" t="s">
        <v>55</v>
      </c>
      <c r="D841" t="s">
        <v>55</v>
      </c>
      <c r="E841" t="s">
        <v>56</v>
      </c>
      <c r="F841">
        <v>45</v>
      </c>
      <c r="G841" t="s">
        <v>56</v>
      </c>
      <c r="H841" t="s">
        <v>55</v>
      </c>
      <c r="I841" t="s">
        <v>29</v>
      </c>
      <c r="J841" t="s">
        <v>12</v>
      </c>
      <c r="K841" t="s">
        <v>55</v>
      </c>
      <c r="L841" t="s">
        <v>1066</v>
      </c>
      <c r="M841">
        <v>67.489999999999995</v>
      </c>
      <c r="N841">
        <v>2865.38</v>
      </c>
      <c r="O841" t="s">
        <v>62</v>
      </c>
      <c r="P841" t="s">
        <v>56</v>
      </c>
      <c r="Q841">
        <f t="shared" si="39"/>
        <v>1</v>
      </c>
      <c r="R841" t="str">
        <f t="shared" si="40"/>
        <v>25-48 months</v>
      </c>
      <c r="S841" t="str">
        <f t="shared" si="41"/>
        <v>$50-$75</v>
      </c>
    </row>
    <row r="842" spans="1:19" x14ac:dyDescent="0.35">
      <c r="A842" t="s">
        <v>906</v>
      </c>
      <c r="B842">
        <v>74</v>
      </c>
      <c r="C842" t="s">
        <v>56</v>
      </c>
      <c r="D842" t="s">
        <v>55</v>
      </c>
      <c r="E842" t="s">
        <v>56</v>
      </c>
      <c r="F842">
        <v>72</v>
      </c>
      <c r="G842" t="s">
        <v>55</v>
      </c>
      <c r="H842" t="s">
        <v>60</v>
      </c>
      <c r="I842" t="s">
        <v>29</v>
      </c>
      <c r="J842" t="s">
        <v>13</v>
      </c>
      <c r="K842" t="s">
        <v>55</v>
      </c>
      <c r="L842" t="s">
        <v>24</v>
      </c>
      <c r="M842">
        <v>57.68</v>
      </c>
      <c r="N842">
        <v>4102.47</v>
      </c>
      <c r="O842" t="s">
        <v>76</v>
      </c>
      <c r="P842" t="s">
        <v>55</v>
      </c>
      <c r="Q842">
        <f t="shared" si="39"/>
        <v>0</v>
      </c>
      <c r="R842" t="str">
        <f t="shared" si="40"/>
        <v>49+ months</v>
      </c>
      <c r="S842" t="str">
        <f t="shared" si="41"/>
        <v>$50-$75</v>
      </c>
    </row>
    <row r="843" spans="1:19" x14ac:dyDescent="0.35">
      <c r="A843" t="s">
        <v>907</v>
      </c>
      <c r="B843">
        <v>49</v>
      </c>
      <c r="C843" t="s">
        <v>55</v>
      </c>
      <c r="D843" t="s">
        <v>56</v>
      </c>
      <c r="E843" t="s">
        <v>55</v>
      </c>
      <c r="F843">
        <v>6</v>
      </c>
      <c r="G843" t="s">
        <v>55</v>
      </c>
      <c r="H843" t="s">
        <v>60</v>
      </c>
      <c r="I843" t="s">
        <v>30</v>
      </c>
      <c r="J843" t="s">
        <v>12</v>
      </c>
      <c r="K843" t="s">
        <v>56</v>
      </c>
      <c r="L843" t="s">
        <v>24</v>
      </c>
      <c r="M843">
        <v>108.98</v>
      </c>
      <c r="N843">
        <v>623.29999999999995</v>
      </c>
      <c r="O843" t="s">
        <v>58</v>
      </c>
      <c r="P843" t="s">
        <v>55</v>
      </c>
      <c r="Q843">
        <f t="shared" si="39"/>
        <v>0</v>
      </c>
      <c r="R843" t="str">
        <f t="shared" si="40"/>
        <v>0-12 months</v>
      </c>
      <c r="S843" t="str">
        <f t="shared" si="41"/>
        <v>&gt; $100</v>
      </c>
    </row>
    <row r="844" spans="1:19" x14ac:dyDescent="0.35">
      <c r="A844" t="s">
        <v>908</v>
      </c>
      <c r="B844">
        <v>39</v>
      </c>
      <c r="C844" t="s">
        <v>55</v>
      </c>
      <c r="D844" t="s">
        <v>56</v>
      </c>
      <c r="E844" t="s">
        <v>56</v>
      </c>
      <c r="F844">
        <v>3</v>
      </c>
      <c r="G844" t="s">
        <v>56</v>
      </c>
      <c r="H844" t="s">
        <v>55</v>
      </c>
      <c r="I844" t="s">
        <v>31</v>
      </c>
      <c r="J844" t="s">
        <v>12</v>
      </c>
      <c r="K844" t="s">
        <v>55</v>
      </c>
      <c r="L844" t="s">
        <v>1066</v>
      </c>
      <c r="M844">
        <v>24.63</v>
      </c>
      <c r="N844">
        <v>75.260000000000005</v>
      </c>
      <c r="O844" t="s">
        <v>76</v>
      </c>
      <c r="P844" t="s">
        <v>55</v>
      </c>
      <c r="Q844">
        <f t="shared" si="39"/>
        <v>0</v>
      </c>
      <c r="R844" t="str">
        <f t="shared" si="40"/>
        <v>0-12 months</v>
      </c>
      <c r="S844" t="str">
        <f t="shared" si="41"/>
        <v>&lt; $50</v>
      </c>
    </row>
    <row r="845" spans="1:19" x14ac:dyDescent="0.35">
      <c r="A845" t="s">
        <v>909</v>
      </c>
      <c r="B845">
        <v>52</v>
      </c>
      <c r="C845" t="s">
        <v>55</v>
      </c>
      <c r="D845" t="s">
        <v>56</v>
      </c>
      <c r="E845" t="s">
        <v>56</v>
      </c>
      <c r="F845">
        <v>69</v>
      </c>
      <c r="G845" t="s">
        <v>56</v>
      </c>
      <c r="H845" t="s">
        <v>56</v>
      </c>
      <c r="I845" t="s">
        <v>30</v>
      </c>
      <c r="J845" t="s">
        <v>12</v>
      </c>
      <c r="K845" t="s">
        <v>55</v>
      </c>
      <c r="L845" t="s">
        <v>26</v>
      </c>
      <c r="M845">
        <v>80.78</v>
      </c>
      <c r="N845">
        <v>5729.89</v>
      </c>
      <c r="O845" t="s">
        <v>80</v>
      </c>
      <c r="P845" t="s">
        <v>55</v>
      </c>
      <c r="Q845">
        <f t="shared" si="39"/>
        <v>0</v>
      </c>
      <c r="R845" t="str">
        <f t="shared" si="40"/>
        <v>49+ months</v>
      </c>
      <c r="S845" t="str">
        <f t="shared" si="41"/>
        <v>$76-$100</v>
      </c>
    </row>
    <row r="846" spans="1:19" x14ac:dyDescent="0.35">
      <c r="A846" t="s">
        <v>910</v>
      </c>
      <c r="B846">
        <v>72</v>
      </c>
      <c r="C846" t="s">
        <v>56</v>
      </c>
      <c r="D846" t="s">
        <v>56</v>
      </c>
      <c r="E846" t="s">
        <v>56</v>
      </c>
      <c r="F846">
        <v>65</v>
      </c>
      <c r="G846" t="s">
        <v>55</v>
      </c>
      <c r="H846" t="s">
        <v>60</v>
      </c>
      <c r="I846" t="s">
        <v>30</v>
      </c>
      <c r="J846" t="s">
        <v>12</v>
      </c>
      <c r="K846" t="s">
        <v>55</v>
      </c>
      <c r="L846" t="s">
        <v>26</v>
      </c>
      <c r="M846">
        <v>81.5</v>
      </c>
      <c r="N846">
        <v>5470.67</v>
      </c>
      <c r="O846" t="s">
        <v>76</v>
      </c>
      <c r="P846" t="s">
        <v>56</v>
      </c>
      <c r="Q846">
        <f t="shared" si="39"/>
        <v>1</v>
      </c>
      <c r="R846" t="str">
        <f t="shared" si="40"/>
        <v>49+ months</v>
      </c>
      <c r="S846" t="str">
        <f t="shared" si="41"/>
        <v>$76-$100</v>
      </c>
    </row>
    <row r="847" spans="1:19" x14ac:dyDescent="0.35">
      <c r="A847" t="s">
        <v>911</v>
      </c>
      <c r="B847">
        <v>65</v>
      </c>
      <c r="C847" t="s">
        <v>56</v>
      </c>
      <c r="D847" t="s">
        <v>56</v>
      </c>
      <c r="E847" t="s">
        <v>55</v>
      </c>
      <c r="F847">
        <v>52</v>
      </c>
      <c r="G847" t="s">
        <v>55</v>
      </c>
      <c r="H847" t="s">
        <v>60</v>
      </c>
      <c r="I847" t="s">
        <v>30</v>
      </c>
      <c r="J847" t="s">
        <v>14</v>
      </c>
      <c r="K847" t="s">
        <v>56</v>
      </c>
      <c r="L847" t="s">
        <v>26</v>
      </c>
      <c r="M847">
        <v>106.11</v>
      </c>
      <c r="N847">
        <v>5691.45</v>
      </c>
      <c r="O847" t="s">
        <v>80</v>
      </c>
      <c r="P847" t="s">
        <v>55</v>
      </c>
      <c r="Q847">
        <f t="shared" si="39"/>
        <v>0</v>
      </c>
      <c r="R847" t="str">
        <f t="shared" si="40"/>
        <v>49+ months</v>
      </c>
      <c r="S847" t="str">
        <f t="shared" si="41"/>
        <v>&gt; $100</v>
      </c>
    </row>
    <row r="848" spans="1:19" x14ac:dyDescent="0.35">
      <c r="A848" t="s">
        <v>912</v>
      </c>
      <c r="B848">
        <v>65</v>
      </c>
      <c r="C848" t="s">
        <v>56</v>
      </c>
      <c r="D848" t="s">
        <v>56</v>
      </c>
      <c r="E848" t="s">
        <v>56</v>
      </c>
      <c r="F848">
        <v>51</v>
      </c>
      <c r="G848" t="s">
        <v>55</v>
      </c>
      <c r="H848" t="s">
        <v>60</v>
      </c>
      <c r="I848" t="s">
        <v>30</v>
      </c>
      <c r="J848" t="s">
        <v>13</v>
      </c>
      <c r="K848" t="s">
        <v>55</v>
      </c>
      <c r="L848" t="s">
        <v>24</v>
      </c>
      <c r="M848">
        <v>71.17</v>
      </c>
      <c r="N848">
        <v>3531.26</v>
      </c>
      <c r="O848" t="s">
        <v>76</v>
      </c>
      <c r="P848" t="s">
        <v>56</v>
      </c>
      <c r="Q848">
        <f t="shared" si="39"/>
        <v>1</v>
      </c>
      <c r="R848" t="str">
        <f t="shared" si="40"/>
        <v>49+ months</v>
      </c>
      <c r="S848" t="str">
        <f t="shared" si="41"/>
        <v>$50-$75</v>
      </c>
    </row>
    <row r="849" spans="1:19" x14ac:dyDescent="0.35">
      <c r="A849" t="s">
        <v>913</v>
      </c>
      <c r="B849">
        <v>59</v>
      </c>
      <c r="C849" t="s">
        <v>55</v>
      </c>
      <c r="D849" t="s">
        <v>55</v>
      </c>
      <c r="E849" t="s">
        <v>55</v>
      </c>
      <c r="F849">
        <v>38</v>
      </c>
      <c r="G849" t="s">
        <v>56</v>
      </c>
      <c r="H849" t="s">
        <v>55</v>
      </c>
      <c r="I849" t="s">
        <v>30</v>
      </c>
      <c r="J849" t="s">
        <v>13</v>
      </c>
      <c r="K849" t="s">
        <v>55</v>
      </c>
      <c r="L849" t="s">
        <v>26</v>
      </c>
      <c r="M849">
        <v>105.14</v>
      </c>
      <c r="N849">
        <v>3998.48</v>
      </c>
      <c r="O849" t="s">
        <v>64</v>
      </c>
      <c r="P849" t="s">
        <v>55</v>
      </c>
      <c r="Q849">
        <f t="shared" si="39"/>
        <v>0</v>
      </c>
      <c r="R849" t="str">
        <f t="shared" si="40"/>
        <v>25-48 months</v>
      </c>
      <c r="S849" t="str">
        <f t="shared" si="41"/>
        <v>&gt; $100</v>
      </c>
    </row>
    <row r="850" spans="1:19" x14ac:dyDescent="0.35">
      <c r="A850" t="s">
        <v>914</v>
      </c>
      <c r="B850">
        <v>64</v>
      </c>
      <c r="C850" t="s">
        <v>56</v>
      </c>
      <c r="D850" t="s">
        <v>55</v>
      </c>
      <c r="E850" t="s">
        <v>55</v>
      </c>
      <c r="F850">
        <v>70</v>
      </c>
      <c r="G850" t="s">
        <v>55</v>
      </c>
      <c r="H850" t="s">
        <v>60</v>
      </c>
      <c r="I850" t="s">
        <v>29</v>
      </c>
      <c r="J850" t="s">
        <v>12</v>
      </c>
      <c r="K850" t="s">
        <v>56</v>
      </c>
      <c r="L850" t="s">
        <v>24</v>
      </c>
      <c r="M850">
        <v>49.28</v>
      </c>
      <c r="N850">
        <v>3395.71</v>
      </c>
      <c r="O850" t="s">
        <v>69</v>
      </c>
      <c r="P850" t="s">
        <v>55</v>
      </c>
      <c r="Q850">
        <f t="shared" si="39"/>
        <v>0</v>
      </c>
      <c r="R850" t="str">
        <f t="shared" si="40"/>
        <v>49+ months</v>
      </c>
      <c r="S850" t="str">
        <f t="shared" si="41"/>
        <v>&lt; $50</v>
      </c>
    </row>
    <row r="851" spans="1:19" x14ac:dyDescent="0.35">
      <c r="A851" t="s">
        <v>915</v>
      </c>
      <c r="B851">
        <v>37</v>
      </c>
      <c r="C851" t="s">
        <v>55</v>
      </c>
      <c r="D851" t="s">
        <v>55</v>
      </c>
      <c r="E851" t="s">
        <v>56</v>
      </c>
      <c r="F851">
        <v>11</v>
      </c>
      <c r="G851" t="s">
        <v>56</v>
      </c>
      <c r="H851" t="s">
        <v>56</v>
      </c>
      <c r="I851" t="s">
        <v>30</v>
      </c>
      <c r="J851" t="s">
        <v>14</v>
      </c>
      <c r="K851" t="s">
        <v>56</v>
      </c>
      <c r="L851" t="s">
        <v>26</v>
      </c>
      <c r="M851">
        <v>90.16</v>
      </c>
      <c r="N851">
        <v>1031.99</v>
      </c>
      <c r="O851" t="s">
        <v>66</v>
      </c>
      <c r="P851" t="s">
        <v>55</v>
      </c>
      <c r="Q851">
        <f t="shared" si="39"/>
        <v>0</v>
      </c>
      <c r="R851" t="str">
        <f t="shared" si="40"/>
        <v>0-12 months</v>
      </c>
      <c r="S851" t="str">
        <f t="shared" si="41"/>
        <v>$76-$100</v>
      </c>
    </row>
    <row r="852" spans="1:19" x14ac:dyDescent="0.35">
      <c r="A852" t="s">
        <v>916</v>
      </c>
      <c r="B852">
        <v>54</v>
      </c>
      <c r="C852" t="s">
        <v>55</v>
      </c>
      <c r="D852" t="s">
        <v>56</v>
      </c>
      <c r="E852" t="s">
        <v>56</v>
      </c>
      <c r="F852">
        <v>64</v>
      </c>
      <c r="G852" t="s">
        <v>55</v>
      </c>
      <c r="H852" t="s">
        <v>60</v>
      </c>
      <c r="I852" t="s">
        <v>30</v>
      </c>
      <c r="J852" t="s">
        <v>13</v>
      </c>
      <c r="K852" t="s">
        <v>56</v>
      </c>
      <c r="L852" t="s">
        <v>26</v>
      </c>
      <c r="M852">
        <v>104.45</v>
      </c>
      <c r="N852">
        <v>6764</v>
      </c>
      <c r="O852" t="s">
        <v>76</v>
      </c>
      <c r="P852" t="s">
        <v>55</v>
      </c>
      <c r="Q852">
        <f t="shared" si="39"/>
        <v>0</v>
      </c>
      <c r="R852" t="str">
        <f t="shared" si="40"/>
        <v>49+ months</v>
      </c>
      <c r="S852" t="str">
        <f t="shared" si="41"/>
        <v>&gt; $100</v>
      </c>
    </row>
    <row r="853" spans="1:19" x14ac:dyDescent="0.35">
      <c r="A853" t="s">
        <v>917</v>
      </c>
      <c r="B853">
        <v>62</v>
      </c>
      <c r="C853" t="s">
        <v>56</v>
      </c>
      <c r="D853" t="s">
        <v>56</v>
      </c>
      <c r="E853" t="s">
        <v>55</v>
      </c>
      <c r="F853">
        <v>70</v>
      </c>
      <c r="G853" t="s">
        <v>56</v>
      </c>
      <c r="H853" t="s">
        <v>56</v>
      </c>
      <c r="I853" t="s">
        <v>29</v>
      </c>
      <c r="J853" t="s">
        <v>13</v>
      </c>
      <c r="K853" t="s">
        <v>56</v>
      </c>
      <c r="L853" t="s">
        <v>25</v>
      </c>
      <c r="M853">
        <v>57.03</v>
      </c>
      <c r="N853">
        <v>3789.7</v>
      </c>
      <c r="O853" t="s">
        <v>80</v>
      </c>
      <c r="P853" t="s">
        <v>56</v>
      </c>
      <c r="Q853">
        <f t="shared" si="39"/>
        <v>1</v>
      </c>
      <c r="R853" t="str">
        <f t="shared" si="40"/>
        <v>49+ months</v>
      </c>
      <c r="S853" t="str">
        <f t="shared" si="41"/>
        <v>$50-$75</v>
      </c>
    </row>
    <row r="854" spans="1:19" x14ac:dyDescent="0.35">
      <c r="A854" t="s">
        <v>918</v>
      </c>
      <c r="B854">
        <v>28</v>
      </c>
      <c r="C854" t="s">
        <v>55</v>
      </c>
      <c r="D854" t="s">
        <v>56</v>
      </c>
      <c r="E854" t="s">
        <v>56</v>
      </c>
      <c r="F854">
        <v>26</v>
      </c>
      <c r="G854" t="s">
        <v>56</v>
      </c>
      <c r="H854" t="s">
        <v>56</v>
      </c>
      <c r="I854" t="s">
        <v>30</v>
      </c>
      <c r="J854" t="s">
        <v>12</v>
      </c>
      <c r="K854" t="s">
        <v>56</v>
      </c>
      <c r="L854" t="s">
        <v>1066</v>
      </c>
      <c r="M854">
        <v>96.23</v>
      </c>
      <c r="N854">
        <v>2393.85</v>
      </c>
      <c r="O854" t="s">
        <v>64</v>
      </c>
      <c r="P854" t="s">
        <v>55</v>
      </c>
      <c r="Q854">
        <f t="shared" si="39"/>
        <v>0</v>
      </c>
      <c r="R854" t="str">
        <f t="shared" si="40"/>
        <v>25-48 months</v>
      </c>
      <c r="S854" t="str">
        <f t="shared" si="41"/>
        <v>$76-$100</v>
      </c>
    </row>
    <row r="855" spans="1:19" x14ac:dyDescent="0.35">
      <c r="A855" t="s">
        <v>919</v>
      </c>
      <c r="B855">
        <v>43</v>
      </c>
      <c r="C855" t="s">
        <v>55</v>
      </c>
      <c r="D855" t="s">
        <v>56</v>
      </c>
      <c r="E855" t="s">
        <v>55</v>
      </c>
      <c r="F855">
        <v>16</v>
      </c>
      <c r="G855" t="s">
        <v>55</v>
      </c>
      <c r="H855" t="s">
        <v>60</v>
      </c>
      <c r="I855" t="s">
        <v>30</v>
      </c>
      <c r="J855" t="s">
        <v>13</v>
      </c>
      <c r="K855" t="s">
        <v>55</v>
      </c>
      <c r="L855" t="s">
        <v>24</v>
      </c>
      <c r="M855">
        <v>100.76</v>
      </c>
      <c r="N855">
        <v>1587.33</v>
      </c>
      <c r="O855" t="s">
        <v>62</v>
      </c>
      <c r="P855" t="s">
        <v>55</v>
      </c>
      <c r="Q855">
        <f t="shared" si="39"/>
        <v>0</v>
      </c>
      <c r="R855" t="str">
        <f t="shared" si="40"/>
        <v>13-24 months</v>
      </c>
      <c r="S855" t="str">
        <f t="shared" si="41"/>
        <v>&gt; $100</v>
      </c>
    </row>
    <row r="856" spans="1:19" x14ac:dyDescent="0.35">
      <c r="A856" t="s">
        <v>920</v>
      </c>
      <c r="B856">
        <v>36</v>
      </c>
      <c r="C856" t="s">
        <v>55</v>
      </c>
      <c r="D856" t="s">
        <v>56</v>
      </c>
      <c r="E856" t="s">
        <v>55</v>
      </c>
      <c r="F856">
        <v>67</v>
      </c>
      <c r="G856" t="s">
        <v>55</v>
      </c>
      <c r="H856" t="s">
        <v>60</v>
      </c>
      <c r="I856" t="s">
        <v>29</v>
      </c>
      <c r="J856" t="s">
        <v>12</v>
      </c>
      <c r="K856" t="s">
        <v>55</v>
      </c>
      <c r="L856" t="s">
        <v>25</v>
      </c>
      <c r="M856">
        <v>68.81</v>
      </c>
      <c r="N856">
        <v>4805.2299999999996</v>
      </c>
      <c r="O856" t="s">
        <v>58</v>
      </c>
      <c r="P856" t="s">
        <v>56</v>
      </c>
      <c r="Q856">
        <f t="shared" si="39"/>
        <v>1</v>
      </c>
      <c r="R856" t="str">
        <f t="shared" si="40"/>
        <v>49+ months</v>
      </c>
      <c r="S856" t="str">
        <f t="shared" si="41"/>
        <v>$50-$75</v>
      </c>
    </row>
    <row r="857" spans="1:19" x14ac:dyDescent="0.35">
      <c r="A857" t="s">
        <v>921</v>
      </c>
      <c r="B857">
        <v>63</v>
      </c>
      <c r="C857" t="s">
        <v>56</v>
      </c>
      <c r="D857" t="s">
        <v>55</v>
      </c>
      <c r="E857" t="s">
        <v>56</v>
      </c>
      <c r="F857">
        <v>41</v>
      </c>
      <c r="G857" t="s">
        <v>56</v>
      </c>
      <c r="H857" t="s">
        <v>55</v>
      </c>
      <c r="I857" t="s">
        <v>30</v>
      </c>
      <c r="J857" t="s">
        <v>14</v>
      </c>
      <c r="K857" t="s">
        <v>56</v>
      </c>
      <c r="L857" t="s">
        <v>26</v>
      </c>
      <c r="M857">
        <v>79.38</v>
      </c>
      <c r="N857">
        <v>3330.36</v>
      </c>
      <c r="O857" t="s">
        <v>76</v>
      </c>
      <c r="P857" t="s">
        <v>55</v>
      </c>
      <c r="Q857">
        <f t="shared" si="39"/>
        <v>0</v>
      </c>
      <c r="R857" t="str">
        <f t="shared" si="40"/>
        <v>25-48 months</v>
      </c>
      <c r="S857" t="str">
        <f t="shared" si="41"/>
        <v>$76-$100</v>
      </c>
    </row>
    <row r="858" spans="1:19" x14ac:dyDescent="0.35">
      <c r="A858" t="s">
        <v>922</v>
      </c>
      <c r="B858">
        <v>24</v>
      </c>
      <c r="C858" t="s">
        <v>55</v>
      </c>
      <c r="D858" t="s">
        <v>56</v>
      </c>
      <c r="E858" t="s">
        <v>55</v>
      </c>
      <c r="F858">
        <v>21</v>
      </c>
      <c r="G858" t="s">
        <v>56</v>
      </c>
      <c r="H858" t="s">
        <v>56</v>
      </c>
      <c r="I858" t="s">
        <v>30</v>
      </c>
      <c r="J858" t="s">
        <v>12</v>
      </c>
      <c r="K858" t="s">
        <v>56</v>
      </c>
      <c r="L858" t="s">
        <v>26</v>
      </c>
      <c r="M858">
        <v>111.04</v>
      </c>
      <c r="N858">
        <v>2434.84</v>
      </c>
      <c r="O858" t="s">
        <v>76</v>
      </c>
      <c r="P858" t="s">
        <v>55</v>
      </c>
      <c r="Q858">
        <f t="shared" si="39"/>
        <v>0</v>
      </c>
      <c r="R858" t="str">
        <f t="shared" si="40"/>
        <v>13-24 months</v>
      </c>
      <c r="S858" t="str">
        <f t="shared" si="41"/>
        <v>&gt; $100</v>
      </c>
    </row>
    <row r="859" spans="1:19" x14ac:dyDescent="0.35">
      <c r="A859" t="s">
        <v>923</v>
      </c>
      <c r="B859">
        <v>41</v>
      </c>
      <c r="C859" t="s">
        <v>55</v>
      </c>
      <c r="D859" t="s">
        <v>55</v>
      </c>
      <c r="E859" t="s">
        <v>55</v>
      </c>
      <c r="F859">
        <v>72</v>
      </c>
      <c r="G859" t="s">
        <v>56</v>
      </c>
      <c r="H859" t="s">
        <v>56</v>
      </c>
      <c r="I859" t="s">
        <v>29</v>
      </c>
      <c r="J859" t="s">
        <v>12</v>
      </c>
      <c r="K859" t="s">
        <v>56</v>
      </c>
      <c r="L859" t="s">
        <v>26</v>
      </c>
      <c r="M859">
        <v>50.52</v>
      </c>
      <c r="N859">
        <v>3463.86</v>
      </c>
      <c r="O859" t="s">
        <v>58</v>
      </c>
      <c r="P859" t="s">
        <v>55</v>
      </c>
      <c r="Q859">
        <f t="shared" si="39"/>
        <v>0</v>
      </c>
      <c r="R859" t="str">
        <f t="shared" si="40"/>
        <v>49+ months</v>
      </c>
      <c r="S859" t="str">
        <f t="shared" si="41"/>
        <v>$50-$75</v>
      </c>
    </row>
    <row r="860" spans="1:19" x14ac:dyDescent="0.35">
      <c r="A860" t="s">
        <v>924</v>
      </c>
      <c r="B860">
        <v>59</v>
      </c>
      <c r="C860" t="s">
        <v>55</v>
      </c>
      <c r="D860" t="s">
        <v>55</v>
      </c>
      <c r="E860" t="s">
        <v>55</v>
      </c>
      <c r="F860">
        <v>36</v>
      </c>
      <c r="G860" t="s">
        <v>55</v>
      </c>
      <c r="H860" t="s">
        <v>60</v>
      </c>
      <c r="I860" t="s">
        <v>31</v>
      </c>
      <c r="J860" t="s">
        <v>12</v>
      </c>
      <c r="K860" t="s">
        <v>56</v>
      </c>
      <c r="L860" t="s">
        <v>1066</v>
      </c>
      <c r="M860">
        <v>29.87</v>
      </c>
      <c r="N860">
        <v>1022.59</v>
      </c>
      <c r="O860" t="s">
        <v>62</v>
      </c>
      <c r="P860" t="s">
        <v>55</v>
      </c>
      <c r="Q860">
        <f t="shared" si="39"/>
        <v>0</v>
      </c>
      <c r="R860" t="str">
        <f t="shared" si="40"/>
        <v>25-48 months</v>
      </c>
      <c r="S860" t="str">
        <f t="shared" si="41"/>
        <v>&lt; $50</v>
      </c>
    </row>
    <row r="861" spans="1:19" x14ac:dyDescent="0.35">
      <c r="A861" t="s">
        <v>925</v>
      </c>
      <c r="B861">
        <v>27</v>
      </c>
      <c r="C861" t="s">
        <v>55</v>
      </c>
      <c r="D861" t="s">
        <v>56</v>
      </c>
      <c r="E861" t="s">
        <v>55</v>
      </c>
      <c r="F861">
        <v>1</v>
      </c>
      <c r="G861" t="s">
        <v>56</v>
      </c>
      <c r="H861" t="s">
        <v>56</v>
      </c>
      <c r="I861" t="s">
        <v>30</v>
      </c>
      <c r="J861" t="s">
        <v>14</v>
      </c>
      <c r="K861" t="s">
        <v>55</v>
      </c>
      <c r="L861" t="s">
        <v>1066</v>
      </c>
      <c r="M861">
        <v>86.35</v>
      </c>
      <c r="N861">
        <v>86.35</v>
      </c>
      <c r="O861" t="s">
        <v>58</v>
      </c>
      <c r="P861" t="s">
        <v>56</v>
      </c>
      <c r="Q861">
        <f t="shared" si="39"/>
        <v>1</v>
      </c>
      <c r="R861" t="str">
        <f t="shared" si="40"/>
        <v>0-12 months</v>
      </c>
      <c r="S861" t="str">
        <f t="shared" si="41"/>
        <v>$76-$100</v>
      </c>
    </row>
    <row r="862" spans="1:19" x14ac:dyDescent="0.35">
      <c r="A862" t="s">
        <v>926</v>
      </c>
      <c r="B862">
        <v>43</v>
      </c>
      <c r="C862" t="s">
        <v>55</v>
      </c>
      <c r="D862" t="s">
        <v>55</v>
      </c>
      <c r="E862" t="s">
        <v>55</v>
      </c>
      <c r="F862">
        <v>61</v>
      </c>
      <c r="G862" t="s">
        <v>55</v>
      </c>
      <c r="H862" t="s">
        <v>60</v>
      </c>
      <c r="I862" t="s">
        <v>30</v>
      </c>
      <c r="J862" t="s">
        <v>12</v>
      </c>
      <c r="K862" t="s">
        <v>56</v>
      </c>
      <c r="L862" t="s">
        <v>25</v>
      </c>
      <c r="M862">
        <v>117.27</v>
      </c>
      <c r="N862">
        <v>7439.84</v>
      </c>
      <c r="O862" t="s">
        <v>66</v>
      </c>
      <c r="P862" t="s">
        <v>55</v>
      </c>
      <c r="Q862">
        <f t="shared" si="39"/>
        <v>0</v>
      </c>
      <c r="R862" t="str">
        <f t="shared" si="40"/>
        <v>49+ months</v>
      </c>
      <c r="S862" t="str">
        <f t="shared" si="41"/>
        <v>&gt; $100</v>
      </c>
    </row>
    <row r="863" spans="1:19" x14ac:dyDescent="0.35">
      <c r="A863" t="s">
        <v>927</v>
      </c>
      <c r="B863">
        <v>45</v>
      </c>
      <c r="C863" t="s">
        <v>55</v>
      </c>
      <c r="D863" t="s">
        <v>55</v>
      </c>
      <c r="E863" t="s">
        <v>55</v>
      </c>
      <c r="F863">
        <v>33</v>
      </c>
      <c r="G863" t="s">
        <v>55</v>
      </c>
      <c r="H863" t="s">
        <v>60</v>
      </c>
      <c r="I863" t="s">
        <v>29</v>
      </c>
      <c r="J863" t="s">
        <v>13</v>
      </c>
      <c r="K863" t="s">
        <v>56</v>
      </c>
      <c r="L863" t="s">
        <v>26</v>
      </c>
      <c r="M863">
        <v>54.63</v>
      </c>
      <c r="N863">
        <v>1795.45</v>
      </c>
      <c r="O863" t="s">
        <v>69</v>
      </c>
      <c r="P863" t="s">
        <v>55</v>
      </c>
      <c r="Q863">
        <f t="shared" si="39"/>
        <v>0</v>
      </c>
      <c r="R863" t="str">
        <f t="shared" si="40"/>
        <v>25-48 months</v>
      </c>
      <c r="S863" t="str">
        <f t="shared" si="41"/>
        <v>$50-$75</v>
      </c>
    </row>
    <row r="864" spans="1:19" x14ac:dyDescent="0.35">
      <c r="A864" t="s">
        <v>928</v>
      </c>
      <c r="B864">
        <v>45</v>
      </c>
      <c r="C864" t="s">
        <v>55</v>
      </c>
      <c r="D864" t="s">
        <v>56</v>
      </c>
      <c r="E864" t="s">
        <v>56</v>
      </c>
      <c r="F864">
        <v>49</v>
      </c>
      <c r="G864" t="s">
        <v>56</v>
      </c>
      <c r="H864" t="s">
        <v>56</v>
      </c>
      <c r="I864" t="s">
        <v>30</v>
      </c>
      <c r="J864" t="s">
        <v>12</v>
      </c>
      <c r="K864" t="s">
        <v>56</v>
      </c>
      <c r="L864" t="s">
        <v>26</v>
      </c>
      <c r="M864">
        <v>85.52</v>
      </c>
      <c r="N864">
        <v>3986.37</v>
      </c>
      <c r="O864" t="s">
        <v>76</v>
      </c>
      <c r="P864" t="s">
        <v>56</v>
      </c>
      <c r="Q864">
        <f t="shared" si="39"/>
        <v>1</v>
      </c>
      <c r="R864" t="str">
        <f t="shared" si="40"/>
        <v>49+ months</v>
      </c>
      <c r="S864" t="str">
        <f t="shared" si="41"/>
        <v>$76-$100</v>
      </c>
    </row>
    <row r="865" spans="1:19" x14ac:dyDescent="0.35">
      <c r="A865" t="s">
        <v>929</v>
      </c>
      <c r="B865">
        <v>50</v>
      </c>
      <c r="C865" t="s">
        <v>55</v>
      </c>
      <c r="D865" t="s">
        <v>56</v>
      </c>
      <c r="E865" t="s">
        <v>55</v>
      </c>
      <c r="F865">
        <v>5</v>
      </c>
      <c r="G865" t="s">
        <v>55</v>
      </c>
      <c r="H865" t="s">
        <v>60</v>
      </c>
      <c r="I865" t="s">
        <v>29</v>
      </c>
      <c r="J865" t="s">
        <v>12</v>
      </c>
      <c r="K865" t="s">
        <v>55</v>
      </c>
      <c r="L865" t="s">
        <v>26</v>
      </c>
      <c r="M865">
        <v>42.29</v>
      </c>
      <c r="N865">
        <v>213.28</v>
      </c>
      <c r="O865" t="s">
        <v>69</v>
      </c>
      <c r="P865" t="s">
        <v>56</v>
      </c>
      <c r="Q865">
        <f t="shared" si="39"/>
        <v>1</v>
      </c>
      <c r="R865" t="str">
        <f t="shared" si="40"/>
        <v>0-12 months</v>
      </c>
      <c r="S865" t="str">
        <f t="shared" si="41"/>
        <v>&lt; $50</v>
      </c>
    </row>
    <row r="866" spans="1:19" x14ac:dyDescent="0.35">
      <c r="A866" t="s">
        <v>930</v>
      </c>
      <c r="B866">
        <v>48</v>
      </c>
      <c r="C866" t="s">
        <v>55</v>
      </c>
      <c r="D866" t="s">
        <v>55</v>
      </c>
      <c r="E866" t="s">
        <v>55</v>
      </c>
      <c r="F866">
        <v>23</v>
      </c>
      <c r="G866" t="s">
        <v>56</v>
      </c>
      <c r="H866" t="s">
        <v>56</v>
      </c>
      <c r="I866" t="s">
        <v>29</v>
      </c>
      <c r="J866" t="s">
        <v>12</v>
      </c>
      <c r="K866" t="s">
        <v>56</v>
      </c>
      <c r="L866" t="s">
        <v>1066</v>
      </c>
      <c r="M866">
        <v>47.08</v>
      </c>
      <c r="N866">
        <v>1128.44</v>
      </c>
      <c r="O866" t="s">
        <v>66</v>
      </c>
      <c r="P866" t="s">
        <v>56</v>
      </c>
      <c r="Q866">
        <f t="shared" si="39"/>
        <v>1</v>
      </c>
      <c r="R866" t="str">
        <f t="shared" si="40"/>
        <v>13-24 months</v>
      </c>
      <c r="S866" t="str">
        <f t="shared" si="41"/>
        <v>&lt; $50</v>
      </c>
    </row>
    <row r="867" spans="1:19" x14ac:dyDescent="0.35">
      <c r="A867" t="s">
        <v>931</v>
      </c>
      <c r="B867">
        <v>72</v>
      </c>
      <c r="C867" t="s">
        <v>56</v>
      </c>
      <c r="D867" t="s">
        <v>56</v>
      </c>
      <c r="E867" t="s">
        <v>56</v>
      </c>
      <c r="F867">
        <v>57</v>
      </c>
      <c r="G867" t="s">
        <v>56</v>
      </c>
      <c r="H867" t="s">
        <v>56</v>
      </c>
      <c r="I867" t="s">
        <v>29</v>
      </c>
      <c r="J867" t="s">
        <v>14</v>
      </c>
      <c r="K867" t="s">
        <v>55</v>
      </c>
      <c r="L867" t="s">
        <v>25</v>
      </c>
      <c r="M867">
        <v>47.77</v>
      </c>
      <c r="N867">
        <v>2760.14</v>
      </c>
      <c r="O867" t="s">
        <v>66</v>
      </c>
      <c r="P867" t="s">
        <v>56</v>
      </c>
      <c r="Q867">
        <f t="shared" si="39"/>
        <v>1</v>
      </c>
      <c r="R867" t="str">
        <f t="shared" si="40"/>
        <v>49+ months</v>
      </c>
      <c r="S867" t="str">
        <f t="shared" si="41"/>
        <v>&lt; $50</v>
      </c>
    </row>
    <row r="868" spans="1:19" x14ac:dyDescent="0.35">
      <c r="A868" t="s">
        <v>932</v>
      </c>
      <c r="B868">
        <v>61</v>
      </c>
      <c r="C868" t="s">
        <v>56</v>
      </c>
      <c r="D868" t="s">
        <v>55</v>
      </c>
      <c r="E868" t="s">
        <v>56</v>
      </c>
      <c r="F868">
        <v>47</v>
      </c>
      <c r="G868" t="s">
        <v>55</v>
      </c>
      <c r="H868" t="s">
        <v>60</v>
      </c>
      <c r="I868" t="s">
        <v>29</v>
      </c>
      <c r="J868" t="s">
        <v>12</v>
      </c>
      <c r="K868" t="s">
        <v>56</v>
      </c>
      <c r="L868" t="s">
        <v>26</v>
      </c>
      <c r="M868">
        <v>73</v>
      </c>
      <c r="N868">
        <v>3431.63</v>
      </c>
      <c r="O868" t="s">
        <v>80</v>
      </c>
      <c r="P868" t="s">
        <v>55</v>
      </c>
      <c r="Q868">
        <f t="shared" si="39"/>
        <v>0</v>
      </c>
      <c r="R868" t="str">
        <f t="shared" si="40"/>
        <v>25-48 months</v>
      </c>
      <c r="S868" t="str">
        <f t="shared" si="41"/>
        <v>$50-$75</v>
      </c>
    </row>
    <row r="869" spans="1:19" x14ac:dyDescent="0.35">
      <c r="A869" t="s">
        <v>933</v>
      </c>
      <c r="B869">
        <v>29</v>
      </c>
      <c r="C869" t="s">
        <v>55</v>
      </c>
      <c r="D869" t="s">
        <v>55</v>
      </c>
      <c r="E869" t="s">
        <v>56</v>
      </c>
      <c r="F869">
        <v>36</v>
      </c>
      <c r="G869" t="s">
        <v>55</v>
      </c>
      <c r="H869" t="s">
        <v>60</v>
      </c>
      <c r="I869" t="s">
        <v>29</v>
      </c>
      <c r="J869" t="s">
        <v>12</v>
      </c>
      <c r="K869" t="s">
        <v>56</v>
      </c>
      <c r="L869" t="s">
        <v>26</v>
      </c>
      <c r="M869">
        <v>62.42</v>
      </c>
      <c r="N869">
        <v>2144.04</v>
      </c>
      <c r="O869" t="s">
        <v>66</v>
      </c>
      <c r="P869" t="s">
        <v>55</v>
      </c>
      <c r="Q869">
        <f t="shared" si="39"/>
        <v>0</v>
      </c>
      <c r="R869" t="str">
        <f t="shared" si="40"/>
        <v>25-48 months</v>
      </c>
      <c r="S869" t="str">
        <f t="shared" si="41"/>
        <v>$50-$75</v>
      </c>
    </row>
    <row r="870" spans="1:19" x14ac:dyDescent="0.35">
      <c r="A870" t="s">
        <v>934</v>
      </c>
      <c r="B870">
        <v>62</v>
      </c>
      <c r="C870" t="s">
        <v>56</v>
      </c>
      <c r="D870" t="s">
        <v>56</v>
      </c>
      <c r="E870" t="s">
        <v>55</v>
      </c>
      <c r="F870">
        <v>12</v>
      </c>
      <c r="G870" t="s">
        <v>56</v>
      </c>
      <c r="H870" t="s">
        <v>56</v>
      </c>
      <c r="I870" t="s">
        <v>30</v>
      </c>
      <c r="J870" t="s">
        <v>12</v>
      </c>
      <c r="K870" t="s">
        <v>55</v>
      </c>
      <c r="L870" t="s">
        <v>24</v>
      </c>
      <c r="M870">
        <v>118.29</v>
      </c>
      <c r="N870">
        <v>1464.91</v>
      </c>
      <c r="O870" t="s">
        <v>62</v>
      </c>
      <c r="P870" t="s">
        <v>55</v>
      </c>
      <c r="Q870">
        <f t="shared" si="39"/>
        <v>0</v>
      </c>
      <c r="R870" t="str">
        <f t="shared" si="40"/>
        <v>0-12 months</v>
      </c>
      <c r="S870" t="str">
        <f t="shared" si="41"/>
        <v>&gt; $100</v>
      </c>
    </row>
    <row r="871" spans="1:19" x14ac:dyDescent="0.35">
      <c r="A871" t="s">
        <v>935</v>
      </c>
      <c r="B871">
        <v>58</v>
      </c>
      <c r="C871" t="s">
        <v>55</v>
      </c>
      <c r="D871" t="s">
        <v>55</v>
      </c>
      <c r="E871" t="s">
        <v>55</v>
      </c>
      <c r="F871">
        <v>11</v>
      </c>
      <c r="G871" t="s">
        <v>56</v>
      </c>
      <c r="H871" t="s">
        <v>56</v>
      </c>
      <c r="I871" t="s">
        <v>31</v>
      </c>
      <c r="J871" t="s">
        <v>13</v>
      </c>
      <c r="K871" t="s">
        <v>56</v>
      </c>
      <c r="L871" t="s">
        <v>1066</v>
      </c>
      <c r="M871">
        <v>26.86</v>
      </c>
      <c r="N871">
        <v>288.74</v>
      </c>
      <c r="O871" t="s">
        <v>76</v>
      </c>
      <c r="P871" t="s">
        <v>55</v>
      </c>
      <c r="Q871">
        <f t="shared" si="39"/>
        <v>0</v>
      </c>
      <c r="R871" t="str">
        <f t="shared" si="40"/>
        <v>0-12 months</v>
      </c>
      <c r="S871" t="str">
        <f t="shared" si="41"/>
        <v>&lt; $50</v>
      </c>
    </row>
    <row r="872" spans="1:19" x14ac:dyDescent="0.35">
      <c r="A872" t="s">
        <v>936</v>
      </c>
      <c r="B872">
        <v>29</v>
      </c>
      <c r="C872" t="s">
        <v>55</v>
      </c>
      <c r="D872" t="s">
        <v>55</v>
      </c>
      <c r="E872" t="s">
        <v>56</v>
      </c>
      <c r="F872">
        <v>41</v>
      </c>
      <c r="G872" t="s">
        <v>56</v>
      </c>
      <c r="H872" t="s">
        <v>56</v>
      </c>
      <c r="I872" t="s">
        <v>30</v>
      </c>
      <c r="J872" t="s">
        <v>12</v>
      </c>
      <c r="K872" t="s">
        <v>55</v>
      </c>
      <c r="L872" t="s">
        <v>26</v>
      </c>
      <c r="M872">
        <v>91.98</v>
      </c>
      <c r="N872">
        <v>3586.73</v>
      </c>
      <c r="O872" t="s">
        <v>76</v>
      </c>
      <c r="P872" t="s">
        <v>56</v>
      </c>
      <c r="Q872">
        <f t="shared" si="39"/>
        <v>1</v>
      </c>
      <c r="R872" t="str">
        <f t="shared" si="40"/>
        <v>25-48 months</v>
      </c>
      <c r="S872" t="str">
        <f t="shared" si="41"/>
        <v>$76-$100</v>
      </c>
    </row>
    <row r="873" spans="1:19" x14ac:dyDescent="0.35">
      <c r="A873" t="s">
        <v>937</v>
      </c>
      <c r="B873">
        <v>40</v>
      </c>
      <c r="C873" t="s">
        <v>55</v>
      </c>
      <c r="D873" t="s">
        <v>55</v>
      </c>
      <c r="E873" t="s">
        <v>56</v>
      </c>
      <c r="F873">
        <v>5</v>
      </c>
      <c r="G873" t="s">
        <v>55</v>
      </c>
      <c r="H873" t="s">
        <v>60</v>
      </c>
      <c r="I873" t="s">
        <v>31</v>
      </c>
      <c r="J873" t="s">
        <v>12</v>
      </c>
      <c r="K873" t="s">
        <v>56</v>
      </c>
      <c r="L873" t="s">
        <v>25</v>
      </c>
      <c r="M873">
        <v>23.21</v>
      </c>
      <c r="N873">
        <v>118.08</v>
      </c>
      <c r="O873" t="s">
        <v>76</v>
      </c>
      <c r="P873" t="s">
        <v>55</v>
      </c>
      <c r="Q873">
        <f t="shared" si="39"/>
        <v>0</v>
      </c>
      <c r="R873" t="str">
        <f t="shared" si="40"/>
        <v>0-12 months</v>
      </c>
      <c r="S873" t="str">
        <f t="shared" si="41"/>
        <v>&lt; $50</v>
      </c>
    </row>
    <row r="874" spans="1:19" x14ac:dyDescent="0.35">
      <c r="A874" t="s">
        <v>938</v>
      </c>
      <c r="B874">
        <v>31</v>
      </c>
      <c r="C874" t="s">
        <v>55</v>
      </c>
      <c r="D874" t="s">
        <v>55</v>
      </c>
      <c r="E874" t="s">
        <v>55</v>
      </c>
      <c r="F874">
        <v>12</v>
      </c>
      <c r="G874" t="s">
        <v>56</v>
      </c>
      <c r="H874" t="s">
        <v>56</v>
      </c>
      <c r="I874" t="s">
        <v>29</v>
      </c>
      <c r="J874" t="s">
        <v>12</v>
      </c>
      <c r="K874" t="s">
        <v>56</v>
      </c>
      <c r="L874" t="s">
        <v>25</v>
      </c>
      <c r="M874">
        <v>60.68</v>
      </c>
      <c r="N874">
        <v>739.62</v>
      </c>
      <c r="O874" t="s">
        <v>64</v>
      </c>
      <c r="P874" t="s">
        <v>55</v>
      </c>
      <c r="Q874">
        <f t="shared" si="39"/>
        <v>0</v>
      </c>
      <c r="R874" t="str">
        <f t="shared" si="40"/>
        <v>0-12 months</v>
      </c>
      <c r="S874" t="str">
        <f t="shared" si="41"/>
        <v>$50-$75</v>
      </c>
    </row>
    <row r="875" spans="1:19" x14ac:dyDescent="0.35">
      <c r="A875" t="s">
        <v>939</v>
      </c>
      <c r="B875">
        <v>55</v>
      </c>
      <c r="C875" t="s">
        <v>55</v>
      </c>
      <c r="D875" t="s">
        <v>55</v>
      </c>
      <c r="E875" t="s">
        <v>55</v>
      </c>
      <c r="F875">
        <v>49</v>
      </c>
      <c r="G875" t="s">
        <v>56</v>
      </c>
      <c r="H875" t="s">
        <v>56</v>
      </c>
      <c r="I875" t="s">
        <v>29</v>
      </c>
      <c r="J875" t="s">
        <v>12</v>
      </c>
      <c r="K875" t="s">
        <v>55</v>
      </c>
      <c r="L875" t="s">
        <v>25</v>
      </c>
      <c r="M875">
        <v>40.32</v>
      </c>
      <c r="N875">
        <v>1957.05</v>
      </c>
      <c r="O875" t="s">
        <v>69</v>
      </c>
      <c r="P875" t="s">
        <v>55</v>
      </c>
      <c r="Q875">
        <f t="shared" si="39"/>
        <v>0</v>
      </c>
      <c r="R875" t="str">
        <f t="shared" si="40"/>
        <v>49+ months</v>
      </c>
      <c r="S875" t="str">
        <f t="shared" si="41"/>
        <v>&lt; $50</v>
      </c>
    </row>
    <row r="876" spans="1:19" x14ac:dyDescent="0.35">
      <c r="A876" t="s">
        <v>940</v>
      </c>
      <c r="B876">
        <v>75</v>
      </c>
      <c r="C876" t="s">
        <v>56</v>
      </c>
      <c r="D876" t="s">
        <v>56</v>
      </c>
      <c r="E876" t="s">
        <v>56</v>
      </c>
      <c r="F876">
        <v>46</v>
      </c>
      <c r="G876" t="s">
        <v>55</v>
      </c>
      <c r="H876" t="s">
        <v>60</v>
      </c>
      <c r="I876" t="s">
        <v>30</v>
      </c>
      <c r="J876" t="s">
        <v>12</v>
      </c>
      <c r="K876" t="s">
        <v>56</v>
      </c>
      <c r="L876" t="s">
        <v>24</v>
      </c>
      <c r="M876">
        <v>100.83</v>
      </c>
      <c r="N876">
        <v>4690.26</v>
      </c>
      <c r="O876" t="s">
        <v>69</v>
      </c>
      <c r="P876" t="s">
        <v>55</v>
      </c>
      <c r="Q876">
        <f t="shared" si="39"/>
        <v>0</v>
      </c>
      <c r="R876" t="str">
        <f t="shared" si="40"/>
        <v>25-48 months</v>
      </c>
      <c r="S876" t="str">
        <f t="shared" si="41"/>
        <v>&gt; $100</v>
      </c>
    </row>
    <row r="877" spans="1:19" x14ac:dyDescent="0.35">
      <c r="A877" t="s">
        <v>941</v>
      </c>
      <c r="B877">
        <v>43</v>
      </c>
      <c r="C877" t="s">
        <v>55</v>
      </c>
      <c r="D877" t="s">
        <v>55</v>
      </c>
      <c r="E877" t="s">
        <v>56</v>
      </c>
      <c r="F877">
        <v>33</v>
      </c>
      <c r="G877" t="s">
        <v>55</v>
      </c>
      <c r="H877" t="s">
        <v>60</v>
      </c>
      <c r="I877" t="s">
        <v>29</v>
      </c>
      <c r="J877" t="s">
        <v>12</v>
      </c>
      <c r="K877" t="s">
        <v>55</v>
      </c>
      <c r="L877" t="s">
        <v>26</v>
      </c>
      <c r="M877">
        <v>78.83</v>
      </c>
      <c r="N877">
        <v>2719.21</v>
      </c>
      <c r="O877" t="s">
        <v>58</v>
      </c>
      <c r="P877" t="s">
        <v>55</v>
      </c>
      <c r="Q877">
        <f t="shared" si="39"/>
        <v>0</v>
      </c>
      <c r="R877" t="str">
        <f t="shared" si="40"/>
        <v>25-48 months</v>
      </c>
      <c r="S877" t="str">
        <f t="shared" si="41"/>
        <v>$76-$100</v>
      </c>
    </row>
    <row r="878" spans="1:19" x14ac:dyDescent="0.35">
      <c r="A878" t="s">
        <v>942</v>
      </c>
      <c r="B878">
        <v>24</v>
      </c>
      <c r="C878" t="s">
        <v>55</v>
      </c>
      <c r="D878" t="s">
        <v>55</v>
      </c>
      <c r="E878" t="s">
        <v>55</v>
      </c>
      <c r="F878">
        <v>35</v>
      </c>
      <c r="G878" t="s">
        <v>55</v>
      </c>
      <c r="H878" t="s">
        <v>60</v>
      </c>
      <c r="I878" t="s">
        <v>31</v>
      </c>
      <c r="J878" t="s">
        <v>13</v>
      </c>
      <c r="K878" t="s">
        <v>56</v>
      </c>
      <c r="L878" t="s">
        <v>24</v>
      </c>
      <c r="M878">
        <v>29.07</v>
      </c>
      <c r="N878">
        <v>1064.6500000000001</v>
      </c>
      <c r="O878" t="s">
        <v>58</v>
      </c>
      <c r="P878" t="s">
        <v>55</v>
      </c>
      <c r="Q878">
        <f t="shared" si="39"/>
        <v>0</v>
      </c>
      <c r="R878" t="str">
        <f t="shared" si="40"/>
        <v>25-48 months</v>
      </c>
      <c r="S878" t="str">
        <f t="shared" si="41"/>
        <v>&lt; $50</v>
      </c>
    </row>
    <row r="879" spans="1:19" x14ac:dyDescent="0.35">
      <c r="A879" t="s">
        <v>943</v>
      </c>
      <c r="B879">
        <v>30</v>
      </c>
      <c r="C879" t="s">
        <v>55</v>
      </c>
      <c r="D879" t="s">
        <v>56</v>
      </c>
      <c r="E879" t="s">
        <v>56</v>
      </c>
      <c r="F879">
        <v>43</v>
      </c>
      <c r="G879" t="s">
        <v>56</v>
      </c>
      <c r="H879" t="s">
        <v>55</v>
      </c>
      <c r="I879" t="s">
        <v>29</v>
      </c>
      <c r="J879" t="s">
        <v>12</v>
      </c>
      <c r="K879" t="s">
        <v>56</v>
      </c>
      <c r="L879" t="s">
        <v>1066</v>
      </c>
      <c r="M879">
        <v>58.35</v>
      </c>
      <c r="N879">
        <v>2408.29</v>
      </c>
      <c r="O879" t="s">
        <v>62</v>
      </c>
      <c r="P879" t="s">
        <v>56</v>
      </c>
      <c r="Q879">
        <f t="shared" si="39"/>
        <v>1</v>
      </c>
      <c r="R879" t="str">
        <f t="shared" si="40"/>
        <v>25-48 months</v>
      </c>
      <c r="S879" t="str">
        <f t="shared" si="41"/>
        <v>$50-$75</v>
      </c>
    </row>
    <row r="880" spans="1:19" x14ac:dyDescent="0.35">
      <c r="A880" t="s">
        <v>944</v>
      </c>
      <c r="B880">
        <v>30</v>
      </c>
      <c r="C880" t="s">
        <v>55</v>
      </c>
      <c r="D880" t="s">
        <v>56</v>
      </c>
      <c r="E880" t="s">
        <v>55</v>
      </c>
      <c r="F880">
        <v>40</v>
      </c>
      <c r="G880" t="s">
        <v>56</v>
      </c>
      <c r="H880" t="s">
        <v>55</v>
      </c>
      <c r="I880" t="s">
        <v>30</v>
      </c>
      <c r="J880" t="s">
        <v>12</v>
      </c>
      <c r="K880" t="s">
        <v>56</v>
      </c>
      <c r="L880" t="s">
        <v>26</v>
      </c>
      <c r="M880">
        <v>97.77</v>
      </c>
      <c r="N880">
        <v>4040.14</v>
      </c>
      <c r="O880" t="s">
        <v>62</v>
      </c>
      <c r="P880" t="s">
        <v>56</v>
      </c>
      <c r="Q880">
        <f t="shared" si="39"/>
        <v>1</v>
      </c>
      <c r="R880" t="str">
        <f t="shared" si="40"/>
        <v>25-48 months</v>
      </c>
      <c r="S880" t="str">
        <f t="shared" si="41"/>
        <v>$76-$100</v>
      </c>
    </row>
    <row r="881" spans="1:19" x14ac:dyDescent="0.35">
      <c r="A881" t="s">
        <v>945</v>
      </c>
      <c r="B881">
        <v>40</v>
      </c>
      <c r="C881" t="s">
        <v>55</v>
      </c>
      <c r="D881" t="s">
        <v>56</v>
      </c>
      <c r="E881" t="s">
        <v>55</v>
      </c>
      <c r="F881">
        <v>71</v>
      </c>
      <c r="G881" t="s">
        <v>56</v>
      </c>
      <c r="H881" t="s">
        <v>55</v>
      </c>
      <c r="I881" t="s">
        <v>29</v>
      </c>
      <c r="J881" t="s">
        <v>13</v>
      </c>
      <c r="K881" t="s">
        <v>55</v>
      </c>
      <c r="L881" t="s">
        <v>1066</v>
      </c>
      <c r="M881">
        <v>70.52</v>
      </c>
      <c r="N881">
        <v>4764.08</v>
      </c>
      <c r="O881" t="s">
        <v>66</v>
      </c>
      <c r="P881" t="s">
        <v>56</v>
      </c>
      <c r="Q881">
        <f t="shared" si="39"/>
        <v>1</v>
      </c>
      <c r="R881" t="str">
        <f t="shared" si="40"/>
        <v>49+ months</v>
      </c>
      <c r="S881" t="str">
        <f t="shared" si="41"/>
        <v>$50-$75</v>
      </c>
    </row>
    <row r="882" spans="1:19" x14ac:dyDescent="0.35">
      <c r="A882" t="s">
        <v>946</v>
      </c>
      <c r="B882">
        <v>26</v>
      </c>
      <c r="C882" t="s">
        <v>55</v>
      </c>
      <c r="D882" t="s">
        <v>55</v>
      </c>
      <c r="E882" t="s">
        <v>55</v>
      </c>
      <c r="F882">
        <v>37</v>
      </c>
      <c r="G882" t="s">
        <v>55</v>
      </c>
      <c r="H882" t="s">
        <v>60</v>
      </c>
      <c r="I882" t="s">
        <v>31</v>
      </c>
      <c r="J882" t="s">
        <v>13</v>
      </c>
      <c r="K882" t="s">
        <v>56</v>
      </c>
      <c r="L882" t="s">
        <v>26</v>
      </c>
      <c r="M882">
        <v>26.04</v>
      </c>
      <c r="N882">
        <v>1017.85</v>
      </c>
      <c r="O882" t="s">
        <v>58</v>
      </c>
      <c r="P882" t="s">
        <v>56</v>
      </c>
      <c r="Q882">
        <f t="shared" si="39"/>
        <v>1</v>
      </c>
      <c r="R882" t="str">
        <f t="shared" si="40"/>
        <v>25-48 months</v>
      </c>
      <c r="S882" t="str">
        <f t="shared" si="41"/>
        <v>&lt; $50</v>
      </c>
    </row>
    <row r="883" spans="1:19" x14ac:dyDescent="0.35">
      <c r="A883" t="s">
        <v>947</v>
      </c>
      <c r="B883">
        <v>29</v>
      </c>
      <c r="C883" t="s">
        <v>55</v>
      </c>
      <c r="D883" t="s">
        <v>56</v>
      </c>
      <c r="E883" t="s">
        <v>55</v>
      </c>
      <c r="F883">
        <v>47</v>
      </c>
      <c r="G883" t="s">
        <v>56</v>
      </c>
      <c r="H883" t="s">
        <v>55</v>
      </c>
      <c r="I883" t="s">
        <v>30</v>
      </c>
      <c r="J883" t="s">
        <v>13</v>
      </c>
      <c r="K883" t="s">
        <v>56</v>
      </c>
      <c r="L883" t="s">
        <v>1066</v>
      </c>
      <c r="M883">
        <v>76.900000000000006</v>
      </c>
      <c r="N883">
        <v>3478.97</v>
      </c>
      <c r="O883" t="s">
        <v>64</v>
      </c>
      <c r="P883" t="s">
        <v>56</v>
      </c>
      <c r="Q883">
        <f t="shared" si="39"/>
        <v>1</v>
      </c>
      <c r="R883" t="str">
        <f t="shared" si="40"/>
        <v>25-48 months</v>
      </c>
      <c r="S883" t="str">
        <f t="shared" si="41"/>
        <v>$76-$100</v>
      </c>
    </row>
    <row r="884" spans="1:19" x14ac:dyDescent="0.35">
      <c r="A884" t="s">
        <v>948</v>
      </c>
      <c r="B884">
        <v>23</v>
      </c>
      <c r="C884" t="s">
        <v>55</v>
      </c>
      <c r="D884" t="s">
        <v>55</v>
      </c>
      <c r="E884" t="s">
        <v>55</v>
      </c>
      <c r="F884">
        <v>24</v>
      </c>
      <c r="G884" t="s">
        <v>55</v>
      </c>
      <c r="H884" t="s">
        <v>60</v>
      </c>
      <c r="I884" t="s">
        <v>30</v>
      </c>
      <c r="J884" t="s">
        <v>12</v>
      </c>
      <c r="K884" t="s">
        <v>55</v>
      </c>
      <c r="L884" t="s">
        <v>26</v>
      </c>
      <c r="M884">
        <v>117.93</v>
      </c>
      <c r="N884">
        <v>2803.74</v>
      </c>
      <c r="O884" t="s">
        <v>69</v>
      </c>
      <c r="P884" t="s">
        <v>56</v>
      </c>
      <c r="Q884">
        <f t="shared" si="39"/>
        <v>1</v>
      </c>
      <c r="R884" t="str">
        <f t="shared" si="40"/>
        <v>13-24 months</v>
      </c>
      <c r="S884" t="str">
        <f t="shared" si="41"/>
        <v>&gt; $100</v>
      </c>
    </row>
    <row r="885" spans="1:19" x14ac:dyDescent="0.35">
      <c r="A885" t="s">
        <v>949</v>
      </c>
      <c r="B885">
        <v>51</v>
      </c>
      <c r="C885" t="s">
        <v>55</v>
      </c>
      <c r="D885" t="s">
        <v>56</v>
      </c>
      <c r="E885" t="s">
        <v>55</v>
      </c>
      <c r="F885">
        <v>11</v>
      </c>
      <c r="G885" t="s">
        <v>56</v>
      </c>
      <c r="H885" t="s">
        <v>55</v>
      </c>
      <c r="I885" t="s">
        <v>30</v>
      </c>
      <c r="J885" t="s">
        <v>12</v>
      </c>
      <c r="K885" t="s">
        <v>56</v>
      </c>
      <c r="L885" t="s">
        <v>26</v>
      </c>
      <c r="M885">
        <v>76.44</v>
      </c>
      <c r="N885">
        <v>841.54</v>
      </c>
      <c r="O885" t="s">
        <v>80</v>
      </c>
      <c r="P885" t="s">
        <v>55</v>
      </c>
      <c r="Q885">
        <f t="shared" si="39"/>
        <v>0</v>
      </c>
      <c r="R885" t="str">
        <f t="shared" si="40"/>
        <v>0-12 months</v>
      </c>
      <c r="S885" t="str">
        <f t="shared" si="41"/>
        <v>$76-$100</v>
      </c>
    </row>
    <row r="886" spans="1:19" x14ac:dyDescent="0.35">
      <c r="A886" t="s">
        <v>950</v>
      </c>
      <c r="B886">
        <v>49</v>
      </c>
      <c r="C886" t="s">
        <v>55</v>
      </c>
      <c r="D886" t="s">
        <v>55</v>
      </c>
      <c r="E886" t="s">
        <v>55</v>
      </c>
      <c r="F886">
        <v>7</v>
      </c>
      <c r="G886" t="s">
        <v>55</v>
      </c>
      <c r="H886" t="s">
        <v>60</v>
      </c>
      <c r="I886" t="s">
        <v>30</v>
      </c>
      <c r="J886" t="s">
        <v>13</v>
      </c>
      <c r="K886" t="s">
        <v>56</v>
      </c>
      <c r="L886" t="s">
        <v>1066</v>
      </c>
      <c r="M886">
        <v>110.12</v>
      </c>
      <c r="N886">
        <v>766.24</v>
      </c>
      <c r="O886" t="s">
        <v>64</v>
      </c>
      <c r="P886" t="s">
        <v>55</v>
      </c>
      <c r="Q886">
        <f t="shared" si="39"/>
        <v>0</v>
      </c>
      <c r="R886" t="str">
        <f t="shared" si="40"/>
        <v>0-12 months</v>
      </c>
      <c r="S886" t="str">
        <f t="shared" si="41"/>
        <v>&gt; $100</v>
      </c>
    </row>
    <row r="887" spans="1:19" x14ac:dyDescent="0.35">
      <c r="A887" t="s">
        <v>951</v>
      </c>
      <c r="B887">
        <v>63</v>
      </c>
      <c r="C887" t="s">
        <v>56</v>
      </c>
      <c r="D887" t="s">
        <v>55</v>
      </c>
      <c r="E887" t="s">
        <v>55</v>
      </c>
      <c r="F887">
        <v>15</v>
      </c>
      <c r="G887" t="s">
        <v>55</v>
      </c>
      <c r="H887" t="s">
        <v>60</v>
      </c>
      <c r="I887" t="s">
        <v>29</v>
      </c>
      <c r="J887" t="s">
        <v>12</v>
      </c>
      <c r="K887" t="s">
        <v>55</v>
      </c>
      <c r="L887" t="s">
        <v>25</v>
      </c>
      <c r="M887">
        <v>43.2</v>
      </c>
      <c r="N887">
        <v>609.66</v>
      </c>
      <c r="O887" t="s">
        <v>69</v>
      </c>
      <c r="P887" t="s">
        <v>55</v>
      </c>
      <c r="Q887">
        <f t="shared" si="39"/>
        <v>0</v>
      </c>
      <c r="R887" t="str">
        <f t="shared" si="40"/>
        <v>13-24 months</v>
      </c>
      <c r="S887" t="str">
        <f t="shared" si="41"/>
        <v>&lt; $50</v>
      </c>
    </row>
    <row r="888" spans="1:19" x14ac:dyDescent="0.35">
      <c r="A888" t="s">
        <v>952</v>
      </c>
      <c r="B888">
        <v>55</v>
      </c>
      <c r="C888" t="s">
        <v>55</v>
      </c>
      <c r="D888" t="s">
        <v>55</v>
      </c>
      <c r="E888" t="s">
        <v>56</v>
      </c>
      <c r="F888">
        <v>66</v>
      </c>
      <c r="G888" t="s">
        <v>55</v>
      </c>
      <c r="H888" t="s">
        <v>60</v>
      </c>
      <c r="I888" t="s">
        <v>31</v>
      </c>
      <c r="J888" t="s">
        <v>12</v>
      </c>
      <c r="K888" t="s">
        <v>55</v>
      </c>
      <c r="L888" t="s">
        <v>26</v>
      </c>
      <c r="M888">
        <v>19.46</v>
      </c>
      <c r="N888">
        <v>1282.76</v>
      </c>
      <c r="O888" t="s">
        <v>58</v>
      </c>
      <c r="P888" t="s">
        <v>55</v>
      </c>
      <c r="Q888">
        <f t="shared" si="39"/>
        <v>0</v>
      </c>
      <c r="R888" t="str">
        <f t="shared" si="40"/>
        <v>49+ months</v>
      </c>
      <c r="S888" t="str">
        <f t="shared" si="41"/>
        <v>&lt; $50</v>
      </c>
    </row>
    <row r="889" spans="1:19" x14ac:dyDescent="0.35">
      <c r="A889" t="s">
        <v>953</v>
      </c>
      <c r="B889">
        <v>61</v>
      </c>
      <c r="C889" t="s">
        <v>56</v>
      </c>
      <c r="D889" t="s">
        <v>55</v>
      </c>
      <c r="E889" t="s">
        <v>55</v>
      </c>
      <c r="F889">
        <v>55</v>
      </c>
      <c r="G889" t="s">
        <v>55</v>
      </c>
      <c r="H889" t="s">
        <v>60</v>
      </c>
      <c r="I889" t="s">
        <v>30</v>
      </c>
      <c r="J889" t="s">
        <v>13</v>
      </c>
      <c r="K889" t="s">
        <v>56</v>
      </c>
      <c r="L889" t="s">
        <v>24</v>
      </c>
      <c r="M889">
        <v>78.94</v>
      </c>
      <c r="N889">
        <v>4267.1400000000003</v>
      </c>
      <c r="O889" t="s">
        <v>76</v>
      </c>
      <c r="P889" t="s">
        <v>56</v>
      </c>
      <c r="Q889">
        <f t="shared" si="39"/>
        <v>1</v>
      </c>
      <c r="R889" t="str">
        <f t="shared" si="40"/>
        <v>49+ months</v>
      </c>
      <c r="S889" t="str">
        <f t="shared" si="41"/>
        <v>$76-$100</v>
      </c>
    </row>
    <row r="890" spans="1:19" x14ac:dyDescent="0.35">
      <c r="A890" t="s">
        <v>954</v>
      </c>
      <c r="B890">
        <v>37</v>
      </c>
      <c r="C890" t="s">
        <v>55</v>
      </c>
      <c r="D890" t="s">
        <v>56</v>
      </c>
      <c r="E890" t="s">
        <v>56</v>
      </c>
      <c r="F890">
        <v>46</v>
      </c>
      <c r="G890" t="s">
        <v>55</v>
      </c>
      <c r="H890" t="s">
        <v>60</v>
      </c>
      <c r="I890" t="s">
        <v>29</v>
      </c>
      <c r="J890" t="s">
        <v>12</v>
      </c>
      <c r="K890" t="s">
        <v>56</v>
      </c>
      <c r="L890" t="s">
        <v>24</v>
      </c>
      <c r="M890">
        <v>45.04</v>
      </c>
      <c r="N890">
        <v>1983.49</v>
      </c>
      <c r="O890" t="s">
        <v>76</v>
      </c>
      <c r="P890" t="s">
        <v>55</v>
      </c>
      <c r="Q890">
        <f t="shared" si="39"/>
        <v>0</v>
      </c>
      <c r="R890" t="str">
        <f t="shared" si="40"/>
        <v>25-48 months</v>
      </c>
      <c r="S890" t="str">
        <f t="shared" si="41"/>
        <v>&lt; $50</v>
      </c>
    </row>
    <row r="891" spans="1:19" x14ac:dyDescent="0.35">
      <c r="A891" t="s">
        <v>955</v>
      </c>
      <c r="B891">
        <v>40</v>
      </c>
      <c r="C891" t="s">
        <v>55</v>
      </c>
      <c r="D891" t="s">
        <v>55</v>
      </c>
      <c r="E891" t="s">
        <v>56</v>
      </c>
      <c r="F891">
        <v>68</v>
      </c>
      <c r="G891" t="s">
        <v>56</v>
      </c>
      <c r="H891" t="s">
        <v>56</v>
      </c>
      <c r="I891" t="s">
        <v>29</v>
      </c>
      <c r="J891" t="s">
        <v>12</v>
      </c>
      <c r="K891" t="s">
        <v>56</v>
      </c>
      <c r="L891" t="s">
        <v>1066</v>
      </c>
      <c r="M891">
        <v>68.95</v>
      </c>
      <c r="N891">
        <v>4864.41</v>
      </c>
      <c r="O891" t="s">
        <v>58</v>
      </c>
      <c r="P891" t="s">
        <v>56</v>
      </c>
      <c r="Q891">
        <f t="shared" si="39"/>
        <v>1</v>
      </c>
      <c r="R891" t="str">
        <f t="shared" si="40"/>
        <v>49+ months</v>
      </c>
      <c r="S891" t="str">
        <f t="shared" si="41"/>
        <v>$50-$75</v>
      </c>
    </row>
    <row r="892" spans="1:19" x14ac:dyDescent="0.35">
      <c r="A892" t="s">
        <v>956</v>
      </c>
      <c r="B892">
        <v>64</v>
      </c>
      <c r="C892" t="s">
        <v>56</v>
      </c>
      <c r="D892" t="s">
        <v>56</v>
      </c>
      <c r="E892" t="s">
        <v>55</v>
      </c>
      <c r="F892">
        <v>39</v>
      </c>
      <c r="G892" t="s">
        <v>56</v>
      </c>
      <c r="H892" t="s">
        <v>56</v>
      </c>
      <c r="I892" t="s">
        <v>30</v>
      </c>
      <c r="J892" t="s">
        <v>13</v>
      </c>
      <c r="K892" t="s">
        <v>56</v>
      </c>
      <c r="L892" t="s">
        <v>1066</v>
      </c>
      <c r="M892">
        <v>91.67</v>
      </c>
      <c r="N892">
        <v>3410.57</v>
      </c>
      <c r="O892" t="s">
        <v>76</v>
      </c>
      <c r="P892" t="s">
        <v>56</v>
      </c>
      <c r="Q892">
        <f t="shared" si="39"/>
        <v>1</v>
      </c>
      <c r="R892" t="str">
        <f t="shared" si="40"/>
        <v>25-48 months</v>
      </c>
      <c r="S892" t="str">
        <f t="shared" si="41"/>
        <v>$76-$100</v>
      </c>
    </row>
    <row r="893" spans="1:19" x14ac:dyDescent="0.35">
      <c r="A893" t="s">
        <v>957</v>
      </c>
      <c r="B893">
        <v>37</v>
      </c>
      <c r="C893" t="s">
        <v>55</v>
      </c>
      <c r="D893" t="s">
        <v>56</v>
      </c>
      <c r="E893" t="s">
        <v>56</v>
      </c>
      <c r="F893">
        <v>48</v>
      </c>
      <c r="G893" t="s">
        <v>56</v>
      </c>
      <c r="H893" t="s">
        <v>55</v>
      </c>
      <c r="I893" t="s">
        <v>29</v>
      </c>
      <c r="J893" t="s">
        <v>12</v>
      </c>
      <c r="K893" t="s">
        <v>56</v>
      </c>
      <c r="L893" t="s">
        <v>26</v>
      </c>
      <c r="M893">
        <v>66.86</v>
      </c>
      <c r="N893">
        <v>3249.57</v>
      </c>
      <c r="O893" t="s">
        <v>69</v>
      </c>
      <c r="P893" t="s">
        <v>55</v>
      </c>
      <c r="Q893">
        <f t="shared" si="39"/>
        <v>0</v>
      </c>
      <c r="R893" t="str">
        <f t="shared" si="40"/>
        <v>25-48 months</v>
      </c>
      <c r="S893" t="str">
        <f t="shared" si="41"/>
        <v>$50-$75</v>
      </c>
    </row>
    <row r="894" spans="1:19" x14ac:dyDescent="0.35">
      <c r="A894" t="s">
        <v>958</v>
      </c>
      <c r="B894">
        <v>36</v>
      </c>
      <c r="C894" t="s">
        <v>55</v>
      </c>
      <c r="D894" t="s">
        <v>55</v>
      </c>
      <c r="E894" t="s">
        <v>56</v>
      </c>
      <c r="F894">
        <v>53</v>
      </c>
      <c r="G894" t="s">
        <v>55</v>
      </c>
      <c r="H894" t="s">
        <v>60</v>
      </c>
      <c r="I894" t="s">
        <v>30</v>
      </c>
      <c r="J894" t="s">
        <v>13</v>
      </c>
      <c r="K894" t="s">
        <v>55</v>
      </c>
      <c r="L894" t="s">
        <v>26</v>
      </c>
      <c r="M894">
        <v>99.95</v>
      </c>
      <c r="N894">
        <v>5599.87</v>
      </c>
      <c r="O894" t="s">
        <v>62</v>
      </c>
      <c r="P894" t="s">
        <v>56</v>
      </c>
      <c r="Q894">
        <f t="shared" si="39"/>
        <v>1</v>
      </c>
      <c r="R894" t="str">
        <f t="shared" si="40"/>
        <v>49+ months</v>
      </c>
      <c r="S894" t="str">
        <f t="shared" si="41"/>
        <v>$76-$100</v>
      </c>
    </row>
    <row r="895" spans="1:19" x14ac:dyDescent="0.35">
      <c r="A895" t="s">
        <v>959</v>
      </c>
      <c r="B895">
        <v>32</v>
      </c>
      <c r="C895" t="s">
        <v>55</v>
      </c>
      <c r="D895" t="s">
        <v>56</v>
      </c>
      <c r="E895" t="s">
        <v>55</v>
      </c>
      <c r="F895">
        <v>29</v>
      </c>
      <c r="G895" t="s">
        <v>55</v>
      </c>
      <c r="H895" t="s">
        <v>60</v>
      </c>
      <c r="I895" t="s">
        <v>30</v>
      </c>
      <c r="J895" t="s">
        <v>13</v>
      </c>
      <c r="K895" t="s">
        <v>55</v>
      </c>
      <c r="L895" t="s">
        <v>24</v>
      </c>
      <c r="M895">
        <v>101.74</v>
      </c>
      <c r="N895">
        <v>2889.83</v>
      </c>
      <c r="O895" t="s">
        <v>58</v>
      </c>
      <c r="P895" t="s">
        <v>55</v>
      </c>
      <c r="Q895">
        <f t="shared" si="39"/>
        <v>0</v>
      </c>
      <c r="R895" t="str">
        <f t="shared" si="40"/>
        <v>25-48 months</v>
      </c>
      <c r="S895" t="str">
        <f t="shared" si="41"/>
        <v>&gt; $100</v>
      </c>
    </row>
    <row r="896" spans="1:19" x14ac:dyDescent="0.35">
      <c r="A896" t="s">
        <v>960</v>
      </c>
      <c r="B896">
        <v>18</v>
      </c>
      <c r="C896" t="s">
        <v>55</v>
      </c>
      <c r="D896" t="s">
        <v>55</v>
      </c>
      <c r="E896" t="s">
        <v>55</v>
      </c>
      <c r="F896">
        <v>41</v>
      </c>
      <c r="G896" t="s">
        <v>55</v>
      </c>
      <c r="H896" t="s">
        <v>60</v>
      </c>
      <c r="I896" t="s">
        <v>30</v>
      </c>
      <c r="J896" t="s">
        <v>12</v>
      </c>
      <c r="K896" t="s">
        <v>55</v>
      </c>
      <c r="L896" t="s">
        <v>26</v>
      </c>
      <c r="M896">
        <v>104.89</v>
      </c>
      <c r="N896">
        <v>4389.76</v>
      </c>
      <c r="O896" t="s">
        <v>80</v>
      </c>
      <c r="P896" t="s">
        <v>56</v>
      </c>
      <c r="Q896">
        <f t="shared" si="39"/>
        <v>1</v>
      </c>
      <c r="R896" t="str">
        <f t="shared" si="40"/>
        <v>25-48 months</v>
      </c>
      <c r="S896" t="str">
        <f t="shared" si="41"/>
        <v>&gt; $100</v>
      </c>
    </row>
    <row r="897" spans="1:19" x14ac:dyDescent="0.35">
      <c r="A897" t="s">
        <v>961</v>
      </c>
      <c r="B897">
        <v>60</v>
      </c>
      <c r="C897" t="s">
        <v>56</v>
      </c>
      <c r="D897" t="s">
        <v>56</v>
      </c>
      <c r="E897" t="s">
        <v>55</v>
      </c>
      <c r="F897">
        <v>72</v>
      </c>
      <c r="G897" t="s">
        <v>56</v>
      </c>
      <c r="H897" t="s">
        <v>56</v>
      </c>
      <c r="I897" t="s">
        <v>31</v>
      </c>
      <c r="J897" t="s">
        <v>14</v>
      </c>
      <c r="K897" t="s">
        <v>55</v>
      </c>
      <c r="L897" t="s">
        <v>26</v>
      </c>
      <c r="M897">
        <v>27.01</v>
      </c>
      <c r="N897">
        <v>1933.4</v>
      </c>
      <c r="O897" t="s">
        <v>62</v>
      </c>
      <c r="P897" t="s">
        <v>55</v>
      </c>
      <c r="Q897">
        <f t="shared" si="39"/>
        <v>0</v>
      </c>
      <c r="R897" t="str">
        <f t="shared" si="40"/>
        <v>49+ months</v>
      </c>
      <c r="S897" t="str">
        <f t="shared" si="41"/>
        <v>&lt; $50</v>
      </c>
    </row>
    <row r="898" spans="1:19" x14ac:dyDescent="0.35">
      <c r="A898" t="s">
        <v>962</v>
      </c>
      <c r="B898">
        <v>57</v>
      </c>
      <c r="C898" t="s">
        <v>55</v>
      </c>
      <c r="D898" t="s">
        <v>56</v>
      </c>
      <c r="E898" t="s">
        <v>55</v>
      </c>
      <c r="F898">
        <v>56</v>
      </c>
      <c r="G898" t="s">
        <v>56</v>
      </c>
      <c r="H898" t="s">
        <v>55</v>
      </c>
      <c r="I898" t="s">
        <v>30</v>
      </c>
      <c r="J898" t="s">
        <v>12</v>
      </c>
      <c r="K898" t="s">
        <v>55</v>
      </c>
      <c r="L898" t="s">
        <v>25</v>
      </c>
      <c r="M898">
        <v>88.76</v>
      </c>
      <c r="N898">
        <v>4992.9799999999996</v>
      </c>
      <c r="O898" t="s">
        <v>66</v>
      </c>
      <c r="P898" t="s">
        <v>56</v>
      </c>
      <c r="Q898">
        <f t="shared" si="39"/>
        <v>1</v>
      </c>
      <c r="R898" t="str">
        <f t="shared" si="40"/>
        <v>49+ months</v>
      </c>
      <c r="S898" t="str">
        <f t="shared" si="41"/>
        <v>$76-$100</v>
      </c>
    </row>
    <row r="899" spans="1:19" x14ac:dyDescent="0.35">
      <c r="A899" t="s">
        <v>963</v>
      </c>
      <c r="B899">
        <v>25</v>
      </c>
      <c r="C899" t="s">
        <v>55</v>
      </c>
      <c r="D899" t="s">
        <v>56</v>
      </c>
      <c r="E899" t="s">
        <v>55</v>
      </c>
      <c r="F899">
        <v>28</v>
      </c>
      <c r="G899" t="s">
        <v>56</v>
      </c>
      <c r="H899" t="s">
        <v>55</v>
      </c>
      <c r="I899" t="s">
        <v>30</v>
      </c>
      <c r="J899" t="s">
        <v>12</v>
      </c>
      <c r="K899" t="s">
        <v>56</v>
      </c>
      <c r="L899" t="s">
        <v>1066</v>
      </c>
      <c r="M899">
        <v>119.22</v>
      </c>
      <c r="N899">
        <v>3530</v>
      </c>
      <c r="O899" t="s">
        <v>76</v>
      </c>
      <c r="P899" t="s">
        <v>55</v>
      </c>
      <c r="Q899">
        <f t="shared" ref="Q899:Q962" si="42">IF(P899="Yes",1,0)</f>
        <v>0</v>
      </c>
      <c r="R899" t="str">
        <f t="shared" ref="R899:R962" si="43">IF(F899&lt;=12,"0-12 months",IF(F899&lt;=24,"13-24 months",IF(F899&lt;=48,"25-48 months","49+ months")))</f>
        <v>25-48 months</v>
      </c>
      <c r="S899" t="str">
        <f t="shared" ref="S899:S962" si="44">IF(M899&lt;50,"&lt; $50",IF(M899&lt;=75,"$50-$75",IF(M899&lt;=100,"$76-$100","&gt; $100")))</f>
        <v>&gt; $100</v>
      </c>
    </row>
    <row r="900" spans="1:19" x14ac:dyDescent="0.35">
      <c r="A900" t="s">
        <v>964</v>
      </c>
      <c r="B900">
        <v>66</v>
      </c>
      <c r="C900" t="s">
        <v>56</v>
      </c>
      <c r="D900" t="s">
        <v>56</v>
      </c>
      <c r="E900" t="s">
        <v>55</v>
      </c>
      <c r="F900">
        <v>36</v>
      </c>
      <c r="G900" t="s">
        <v>55</v>
      </c>
      <c r="H900" t="s">
        <v>60</v>
      </c>
      <c r="I900" t="s">
        <v>30</v>
      </c>
      <c r="J900" t="s">
        <v>13</v>
      </c>
      <c r="K900" t="s">
        <v>55</v>
      </c>
      <c r="L900" t="s">
        <v>24</v>
      </c>
      <c r="M900">
        <v>96.63</v>
      </c>
      <c r="N900">
        <v>3363.92</v>
      </c>
      <c r="O900" t="s">
        <v>66</v>
      </c>
      <c r="P900" t="s">
        <v>55</v>
      </c>
      <c r="Q900">
        <f t="shared" si="42"/>
        <v>0</v>
      </c>
      <c r="R900" t="str">
        <f t="shared" si="43"/>
        <v>25-48 months</v>
      </c>
      <c r="S900" t="str">
        <f t="shared" si="44"/>
        <v>$76-$100</v>
      </c>
    </row>
    <row r="901" spans="1:19" x14ac:dyDescent="0.35">
      <c r="A901" t="s">
        <v>965</v>
      </c>
      <c r="B901">
        <v>47</v>
      </c>
      <c r="C901" t="s">
        <v>55</v>
      </c>
      <c r="D901" t="s">
        <v>55</v>
      </c>
      <c r="E901" t="s">
        <v>55</v>
      </c>
      <c r="F901">
        <v>21</v>
      </c>
      <c r="G901" t="s">
        <v>56</v>
      </c>
      <c r="H901" t="s">
        <v>55</v>
      </c>
      <c r="I901" t="s">
        <v>31</v>
      </c>
      <c r="J901" t="s">
        <v>12</v>
      </c>
      <c r="K901" t="s">
        <v>55</v>
      </c>
      <c r="L901" t="s">
        <v>1066</v>
      </c>
      <c r="M901">
        <v>25.87</v>
      </c>
      <c r="N901">
        <v>555.22</v>
      </c>
      <c r="O901" t="s">
        <v>58</v>
      </c>
      <c r="P901" t="s">
        <v>56</v>
      </c>
      <c r="Q901">
        <f t="shared" si="42"/>
        <v>1</v>
      </c>
      <c r="R901" t="str">
        <f t="shared" si="43"/>
        <v>13-24 months</v>
      </c>
      <c r="S901" t="str">
        <f t="shared" si="44"/>
        <v>&lt; $50</v>
      </c>
    </row>
    <row r="902" spans="1:19" x14ac:dyDescent="0.35">
      <c r="A902" t="s">
        <v>966</v>
      </c>
      <c r="B902">
        <v>59</v>
      </c>
      <c r="C902" t="s">
        <v>55</v>
      </c>
      <c r="D902" t="s">
        <v>55</v>
      </c>
      <c r="E902" t="s">
        <v>55</v>
      </c>
      <c r="F902">
        <v>53</v>
      </c>
      <c r="G902" t="s">
        <v>56</v>
      </c>
      <c r="H902" t="s">
        <v>55</v>
      </c>
      <c r="I902" t="s">
        <v>30</v>
      </c>
      <c r="J902" t="s">
        <v>12</v>
      </c>
      <c r="K902" t="s">
        <v>56</v>
      </c>
      <c r="L902" t="s">
        <v>24</v>
      </c>
      <c r="M902">
        <v>106.61</v>
      </c>
      <c r="N902">
        <v>5952.39</v>
      </c>
      <c r="O902" t="s">
        <v>62</v>
      </c>
      <c r="P902" t="s">
        <v>56</v>
      </c>
      <c r="Q902">
        <f t="shared" si="42"/>
        <v>1</v>
      </c>
      <c r="R902" t="str">
        <f t="shared" si="43"/>
        <v>49+ months</v>
      </c>
      <c r="S902" t="str">
        <f t="shared" si="44"/>
        <v>&gt; $100</v>
      </c>
    </row>
    <row r="903" spans="1:19" x14ac:dyDescent="0.35">
      <c r="A903" t="s">
        <v>967</v>
      </c>
      <c r="B903">
        <v>28</v>
      </c>
      <c r="C903" t="s">
        <v>55</v>
      </c>
      <c r="D903" t="s">
        <v>55</v>
      </c>
      <c r="E903" t="s">
        <v>56</v>
      </c>
      <c r="F903">
        <v>48</v>
      </c>
      <c r="G903" t="s">
        <v>55</v>
      </c>
      <c r="H903" t="s">
        <v>60</v>
      </c>
      <c r="I903" t="s">
        <v>30</v>
      </c>
      <c r="J903" t="s">
        <v>13</v>
      </c>
      <c r="K903" t="s">
        <v>56</v>
      </c>
      <c r="L903" t="s">
        <v>25</v>
      </c>
      <c r="M903">
        <v>78.069999999999993</v>
      </c>
      <c r="N903">
        <v>3688.48</v>
      </c>
      <c r="O903" t="s">
        <v>62</v>
      </c>
      <c r="P903" t="s">
        <v>55</v>
      </c>
      <c r="Q903">
        <f t="shared" si="42"/>
        <v>0</v>
      </c>
      <c r="R903" t="str">
        <f t="shared" si="43"/>
        <v>25-48 months</v>
      </c>
      <c r="S903" t="str">
        <f t="shared" si="44"/>
        <v>$76-$100</v>
      </c>
    </row>
    <row r="904" spans="1:19" x14ac:dyDescent="0.35">
      <c r="A904" t="s">
        <v>968</v>
      </c>
      <c r="B904">
        <v>48</v>
      </c>
      <c r="C904" t="s">
        <v>55</v>
      </c>
      <c r="D904" t="s">
        <v>56</v>
      </c>
      <c r="E904" t="s">
        <v>55</v>
      </c>
      <c r="F904">
        <v>17</v>
      </c>
      <c r="G904" t="s">
        <v>56</v>
      </c>
      <c r="H904" t="s">
        <v>56</v>
      </c>
      <c r="I904" t="s">
        <v>30</v>
      </c>
      <c r="J904" t="s">
        <v>12</v>
      </c>
      <c r="K904" t="s">
        <v>56</v>
      </c>
      <c r="L904" t="s">
        <v>1066</v>
      </c>
      <c r="M904">
        <v>92.18</v>
      </c>
      <c r="N904">
        <v>1518.52</v>
      </c>
      <c r="O904" t="s">
        <v>64</v>
      </c>
      <c r="P904" t="s">
        <v>56</v>
      </c>
      <c r="Q904">
        <f t="shared" si="42"/>
        <v>1</v>
      </c>
      <c r="R904" t="str">
        <f t="shared" si="43"/>
        <v>13-24 months</v>
      </c>
      <c r="S904" t="str">
        <f t="shared" si="44"/>
        <v>$76-$100</v>
      </c>
    </row>
    <row r="905" spans="1:19" x14ac:dyDescent="0.35">
      <c r="A905" t="s">
        <v>969</v>
      </c>
      <c r="B905">
        <v>50</v>
      </c>
      <c r="C905" t="s">
        <v>55</v>
      </c>
      <c r="D905" t="s">
        <v>56</v>
      </c>
      <c r="E905" t="s">
        <v>55</v>
      </c>
      <c r="F905">
        <v>21</v>
      </c>
      <c r="G905" t="s">
        <v>56</v>
      </c>
      <c r="H905" t="s">
        <v>56</v>
      </c>
      <c r="I905" t="s">
        <v>30</v>
      </c>
      <c r="J905" t="s">
        <v>12</v>
      </c>
      <c r="K905" t="s">
        <v>55</v>
      </c>
      <c r="L905" t="s">
        <v>25</v>
      </c>
      <c r="M905">
        <v>119.78</v>
      </c>
      <c r="N905">
        <v>2624.7</v>
      </c>
      <c r="O905" t="s">
        <v>64</v>
      </c>
      <c r="P905" t="s">
        <v>56</v>
      </c>
      <c r="Q905">
        <f t="shared" si="42"/>
        <v>1</v>
      </c>
      <c r="R905" t="str">
        <f t="shared" si="43"/>
        <v>13-24 months</v>
      </c>
      <c r="S905" t="str">
        <f t="shared" si="44"/>
        <v>&gt; $100</v>
      </c>
    </row>
    <row r="906" spans="1:19" x14ac:dyDescent="0.35">
      <c r="A906" t="s">
        <v>970</v>
      </c>
      <c r="B906">
        <v>34</v>
      </c>
      <c r="C906" t="s">
        <v>55</v>
      </c>
      <c r="D906" t="s">
        <v>56</v>
      </c>
      <c r="E906" t="s">
        <v>56</v>
      </c>
      <c r="F906">
        <v>57</v>
      </c>
      <c r="G906" t="s">
        <v>56</v>
      </c>
      <c r="H906" t="s">
        <v>56</v>
      </c>
      <c r="I906" t="s">
        <v>29</v>
      </c>
      <c r="J906" t="s">
        <v>12</v>
      </c>
      <c r="K906" t="s">
        <v>56</v>
      </c>
      <c r="L906" t="s">
        <v>24</v>
      </c>
      <c r="M906">
        <v>68.66</v>
      </c>
      <c r="N906">
        <v>3919.05</v>
      </c>
      <c r="O906" t="s">
        <v>64</v>
      </c>
      <c r="P906" t="s">
        <v>55</v>
      </c>
      <c r="Q906">
        <f t="shared" si="42"/>
        <v>0</v>
      </c>
      <c r="R906" t="str">
        <f t="shared" si="43"/>
        <v>49+ months</v>
      </c>
      <c r="S906" t="str">
        <f t="shared" si="44"/>
        <v>$50-$75</v>
      </c>
    </row>
    <row r="907" spans="1:19" x14ac:dyDescent="0.35">
      <c r="A907" t="s">
        <v>971</v>
      </c>
      <c r="B907">
        <v>68</v>
      </c>
      <c r="C907" t="s">
        <v>56</v>
      </c>
      <c r="D907" t="s">
        <v>56</v>
      </c>
      <c r="E907" t="s">
        <v>56</v>
      </c>
      <c r="F907">
        <v>19</v>
      </c>
      <c r="G907" t="s">
        <v>56</v>
      </c>
      <c r="H907" t="s">
        <v>55</v>
      </c>
      <c r="I907" t="s">
        <v>31</v>
      </c>
      <c r="J907" t="s">
        <v>12</v>
      </c>
      <c r="K907" t="s">
        <v>55</v>
      </c>
      <c r="L907" t="s">
        <v>26</v>
      </c>
      <c r="M907">
        <v>20.92</v>
      </c>
      <c r="N907">
        <v>396.65</v>
      </c>
      <c r="O907" t="s">
        <v>76</v>
      </c>
      <c r="P907" t="s">
        <v>56</v>
      </c>
      <c r="Q907">
        <f t="shared" si="42"/>
        <v>1</v>
      </c>
      <c r="R907" t="str">
        <f t="shared" si="43"/>
        <v>13-24 months</v>
      </c>
      <c r="S907" t="str">
        <f t="shared" si="44"/>
        <v>&lt; $50</v>
      </c>
    </row>
    <row r="908" spans="1:19" x14ac:dyDescent="0.35">
      <c r="A908" t="s">
        <v>972</v>
      </c>
      <c r="B908">
        <v>59</v>
      </c>
      <c r="C908" t="s">
        <v>55</v>
      </c>
      <c r="D908" t="s">
        <v>56</v>
      </c>
      <c r="E908" t="s">
        <v>55</v>
      </c>
      <c r="F908">
        <v>63</v>
      </c>
      <c r="G908" t="s">
        <v>55</v>
      </c>
      <c r="H908" t="s">
        <v>60</v>
      </c>
      <c r="I908" t="s">
        <v>29</v>
      </c>
      <c r="J908" t="s">
        <v>12</v>
      </c>
      <c r="K908" t="s">
        <v>55</v>
      </c>
      <c r="L908" t="s">
        <v>26</v>
      </c>
      <c r="M908">
        <v>58.02</v>
      </c>
      <c r="N908">
        <v>3549.08</v>
      </c>
      <c r="O908" t="s">
        <v>80</v>
      </c>
      <c r="P908" t="s">
        <v>56</v>
      </c>
      <c r="Q908">
        <f t="shared" si="42"/>
        <v>1</v>
      </c>
      <c r="R908" t="str">
        <f t="shared" si="43"/>
        <v>49+ months</v>
      </c>
      <c r="S908" t="str">
        <f t="shared" si="44"/>
        <v>$50-$75</v>
      </c>
    </row>
    <row r="909" spans="1:19" x14ac:dyDescent="0.35">
      <c r="A909" t="s">
        <v>973</v>
      </c>
      <c r="B909">
        <v>66</v>
      </c>
      <c r="C909" t="s">
        <v>56</v>
      </c>
      <c r="D909" t="s">
        <v>56</v>
      </c>
      <c r="E909" t="s">
        <v>56</v>
      </c>
      <c r="F909">
        <v>67</v>
      </c>
      <c r="G909" t="s">
        <v>56</v>
      </c>
      <c r="H909" t="s">
        <v>55</v>
      </c>
      <c r="I909" t="s">
        <v>30</v>
      </c>
      <c r="J909" t="s">
        <v>13</v>
      </c>
      <c r="K909" t="s">
        <v>55</v>
      </c>
      <c r="L909" t="s">
        <v>26</v>
      </c>
      <c r="M909">
        <v>105.79</v>
      </c>
      <c r="N909">
        <v>7145.46</v>
      </c>
      <c r="O909" t="s">
        <v>69</v>
      </c>
      <c r="P909" t="s">
        <v>56</v>
      </c>
      <c r="Q909">
        <f t="shared" si="42"/>
        <v>1</v>
      </c>
      <c r="R909" t="str">
        <f t="shared" si="43"/>
        <v>49+ months</v>
      </c>
      <c r="S909" t="str">
        <f t="shared" si="44"/>
        <v>&gt; $100</v>
      </c>
    </row>
    <row r="910" spans="1:19" x14ac:dyDescent="0.35">
      <c r="A910" t="s">
        <v>974</v>
      </c>
      <c r="B910">
        <v>46</v>
      </c>
      <c r="C910" t="s">
        <v>55</v>
      </c>
      <c r="D910" t="s">
        <v>55</v>
      </c>
      <c r="E910" t="s">
        <v>56</v>
      </c>
      <c r="F910">
        <v>17</v>
      </c>
      <c r="G910" t="s">
        <v>55</v>
      </c>
      <c r="H910" t="s">
        <v>60</v>
      </c>
      <c r="I910" t="s">
        <v>30</v>
      </c>
      <c r="J910" t="s">
        <v>14</v>
      </c>
      <c r="K910" t="s">
        <v>55</v>
      </c>
      <c r="L910" t="s">
        <v>1066</v>
      </c>
      <c r="M910">
        <v>71.400000000000006</v>
      </c>
      <c r="N910">
        <v>1171.8</v>
      </c>
      <c r="O910" t="s">
        <v>58</v>
      </c>
      <c r="P910" t="s">
        <v>55</v>
      </c>
      <c r="Q910">
        <f t="shared" si="42"/>
        <v>0</v>
      </c>
      <c r="R910" t="str">
        <f t="shared" si="43"/>
        <v>13-24 months</v>
      </c>
      <c r="S910" t="str">
        <f t="shared" si="44"/>
        <v>$50-$75</v>
      </c>
    </row>
    <row r="911" spans="1:19" x14ac:dyDescent="0.35">
      <c r="A911" t="s">
        <v>975</v>
      </c>
      <c r="B911">
        <v>18</v>
      </c>
      <c r="C911" t="s">
        <v>55</v>
      </c>
      <c r="D911" t="s">
        <v>55</v>
      </c>
      <c r="E911" t="s">
        <v>55</v>
      </c>
      <c r="F911">
        <v>66</v>
      </c>
      <c r="G911" t="s">
        <v>55</v>
      </c>
      <c r="H911" t="s">
        <v>60</v>
      </c>
      <c r="I911" t="s">
        <v>29</v>
      </c>
      <c r="J911" t="s">
        <v>12</v>
      </c>
      <c r="K911" t="s">
        <v>56</v>
      </c>
      <c r="L911" t="s">
        <v>25</v>
      </c>
      <c r="M911">
        <v>65.75</v>
      </c>
      <c r="N911">
        <v>4384.87</v>
      </c>
      <c r="O911" t="s">
        <v>58</v>
      </c>
      <c r="P911" t="s">
        <v>55</v>
      </c>
      <c r="Q911">
        <f t="shared" si="42"/>
        <v>0</v>
      </c>
      <c r="R911" t="str">
        <f t="shared" si="43"/>
        <v>49+ months</v>
      </c>
      <c r="S911" t="str">
        <f t="shared" si="44"/>
        <v>$50-$75</v>
      </c>
    </row>
    <row r="912" spans="1:19" x14ac:dyDescent="0.35">
      <c r="A912" t="s">
        <v>976</v>
      </c>
      <c r="B912">
        <v>41</v>
      </c>
      <c r="C912" t="s">
        <v>55</v>
      </c>
      <c r="D912" t="s">
        <v>55</v>
      </c>
      <c r="E912" t="s">
        <v>55</v>
      </c>
      <c r="F912">
        <v>22</v>
      </c>
      <c r="G912" t="s">
        <v>55</v>
      </c>
      <c r="H912" t="s">
        <v>60</v>
      </c>
      <c r="I912" t="s">
        <v>31</v>
      </c>
      <c r="J912" t="s">
        <v>12</v>
      </c>
      <c r="K912" t="s">
        <v>55</v>
      </c>
      <c r="L912" t="s">
        <v>26</v>
      </c>
      <c r="M912">
        <v>29.36</v>
      </c>
      <c r="N912">
        <v>633.70000000000005</v>
      </c>
      <c r="O912" t="s">
        <v>62</v>
      </c>
      <c r="P912" t="s">
        <v>56</v>
      </c>
      <c r="Q912">
        <f t="shared" si="42"/>
        <v>1</v>
      </c>
      <c r="R912" t="str">
        <f t="shared" si="43"/>
        <v>13-24 months</v>
      </c>
      <c r="S912" t="str">
        <f t="shared" si="44"/>
        <v>&lt; $50</v>
      </c>
    </row>
    <row r="913" spans="1:19" x14ac:dyDescent="0.35">
      <c r="A913" t="s">
        <v>977</v>
      </c>
      <c r="B913">
        <v>27</v>
      </c>
      <c r="C913" t="s">
        <v>55</v>
      </c>
      <c r="D913" t="s">
        <v>55</v>
      </c>
      <c r="E913" t="s">
        <v>56</v>
      </c>
      <c r="F913">
        <v>26</v>
      </c>
      <c r="G913" t="s">
        <v>55</v>
      </c>
      <c r="H913" t="s">
        <v>60</v>
      </c>
      <c r="I913" t="s">
        <v>30</v>
      </c>
      <c r="J913" t="s">
        <v>13</v>
      </c>
      <c r="K913" t="s">
        <v>56</v>
      </c>
      <c r="L913" t="s">
        <v>1066</v>
      </c>
      <c r="M913">
        <v>112.29</v>
      </c>
      <c r="N913">
        <v>3018.72</v>
      </c>
      <c r="O913" t="s">
        <v>62</v>
      </c>
      <c r="P913" t="s">
        <v>55</v>
      </c>
      <c r="Q913">
        <f t="shared" si="42"/>
        <v>0</v>
      </c>
      <c r="R913" t="str">
        <f t="shared" si="43"/>
        <v>25-48 months</v>
      </c>
      <c r="S913" t="str">
        <f t="shared" si="44"/>
        <v>&gt; $100</v>
      </c>
    </row>
    <row r="914" spans="1:19" x14ac:dyDescent="0.35">
      <c r="A914" t="s">
        <v>978</v>
      </c>
      <c r="B914">
        <v>65</v>
      </c>
      <c r="C914" t="s">
        <v>56</v>
      </c>
      <c r="D914" t="s">
        <v>56</v>
      </c>
      <c r="E914" t="s">
        <v>55</v>
      </c>
      <c r="F914">
        <v>5</v>
      </c>
      <c r="G914" t="s">
        <v>56</v>
      </c>
      <c r="H914" t="s">
        <v>55</v>
      </c>
      <c r="I914" t="s">
        <v>30</v>
      </c>
      <c r="J914" t="s">
        <v>12</v>
      </c>
      <c r="K914" t="s">
        <v>55</v>
      </c>
      <c r="L914" t="s">
        <v>24</v>
      </c>
      <c r="M914">
        <v>96.74</v>
      </c>
      <c r="N914">
        <v>497.7</v>
      </c>
      <c r="O914" t="s">
        <v>66</v>
      </c>
      <c r="P914" t="s">
        <v>55</v>
      </c>
      <c r="Q914">
        <f t="shared" si="42"/>
        <v>0</v>
      </c>
      <c r="R914" t="str">
        <f t="shared" si="43"/>
        <v>0-12 months</v>
      </c>
      <c r="S914" t="str">
        <f t="shared" si="44"/>
        <v>$76-$100</v>
      </c>
    </row>
    <row r="915" spans="1:19" x14ac:dyDescent="0.35">
      <c r="A915" t="s">
        <v>979</v>
      </c>
      <c r="B915">
        <v>21</v>
      </c>
      <c r="C915" t="s">
        <v>55</v>
      </c>
      <c r="D915" t="s">
        <v>55</v>
      </c>
      <c r="E915" t="s">
        <v>56</v>
      </c>
      <c r="F915">
        <v>32</v>
      </c>
      <c r="G915" t="s">
        <v>56</v>
      </c>
      <c r="H915" t="s">
        <v>55</v>
      </c>
      <c r="I915" t="s">
        <v>30</v>
      </c>
      <c r="J915" t="s">
        <v>13</v>
      </c>
      <c r="K915" t="s">
        <v>56</v>
      </c>
      <c r="L915" t="s">
        <v>26</v>
      </c>
      <c r="M915">
        <v>105.87</v>
      </c>
      <c r="N915">
        <v>3256.7</v>
      </c>
      <c r="O915" t="s">
        <v>76</v>
      </c>
      <c r="P915" t="s">
        <v>55</v>
      </c>
      <c r="Q915">
        <f t="shared" si="42"/>
        <v>0</v>
      </c>
      <c r="R915" t="str">
        <f t="shared" si="43"/>
        <v>25-48 months</v>
      </c>
      <c r="S915" t="str">
        <f t="shared" si="44"/>
        <v>&gt; $100</v>
      </c>
    </row>
    <row r="916" spans="1:19" x14ac:dyDescent="0.35">
      <c r="A916" t="s">
        <v>980</v>
      </c>
      <c r="B916">
        <v>53</v>
      </c>
      <c r="C916" t="s">
        <v>55</v>
      </c>
      <c r="D916" t="s">
        <v>55</v>
      </c>
      <c r="E916" t="s">
        <v>56</v>
      </c>
      <c r="F916">
        <v>25</v>
      </c>
      <c r="G916" t="s">
        <v>56</v>
      </c>
      <c r="H916" t="s">
        <v>55</v>
      </c>
      <c r="I916" t="s">
        <v>29</v>
      </c>
      <c r="J916" t="s">
        <v>12</v>
      </c>
      <c r="K916" t="s">
        <v>55</v>
      </c>
      <c r="L916" t="s">
        <v>26</v>
      </c>
      <c r="M916">
        <v>49.1</v>
      </c>
      <c r="N916">
        <v>1240.1199999999999</v>
      </c>
      <c r="O916" t="s">
        <v>64</v>
      </c>
      <c r="P916" t="s">
        <v>55</v>
      </c>
      <c r="Q916">
        <f t="shared" si="42"/>
        <v>0</v>
      </c>
      <c r="R916" t="str">
        <f t="shared" si="43"/>
        <v>25-48 months</v>
      </c>
      <c r="S916" t="str">
        <f t="shared" si="44"/>
        <v>&lt; $50</v>
      </c>
    </row>
    <row r="917" spans="1:19" x14ac:dyDescent="0.35">
      <c r="A917" t="s">
        <v>981</v>
      </c>
      <c r="B917">
        <v>24</v>
      </c>
      <c r="C917" t="s">
        <v>55</v>
      </c>
      <c r="D917" t="s">
        <v>56</v>
      </c>
      <c r="E917" t="s">
        <v>55</v>
      </c>
      <c r="F917">
        <v>10</v>
      </c>
      <c r="G917" t="s">
        <v>56</v>
      </c>
      <c r="H917" t="s">
        <v>55</v>
      </c>
      <c r="I917" t="s">
        <v>30</v>
      </c>
      <c r="J917" t="s">
        <v>12</v>
      </c>
      <c r="K917" t="s">
        <v>56</v>
      </c>
      <c r="L917" t="s">
        <v>24</v>
      </c>
      <c r="M917">
        <v>80.75</v>
      </c>
      <c r="N917">
        <v>806.26</v>
      </c>
      <c r="O917" t="s">
        <v>58</v>
      </c>
      <c r="P917" t="s">
        <v>55</v>
      </c>
      <c r="Q917">
        <f t="shared" si="42"/>
        <v>0</v>
      </c>
      <c r="R917" t="str">
        <f t="shared" si="43"/>
        <v>0-12 months</v>
      </c>
      <c r="S917" t="str">
        <f t="shared" si="44"/>
        <v>$76-$100</v>
      </c>
    </row>
    <row r="918" spans="1:19" x14ac:dyDescent="0.35">
      <c r="A918" t="s">
        <v>982</v>
      </c>
      <c r="B918">
        <v>45</v>
      </c>
      <c r="C918" t="s">
        <v>55</v>
      </c>
      <c r="D918" t="s">
        <v>56</v>
      </c>
      <c r="E918" t="s">
        <v>55</v>
      </c>
      <c r="F918">
        <v>25</v>
      </c>
      <c r="G918" t="s">
        <v>55</v>
      </c>
      <c r="H918" t="s">
        <v>60</v>
      </c>
      <c r="I918" t="s">
        <v>29</v>
      </c>
      <c r="J918" t="s">
        <v>14</v>
      </c>
      <c r="K918" t="s">
        <v>55</v>
      </c>
      <c r="L918" t="s">
        <v>1066</v>
      </c>
      <c r="M918">
        <v>64.05</v>
      </c>
      <c r="N918">
        <v>1599.83</v>
      </c>
      <c r="O918" t="s">
        <v>58</v>
      </c>
      <c r="P918" t="s">
        <v>55</v>
      </c>
      <c r="Q918">
        <f t="shared" si="42"/>
        <v>0</v>
      </c>
      <c r="R918" t="str">
        <f t="shared" si="43"/>
        <v>25-48 months</v>
      </c>
      <c r="S918" t="str">
        <f t="shared" si="44"/>
        <v>$50-$75</v>
      </c>
    </row>
    <row r="919" spans="1:19" x14ac:dyDescent="0.35">
      <c r="A919" t="s">
        <v>983</v>
      </c>
      <c r="B919">
        <v>48</v>
      </c>
      <c r="C919" t="s">
        <v>55</v>
      </c>
      <c r="D919" t="s">
        <v>55</v>
      </c>
      <c r="E919" t="s">
        <v>55</v>
      </c>
      <c r="F919">
        <v>34</v>
      </c>
      <c r="G919" t="s">
        <v>56</v>
      </c>
      <c r="H919" t="s">
        <v>56</v>
      </c>
      <c r="I919" t="s">
        <v>31</v>
      </c>
      <c r="J919" t="s">
        <v>13</v>
      </c>
      <c r="K919" t="s">
        <v>55</v>
      </c>
      <c r="L919" t="s">
        <v>1066</v>
      </c>
      <c r="M919">
        <v>19.34</v>
      </c>
      <c r="N919">
        <v>677.81</v>
      </c>
      <c r="O919" t="s">
        <v>80</v>
      </c>
      <c r="P919" t="s">
        <v>55</v>
      </c>
      <c r="Q919">
        <f t="shared" si="42"/>
        <v>0</v>
      </c>
      <c r="R919" t="str">
        <f t="shared" si="43"/>
        <v>25-48 months</v>
      </c>
      <c r="S919" t="str">
        <f t="shared" si="44"/>
        <v>&lt; $50</v>
      </c>
    </row>
    <row r="920" spans="1:19" x14ac:dyDescent="0.35">
      <c r="A920" t="s">
        <v>984</v>
      </c>
      <c r="B920">
        <v>38</v>
      </c>
      <c r="C920" t="s">
        <v>55</v>
      </c>
      <c r="D920" t="s">
        <v>55</v>
      </c>
      <c r="E920" t="s">
        <v>55</v>
      </c>
      <c r="F920">
        <v>21</v>
      </c>
      <c r="G920" t="s">
        <v>55</v>
      </c>
      <c r="H920" t="s">
        <v>60</v>
      </c>
      <c r="I920" t="s">
        <v>30</v>
      </c>
      <c r="J920" t="s">
        <v>13</v>
      </c>
      <c r="K920" t="s">
        <v>56</v>
      </c>
      <c r="L920" t="s">
        <v>25</v>
      </c>
      <c r="M920">
        <v>92.16</v>
      </c>
      <c r="N920">
        <v>1967.38</v>
      </c>
      <c r="O920" t="s">
        <v>62</v>
      </c>
      <c r="P920" t="s">
        <v>55</v>
      </c>
      <c r="Q920">
        <f t="shared" si="42"/>
        <v>0</v>
      </c>
      <c r="R920" t="str">
        <f t="shared" si="43"/>
        <v>13-24 months</v>
      </c>
      <c r="S920" t="str">
        <f t="shared" si="44"/>
        <v>$76-$100</v>
      </c>
    </row>
    <row r="921" spans="1:19" x14ac:dyDescent="0.35">
      <c r="A921" t="s">
        <v>985</v>
      </c>
      <c r="B921">
        <v>30</v>
      </c>
      <c r="C921" t="s">
        <v>55</v>
      </c>
      <c r="D921" t="s">
        <v>56</v>
      </c>
      <c r="E921" t="s">
        <v>56</v>
      </c>
      <c r="F921">
        <v>28</v>
      </c>
      <c r="G921" t="s">
        <v>55</v>
      </c>
      <c r="H921" t="s">
        <v>60</v>
      </c>
      <c r="I921" t="s">
        <v>30</v>
      </c>
      <c r="J921" t="s">
        <v>12</v>
      </c>
      <c r="K921" t="s">
        <v>55</v>
      </c>
      <c r="L921" t="s">
        <v>26</v>
      </c>
      <c r="M921">
        <v>85</v>
      </c>
      <c r="N921">
        <v>2411.2800000000002</v>
      </c>
      <c r="O921" t="s">
        <v>62</v>
      </c>
      <c r="P921" t="s">
        <v>55</v>
      </c>
      <c r="Q921">
        <f t="shared" si="42"/>
        <v>0</v>
      </c>
      <c r="R921" t="str">
        <f t="shared" si="43"/>
        <v>25-48 months</v>
      </c>
      <c r="S921" t="str">
        <f t="shared" si="44"/>
        <v>$76-$100</v>
      </c>
    </row>
    <row r="922" spans="1:19" x14ac:dyDescent="0.35">
      <c r="A922" t="s">
        <v>986</v>
      </c>
      <c r="B922">
        <v>38</v>
      </c>
      <c r="C922" t="s">
        <v>55</v>
      </c>
      <c r="D922" t="s">
        <v>56</v>
      </c>
      <c r="E922" t="s">
        <v>56</v>
      </c>
      <c r="F922">
        <v>51</v>
      </c>
      <c r="G922" t="s">
        <v>56</v>
      </c>
      <c r="H922" t="s">
        <v>55</v>
      </c>
      <c r="I922" t="s">
        <v>29</v>
      </c>
      <c r="J922" t="s">
        <v>12</v>
      </c>
      <c r="K922" t="s">
        <v>55</v>
      </c>
      <c r="L922" t="s">
        <v>1066</v>
      </c>
      <c r="M922">
        <v>71.55</v>
      </c>
      <c r="N922">
        <v>3771.55</v>
      </c>
      <c r="O922" t="s">
        <v>76</v>
      </c>
      <c r="P922" t="s">
        <v>56</v>
      </c>
      <c r="Q922">
        <f t="shared" si="42"/>
        <v>1</v>
      </c>
      <c r="R922" t="str">
        <f t="shared" si="43"/>
        <v>49+ months</v>
      </c>
      <c r="S922" t="str">
        <f t="shared" si="44"/>
        <v>$50-$75</v>
      </c>
    </row>
    <row r="923" spans="1:19" x14ac:dyDescent="0.35">
      <c r="A923" t="s">
        <v>987</v>
      </c>
      <c r="B923">
        <v>48</v>
      </c>
      <c r="C923" t="s">
        <v>55</v>
      </c>
      <c r="D923" t="s">
        <v>55</v>
      </c>
      <c r="E923" t="s">
        <v>55</v>
      </c>
      <c r="F923">
        <v>19</v>
      </c>
      <c r="G923" t="s">
        <v>55</v>
      </c>
      <c r="H923" t="s">
        <v>60</v>
      </c>
      <c r="I923" t="s">
        <v>30</v>
      </c>
      <c r="J923" t="s">
        <v>14</v>
      </c>
      <c r="K923" t="s">
        <v>55</v>
      </c>
      <c r="L923" t="s">
        <v>24</v>
      </c>
      <c r="M923">
        <v>91.26</v>
      </c>
      <c r="N923">
        <v>1711.79</v>
      </c>
      <c r="O923" t="s">
        <v>66</v>
      </c>
      <c r="P923" t="s">
        <v>55</v>
      </c>
      <c r="Q923">
        <f t="shared" si="42"/>
        <v>0</v>
      </c>
      <c r="R923" t="str">
        <f t="shared" si="43"/>
        <v>13-24 months</v>
      </c>
      <c r="S923" t="str">
        <f t="shared" si="44"/>
        <v>$76-$100</v>
      </c>
    </row>
    <row r="924" spans="1:19" x14ac:dyDescent="0.35">
      <c r="A924" t="s">
        <v>988</v>
      </c>
      <c r="B924">
        <v>43</v>
      </c>
      <c r="C924" t="s">
        <v>55</v>
      </c>
      <c r="D924" t="s">
        <v>56</v>
      </c>
      <c r="E924" t="s">
        <v>55</v>
      </c>
      <c r="F924">
        <v>46</v>
      </c>
      <c r="G924" t="s">
        <v>56</v>
      </c>
      <c r="H924" t="s">
        <v>55</v>
      </c>
      <c r="I924" t="s">
        <v>29</v>
      </c>
      <c r="J924" t="s">
        <v>13</v>
      </c>
      <c r="K924" t="s">
        <v>56</v>
      </c>
      <c r="L924" t="s">
        <v>1066</v>
      </c>
      <c r="M924">
        <v>48.09</v>
      </c>
      <c r="N924">
        <v>2255.16</v>
      </c>
      <c r="O924" t="s">
        <v>66</v>
      </c>
      <c r="P924" t="s">
        <v>55</v>
      </c>
      <c r="Q924">
        <f t="shared" si="42"/>
        <v>0</v>
      </c>
      <c r="R924" t="str">
        <f t="shared" si="43"/>
        <v>25-48 months</v>
      </c>
      <c r="S924" t="str">
        <f t="shared" si="44"/>
        <v>&lt; $50</v>
      </c>
    </row>
    <row r="925" spans="1:19" x14ac:dyDescent="0.35">
      <c r="A925" t="s">
        <v>989</v>
      </c>
      <c r="B925">
        <v>41</v>
      </c>
      <c r="C925" t="s">
        <v>55</v>
      </c>
      <c r="D925" t="s">
        <v>56</v>
      </c>
      <c r="E925" t="s">
        <v>55</v>
      </c>
      <c r="F925">
        <v>55</v>
      </c>
      <c r="G925" t="s">
        <v>55</v>
      </c>
      <c r="H925" t="s">
        <v>60</v>
      </c>
      <c r="I925" t="s">
        <v>29</v>
      </c>
      <c r="J925" t="s">
        <v>13</v>
      </c>
      <c r="K925" t="s">
        <v>56</v>
      </c>
      <c r="L925" t="s">
        <v>1066</v>
      </c>
      <c r="M925">
        <v>64.7</v>
      </c>
      <c r="N925">
        <v>3532.92</v>
      </c>
      <c r="O925" t="s">
        <v>80</v>
      </c>
      <c r="P925" t="s">
        <v>55</v>
      </c>
      <c r="Q925">
        <f t="shared" si="42"/>
        <v>0</v>
      </c>
      <c r="R925" t="str">
        <f t="shared" si="43"/>
        <v>49+ months</v>
      </c>
      <c r="S925" t="str">
        <f t="shared" si="44"/>
        <v>$50-$75</v>
      </c>
    </row>
    <row r="926" spans="1:19" x14ac:dyDescent="0.35">
      <c r="A926" t="s">
        <v>990</v>
      </c>
      <c r="B926">
        <v>33</v>
      </c>
      <c r="C926" t="s">
        <v>55</v>
      </c>
      <c r="D926" t="s">
        <v>56</v>
      </c>
      <c r="E926" t="s">
        <v>55</v>
      </c>
      <c r="F926">
        <v>62</v>
      </c>
      <c r="G926" t="s">
        <v>55</v>
      </c>
      <c r="H926" t="s">
        <v>60</v>
      </c>
      <c r="I926" t="s">
        <v>31</v>
      </c>
      <c r="J926" t="s">
        <v>14</v>
      </c>
      <c r="K926" t="s">
        <v>56</v>
      </c>
      <c r="L926" t="s">
        <v>1066</v>
      </c>
      <c r="M926">
        <v>22.68</v>
      </c>
      <c r="N926">
        <v>1483.73</v>
      </c>
      <c r="O926" t="s">
        <v>62</v>
      </c>
      <c r="P926" t="s">
        <v>55</v>
      </c>
      <c r="Q926">
        <f t="shared" si="42"/>
        <v>0</v>
      </c>
      <c r="R926" t="str">
        <f t="shared" si="43"/>
        <v>49+ months</v>
      </c>
      <c r="S926" t="str">
        <f t="shared" si="44"/>
        <v>&lt; $50</v>
      </c>
    </row>
    <row r="927" spans="1:19" x14ac:dyDescent="0.35">
      <c r="A927" t="s">
        <v>991</v>
      </c>
      <c r="B927">
        <v>35</v>
      </c>
      <c r="C927" t="s">
        <v>55</v>
      </c>
      <c r="D927" t="s">
        <v>55</v>
      </c>
      <c r="E927" t="s">
        <v>56</v>
      </c>
      <c r="F927">
        <v>13</v>
      </c>
      <c r="G927" t="s">
        <v>55</v>
      </c>
      <c r="H927" t="s">
        <v>60</v>
      </c>
      <c r="I927" t="s">
        <v>30</v>
      </c>
      <c r="J927" t="s">
        <v>12</v>
      </c>
      <c r="K927" t="s">
        <v>55</v>
      </c>
      <c r="L927" t="s">
        <v>24</v>
      </c>
      <c r="M927">
        <v>84.21</v>
      </c>
      <c r="N927">
        <v>1091.03</v>
      </c>
      <c r="O927" t="s">
        <v>80</v>
      </c>
      <c r="P927" t="s">
        <v>55</v>
      </c>
      <c r="Q927">
        <f t="shared" si="42"/>
        <v>0</v>
      </c>
      <c r="R927" t="str">
        <f t="shared" si="43"/>
        <v>13-24 months</v>
      </c>
      <c r="S927" t="str">
        <f t="shared" si="44"/>
        <v>$76-$100</v>
      </c>
    </row>
    <row r="928" spans="1:19" x14ac:dyDescent="0.35">
      <c r="A928" t="s">
        <v>992</v>
      </c>
      <c r="B928">
        <v>38</v>
      </c>
      <c r="C928" t="s">
        <v>55</v>
      </c>
      <c r="D928" t="s">
        <v>55</v>
      </c>
      <c r="E928" t="s">
        <v>56</v>
      </c>
      <c r="F928">
        <v>20</v>
      </c>
      <c r="G928" t="s">
        <v>56</v>
      </c>
      <c r="H928" t="s">
        <v>55</v>
      </c>
      <c r="I928" t="s">
        <v>29</v>
      </c>
      <c r="J928" t="s">
        <v>12</v>
      </c>
      <c r="K928" t="s">
        <v>55</v>
      </c>
      <c r="L928" t="s">
        <v>24</v>
      </c>
      <c r="M928">
        <v>70.510000000000005</v>
      </c>
      <c r="N928">
        <v>1369.71</v>
      </c>
      <c r="O928" t="s">
        <v>76</v>
      </c>
      <c r="P928" t="s">
        <v>55</v>
      </c>
      <c r="Q928">
        <f t="shared" si="42"/>
        <v>0</v>
      </c>
      <c r="R928" t="str">
        <f t="shared" si="43"/>
        <v>13-24 months</v>
      </c>
      <c r="S928" t="str">
        <f t="shared" si="44"/>
        <v>$50-$75</v>
      </c>
    </row>
    <row r="929" spans="1:19" x14ac:dyDescent="0.35">
      <c r="A929" t="s">
        <v>993</v>
      </c>
      <c r="B929">
        <v>62</v>
      </c>
      <c r="C929" t="s">
        <v>56</v>
      </c>
      <c r="D929" t="s">
        <v>56</v>
      </c>
      <c r="E929" t="s">
        <v>56</v>
      </c>
      <c r="F929">
        <v>9</v>
      </c>
      <c r="G929" t="s">
        <v>55</v>
      </c>
      <c r="H929" t="s">
        <v>60</v>
      </c>
      <c r="I929" t="s">
        <v>31</v>
      </c>
      <c r="J929" t="s">
        <v>14</v>
      </c>
      <c r="K929" t="s">
        <v>55</v>
      </c>
      <c r="L929" t="s">
        <v>25</v>
      </c>
      <c r="M929">
        <v>23.35</v>
      </c>
      <c r="N929">
        <v>219.85</v>
      </c>
      <c r="O929" t="s">
        <v>64</v>
      </c>
      <c r="P929" t="s">
        <v>56</v>
      </c>
      <c r="Q929">
        <f t="shared" si="42"/>
        <v>1</v>
      </c>
      <c r="R929" t="str">
        <f t="shared" si="43"/>
        <v>0-12 months</v>
      </c>
      <c r="S929" t="str">
        <f t="shared" si="44"/>
        <v>&lt; $50</v>
      </c>
    </row>
    <row r="930" spans="1:19" x14ac:dyDescent="0.35">
      <c r="A930" t="s">
        <v>994</v>
      </c>
      <c r="B930">
        <v>32</v>
      </c>
      <c r="C930" t="s">
        <v>55</v>
      </c>
      <c r="D930" t="s">
        <v>55</v>
      </c>
      <c r="E930" t="s">
        <v>55</v>
      </c>
      <c r="F930">
        <v>43</v>
      </c>
      <c r="G930" t="s">
        <v>55</v>
      </c>
      <c r="H930" t="s">
        <v>60</v>
      </c>
      <c r="I930" t="s">
        <v>30</v>
      </c>
      <c r="J930" t="s">
        <v>12</v>
      </c>
      <c r="K930" t="s">
        <v>56</v>
      </c>
      <c r="L930" t="s">
        <v>26</v>
      </c>
      <c r="M930">
        <v>102.11</v>
      </c>
      <c r="N930">
        <v>4352.4399999999996</v>
      </c>
      <c r="O930" t="s">
        <v>66</v>
      </c>
      <c r="P930" t="s">
        <v>55</v>
      </c>
      <c r="Q930">
        <f t="shared" si="42"/>
        <v>0</v>
      </c>
      <c r="R930" t="str">
        <f t="shared" si="43"/>
        <v>25-48 months</v>
      </c>
      <c r="S930" t="str">
        <f t="shared" si="44"/>
        <v>&gt; $100</v>
      </c>
    </row>
    <row r="931" spans="1:19" x14ac:dyDescent="0.35">
      <c r="A931" t="s">
        <v>995</v>
      </c>
      <c r="B931">
        <v>21</v>
      </c>
      <c r="C931" t="s">
        <v>55</v>
      </c>
      <c r="D931" t="s">
        <v>56</v>
      </c>
      <c r="E931" t="s">
        <v>55</v>
      </c>
      <c r="F931">
        <v>3</v>
      </c>
      <c r="G931" t="s">
        <v>56</v>
      </c>
      <c r="H931" t="s">
        <v>55</v>
      </c>
      <c r="I931" t="s">
        <v>29</v>
      </c>
      <c r="J931" t="s">
        <v>14</v>
      </c>
      <c r="K931" t="s">
        <v>55</v>
      </c>
      <c r="L931" t="s">
        <v>1066</v>
      </c>
      <c r="M931">
        <v>59.68</v>
      </c>
      <c r="N931">
        <v>180.65</v>
      </c>
      <c r="O931" t="s">
        <v>69</v>
      </c>
      <c r="P931" t="s">
        <v>55</v>
      </c>
      <c r="Q931">
        <f t="shared" si="42"/>
        <v>0</v>
      </c>
      <c r="R931" t="str">
        <f t="shared" si="43"/>
        <v>0-12 months</v>
      </c>
      <c r="S931" t="str">
        <f t="shared" si="44"/>
        <v>$50-$75</v>
      </c>
    </row>
    <row r="932" spans="1:19" x14ac:dyDescent="0.35">
      <c r="A932" t="s">
        <v>996</v>
      </c>
      <c r="B932">
        <v>22</v>
      </c>
      <c r="C932" t="s">
        <v>55</v>
      </c>
      <c r="D932" t="s">
        <v>56</v>
      </c>
      <c r="E932" t="s">
        <v>56</v>
      </c>
      <c r="F932">
        <v>69</v>
      </c>
      <c r="G932" t="s">
        <v>56</v>
      </c>
      <c r="H932" t="s">
        <v>55</v>
      </c>
      <c r="I932" t="s">
        <v>30</v>
      </c>
      <c r="J932" t="s">
        <v>12</v>
      </c>
      <c r="K932" t="s">
        <v>56</v>
      </c>
      <c r="L932" t="s">
        <v>1066</v>
      </c>
      <c r="M932">
        <v>108.36</v>
      </c>
      <c r="N932">
        <v>7414.88</v>
      </c>
      <c r="O932" t="s">
        <v>64</v>
      </c>
      <c r="P932" t="s">
        <v>56</v>
      </c>
      <c r="Q932">
        <f t="shared" si="42"/>
        <v>1</v>
      </c>
      <c r="R932" t="str">
        <f t="shared" si="43"/>
        <v>49+ months</v>
      </c>
      <c r="S932" t="str">
        <f t="shared" si="44"/>
        <v>&gt; $100</v>
      </c>
    </row>
    <row r="933" spans="1:19" x14ac:dyDescent="0.35">
      <c r="A933" t="s">
        <v>997</v>
      </c>
      <c r="B933">
        <v>74</v>
      </c>
      <c r="C933" t="s">
        <v>56</v>
      </c>
      <c r="D933" t="s">
        <v>56</v>
      </c>
      <c r="E933" t="s">
        <v>55</v>
      </c>
      <c r="F933">
        <v>10</v>
      </c>
      <c r="G933" t="s">
        <v>55</v>
      </c>
      <c r="H933" t="s">
        <v>60</v>
      </c>
      <c r="I933" t="s">
        <v>30</v>
      </c>
      <c r="J933" t="s">
        <v>12</v>
      </c>
      <c r="K933" t="s">
        <v>55</v>
      </c>
      <c r="L933" t="s">
        <v>25</v>
      </c>
      <c r="M933">
        <v>90.07</v>
      </c>
      <c r="N933">
        <v>878.41</v>
      </c>
      <c r="O933" t="s">
        <v>64</v>
      </c>
      <c r="P933" t="s">
        <v>55</v>
      </c>
      <c r="Q933">
        <f t="shared" si="42"/>
        <v>0</v>
      </c>
      <c r="R933" t="str">
        <f t="shared" si="43"/>
        <v>0-12 months</v>
      </c>
      <c r="S933" t="str">
        <f t="shared" si="44"/>
        <v>$76-$100</v>
      </c>
    </row>
    <row r="934" spans="1:19" x14ac:dyDescent="0.35">
      <c r="A934" t="s">
        <v>998</v>
      </c>
      <c r="B934">
        <v>19</v>
      </c>
      <c r="C934" t="s">
        <v>55</v>
      </c>
      <c r="D934" t="s">
        <v>56</v>
      </c>
      <c r="E934" t="s">
        <v>56</v>
      </c>
      <c r="F934">
        <v>42</v>
      </c>
      <c r="G934" t="s">
        <v>55</v>
      </c>
      <c r="H934" t="s">
        <v>60</v>
      </c>
      <c r="I934" t="s">
        <v>30</v>
      </c>
      <c r="J934" t="s">
        <v>14</v>
      </c>
      <c r="K934" t="s">
        <v>55</v>
      </c>
      <c r="L934" t="s">
        <v>24</v>
      </c>
      <c r="M934">
        <v>102.68</v>
      </c>
      <c r="N934">
        <v>4157.4799999999996</v>
      </c>
      <c r="O934" t="s">
        <v>76</v>
      </c>
      <c r="P934" t="s">
        <v>55</v>
      </c>
      <c r="Q934">
        <f t="shared" si="42"/>
        <v>0</v>
      </c>
      <c r="R934" t="str">
        <f t="shared" si="43"/>
        <v>25-48 months</v>
      </c>
      <c r="S934" t="str">
        <f t="shared" si="44"/>
        <v>&gt; $100</v>
      </c>
    </row>
    <row r="935" spans="1:19" x14ac:dyDescent="0.35">
      <c r="A935" t="s">
        <v>999</v>
      </c>
      <c r="B935">
        <v>75</v>
      </c>
      <c r="C935" t="s">
        <v>56</v>
      </c>
      <c r="D935" t="s">
        <v>56</v>
      </c>
      <c r="E935" t="s">
        <v>56</v>
      </c>
      <c r="F935">
        <v>19</v>
      </c>
      <c r="G935" t="s">
        <v>56</v>
      </c>
      <c r="H935" t="s">
        <v>56</v>
      </c>
      <c r="I935" t="s">
        <v>30</v>
      </c>
      <c r="J935" t="s">
        <v>12</v>
      </c>
      <c r="K935" t="s">
        <v>56</v>
      </c>
      <c r="L935" t="s">
        <v>1066</v>
      </c>
      <c r="M935">
        <v>97</v>
      </c>
      <c r="N935">
        <v>1943.55</v>
      </c>
      <c r="O935" t="s">
        <v>76</v>
      </c>
      <c r="P935" t="s">
        <v>56</v>
      </c>
      <c r="Q935">
        <f t="shared" si="42"/>
        <v>1</v>
      </c>
      <c r="R935" t="str">
        <f t="shared" si="43"/>
        <v>13-24 months</v>
      </c>
      <c r="S935" t="str">
        <f t="shared" si="44"/>
        <v>$76-$100</v>
      </c>
    </row>
    <row r="936" spans="1:19" x14ac:dyDescent="0.35">
      <c r="A936" t="s">
        <v>1000</v>
      </c>
      <c r="B936">
        <v>32</v>
      </c>
      <c r="C936" t="s">
        <v>55</v>
      </c>
      <c r="D936" t="s">
        <v>56</v>
      </c>
      <c r="E936" t="s">
        <v>56</v>
      </c>
      <c r="F936">
        <v>39</v>
      </c>
      <c r="G936" t="s">
        <v>55</v>
      </c>
      <c r="H936" t="s">
        <v>60</v>
      </c>
      <c r="I936" t="s">
        <v>30</v>
      </c>
      <c r="J936" t="s">
        <v>12</v>
      </c>
      <c r="K936" t="s">
        <v>56</v>
      </c>
      <c r="L936" t="s">
        <v>1066</v>
      </c>
      <c r="M936">
        <v>71.36</v>
      </c>
      <c r="N936">
        <v>2909.16</v>
      </c>
      <c r="O936" t="s">
        <v>80</v>
      </c>
      <c r="P936" t="s">
        <v>55</v>
      </c>
      <c r="Q936">
        <f t="shared" si="42"/>
        <v>0</v>
      </c>
      <c r="R936" t="str">
        <f t="shared" si="43"/>
        <v>25-48 months</v>
      </c>
      <c r="S936" t="str">
        <f t="shared" si="44"/>
        <v>$50-$75</v>
      </c>
    </row>
    <row r="937" spans="1:19" x14ac:dyDescent="0.35">
      <c r="A937" t="s">
        <v>1001</v>
      </c>
      <c r="B937">
        <v>71</v>
      </c>
      <c r="C937" t="s">
        <v>56</v>
      </c>
      <c r="D937" t="s">
        <v>55</v>
      </c>
      <c r="E937" t="s">
        <v>56</v>
      </c>
      <c r="F937">
        <v>57</v>
      </c>
      <c r="G937" t="s">
        <v>56</v>
      </c>
      <c r="H937" t="s">
        <v>55</v>
      </c>
      <c r="I937" t="s">
        <v>31</v>
      </c>
      <c r="J937" t="s">
        <v>12</v>
      </c>
      <c r="K937" t="s">
        <v>55</v>
      </c>
      <c r="L937" t="s">
        <v>26</v>
      </c>
      <c r="M937">
        <v>27.25</v>
      </c>
      <c r="N937">
        <v>1570.07</v>
      </c>
      <c r="O937" t="s">
        <v>62</v>
      </c>
      <c r="P937" t="s">
        <v>56</v>
      </c>
      <c r="Q937">
        <f t="shared" si="42"/>
        <v>1</v>
      </c>
      <c r="R937" t="str">
        <f t="shared" si="43"/>
        <v>49+ months</v>
      </c>
      <c r="S937" t="str">
        <f t="shared" si="44"/>
        <v>&lt; $50</v>
      </c>
    </row>
    <row r="938" spans="1:19" x14ac:dyDescent="0.35">
      <c r="A938" t="s">
        <v>1002</v>
      </c>
      <c r="B938">
        <v>50</v>
      </c>
      <c r="C938" t="s">
        <v>55</v>
      </c>
      <c r="D938" t="s">
        <v>56</v>
      </c>
      <c r="E938" t="s">
        <v>56</v>
      </c>
      <c r="F938">
        <v>27</v>
      </c>
      <c r="G938" t="s">
        <v>55</v>
      </c>
      <c r="H938" t="s">
        <v>60</v>
      </c>
      <c r="I938" t="s">
        <v>30</v>
      </c>
      <c r="J938" t="s">
        <v>13</v>
      </c>
      <c r="K938" t="s">
        <v>55</v>
      </c>
      <c r="L938" t="s">
        <v>1066</v>
      </c>
      <c r="M938">
        <v>85.84</v>
      </c>
      <c r="N938">
        <v>2231.7399999999998</v>
      </c>
      <c r="O938" t="s">
        <v>66</v>
      </c>
      <c r="P938" t="s">
        <v>55</v>
      </c>
      <c r="Q938">
        <f t="shared" si="42"/>
        <v>0</v>
      </c>
      <c r="R938" t="str">
        <f t="shared" si="43"/>
        <v>25-48 months</v>
      </c>
      <c r="S938" t="str">
        <f t="shared" si="44"/>
        <v>$76-$100</v>
      </c>
    </row>
    <row r="939" spans="1:19" x14ac:dyDescent="0.35">
      <c r="A939" t="s">
        <v>1003</v>
      </c>
      <c r="B939">
        <v>50</v>
      </c>
      <c r="C939" t="s">
        <v>55</v>
      </c>
      <c r="D939" t="s">
        <v>55</v>
      </c>
      <c r="E939" t="s">
        <v>55</v>
      </c>
      <c r="F939">
        <v>33</v>
      </c>
      <c r="G939" t="s">
        <v>55</v>
      </c>
      <c r="H939" t="s">
        <v>60</v>
      </c>
      <c r="I939" t="s">
        <v>29</v>
      </c>
      <c r="J939" t="s">
        <v>12</v>
      </c>
      <c r="K939" t="s">
        <v>55</v>
      </c>
      <c r="L939" t="s">
        <v>1066</v>
      </c>
      <c r="M939">
        <v>56.01</v>
      </c>
      <c r="N939">
        <v>1927.62</v>
      </c>
      <c r="O939" t="s">
        <v>76</v>
      </c>
      <c r="P939" t="s">
        <v>55</v>
      </c>
      <c r="Q939">
        <f t="shared" si="42"/>
        <v>0</v>
      </c>
      <c r="R939" t="str">
        <f t="shared" si="43"/>
        <v>25-48 months</v>
      </c>
      <c r="S939" t="str">
        <f t="shared" si="44"/>
        <v>$50-$75</v>
      </c>
    </row>
    <row r="940" spans="1:19" x14ac:dyDescent="0.35">
      <c r="A940" t="s">
        <v>1004</v>
      </c>
      <c r="B940">
        <v>71</v>
      </c>
      <c r="C940" t="s">
        <v>56</v>
      </c>
      <c r="D940" t="s">
        <v>56</v>
      </c>
      <c r="E940" t="s">
        <v>55</v>
      </c>
      <c r="F940">
        <v>39</v>
      </c>
      <c r="G940" t="s">
        <v>56</v>
      </c>
      <c r="H940" t="s">
        <v>55</v>
      </c>
      <c r="I940" t="s">
        <v>30</v>
      </c>
      <c r="J940" t="s">
        <v>14</v>
      </c>
      <c r="K940" t="s">
        <v>55</v>
      </c>
      <c r="L940" t="s">
        <v>26</v>
      </c>
      <c r="M940">
        <v>118.21</v>
      </c>
      <c r="N940">
        <v>4737.2299999999996</v>
      </c>
      <c r="O940" t="s">
        <v>80</v>
      </c>
      <c r="P940" t="s">
        <v>55</v>
      </c>
      <c r="Q940">
        <f t="shared" si="42"/>
        <v>0</v>
      </c>
      <c r="R940" t="str">
        <f t="shared" si="43"/>
        <v>25-48 months</v>
      </c>
      <c r="S940" t="str">
        <f t="shared" si="44"/>
        <v>&gt; $100</v>
      </c>
    </row>
    <row r="941" spans="1:19" x14ac:dyDescent="0.35">
      <c r="A941" t="s">
        <v>1005</v>
      </c>
      <c r="B941">
        <v>27</v>
      </c>
      <c r="C941" t="s">
        <v>55</v>
      </c>
      <c r="D941" t="s">
        <v>56</v>
      </c>
      <c r="E941" t="s">
        <v>56</v>
      </c>
      <c r="F941">
        <v>2</v>
      </c>
      <c r="G941" t="s">
        <v>56</v>
      </c>
      <c r="H941" t="s">
        <v>56</v>
      </c>
      <c r="I941" t="s">
        <v>30</v>
      </c>
      <c r="J941" t="s">
        <v>12</v>
      </c>
      <c r="K941" t="s">
        <v>56</v>
      </c>
      <c r="L941" t="s">
        <v>26</v>
      </c>
      <c r="M941">
        <v>110.12</v>
      </c>
      <c r="N941">
        <v>229.92</v>
      </c>
      <c r="O941" t="s">
        <v>76</v>
      </c>
      <c r="P941" t="s">
        <v>56</v>
      </c>
      <c r="Q941">
        <f t="shared" si="42"/>
        <v>1</v>
      </c>
      <c r="R941" t="str">
        <f t="shared" si="43"/>
        <v>0-12 months</v>
      </c>
      <c r="S941" t="str">
        <f t="shared" si="44"/>
        <v>&gt; $100</v>
      </c>
    </row>
    <row r="942" spans="1:19" x14ac:dyDescent="0.35">
      <c r="A942" t="s">
        <v>1006</v>
      </c>
      <c r="B942">
        <v>57</v>
      </c>
      <c r="C942" t="s">
        <v>55</v>
      </c>
      <c r="D942" t="s">
        <v>55</v>
      </c>
      <c r="E942" t="s">
        <v>56</v>
      </c>
      <c r="F942">
        <v>54</v>
      </c>
      <c r="G942" t="s">
        <v>56</v>
      </c>
      <c r="H942" t="s">
        <v>55</v>
      </c>
      <c r="I942" t="s">
        <v>30</v>
      </c>
      <c r="J942" t="s">
        <v>14</v>
      </c>
      <c r="K942" t="s">
        <v>56</v>
      </c>
      <c r="L942" t="s">
        <v>24</v>
      </c>
      <c r="M942">
        <v>116.25</v>
      </c>
      <c r="N942">
        <v>6493.36</v>
      </c>
      <c r="O942" t="s">
        <v>62</v>
      </c>
      <c r="P942" t="s">
        <v>56</v>
      </c>
      <c r="Q942">
        <f t="shared" si="42"/>
        <v>1</v>
      </c>
      <c r="R942" t="str">
        <f t="shared" si="43"/>
        <v>49+ months</v>
      </c>
      <c r="S942" t="str">
        <f t="shared" si="44"/>
        <v>&gt; $100</v>
      </c>
    </row>
    <row r="943" spans="1:19" x14ac:dyDescent="0.35">
      <c r="A943" t="s">
        <v>1007</v>
      </c>
      <c r="B943">
        <v>37</v>
      </c>
      <c r="C943" t="s">
        <v>55</v>
      </c>
      <c r="D943" t="s">
        <v>55</v>
      </c>
      <c r="E943" t="s">
        <v>55</v>
      </c>
      <c r="F943">
        <v>34</v>
      </c>
      <c r="G943" t="s">
        <v>56</v>
      </c>
      <c r="H943" t="s">
        <v>55</v>
      </c>
      <c r="I943" t="s">
        <v>29</v>
      </c>
      <c r="J943" t="s">
        <v>12</v>
      </c>
      <c r="K943" t="s">
        <v>55</v>
      </c>
      <c r="L943" t="s">
        <v>26</v>
      </c>
      <c r="M943">
        <v>74.88</v>
      </c>
      <c r="N943">
        <v>2672.27</v>
      </c>
      <c r="O943" t="s">
        <v>64</v>
      </c>
      <c r="P943" t="s">
        <v>56</v>
      </c>
      <c r="Q943">
        <f t="shared" si="42"/>
        <v>1</v>
      </c>
      <c r="R943" t="str">
        <f t="shared" si="43"/>
        <v>25-48 months</v>
      </c>
      <c r="S943" t="str">
        <f t="shared" si="44"/>
        <v>$50-$75</v>
      </c>
    </row>
    <row r="944" spans="1:19" x14ac:dyDescent="0.35">
      <c r="A944" t="s">
        <v>1008</v>
      </c>
      <c r="B944">
        <v>66</v>
      </c>
      <c r="C944" t="s">
        <v>56</v>
      </c>
      <c r="D944" t="s">
        <v>56</v>
      </c>
      <c r="E944" t="s">
        <v>56</v>
      </c>
      <c r="F944">
        <v>13</v>
      </c>
      <c r="G944" t="s">
        <v>56</v>
      </c>
      <c r="H944" t="s">
        <v>56</v>
      </c>
      <c r="I944" t="s">
        <v>30</v>
      </c>
      <c r="J944" t="s">
        <v>14</v>
      </c>
      <c r="K944" t="s">
        <v>56</v>
      </c>
      <c r="L944" t="s">
        <v>25</v>
      </c>
      <c r="M944">
        <v>93.22</v>
      </c>
      <c r="N944">
        <v>1199.51</v>
      </c>
      <c r="O944" t="s">
        <v>64</v>
      </c>
      <c r="P944" t="s">
        <v>55</v>
      </c>
      <c r="Q944">
        <f t="shared" si="42"/>
        <v>0</v>
      </c>
      <c r="R944" t="str">
        <f t="shared" si="43"/>
        <v>13-24 months</v>
      </c>
      <c r="S944" t="str">
        <f t="shared" si="44"/>
        <v>$76-$100</v>
      </c>
    </row>
    <row r="945" spans="1:19" x14ac:dyDescent="0.35">
      <c r="A945" t="s">
        <v>1009</v>
      </c>
      <c r="B945">
        <v>26</v>
      </c>
      <c r="C945" t="s">
        <v>55</v>
      </c>
      <c r="D945" t="s">
        <v>56</v>
      </c>
      <c r="E945" t="s">
        <v>55</v>
      </c>
      <c r="F945">
        <v>61</v>
      </c>
      <c r="G945" t="s">
        <v>55</v>
      </c>
      <c r="H945" t="s">
        <v>60</v>
      </c>
      <c r="I945" t="s">
        <v>29</v>
      </c>
      <c r="J945" t="s">
        <v>12</v>
      </c>
      <c r="K945" t="s">
        <v>55</v>
      </c>
      <c r="L945" t="s">
        <v>25</v>
      </c>
      <c r="M945">
        <v>66.739999999999995</v>
      </c>
      <c r="N945">
        <v>3873.97</v>
      </c>
      <c r="O945" t="s">
        <v>66</v>
      </c>
      <c r="P945" t="s">
        <v>55</v>
      </c>
      <c r="Q945">
        <f t="shared" si="42"/>
        <v>0</v>
      </c>
      <c r="R945" t="str">
        <f t="shared" si="43"/>
        <v>49+ months</v>
      </c>
      <c r="S945" t="str">
        <f t="shared" si="44"/>
        <v>$50-$75</v>
      </c>
    </row>
    <row r="946" spans="1:19" x14ac:dyDescent="0.35">
      <c r="A946" t="s">
        <v>1010</v>
      </c>
      <c r="B946">
        <v>72</v>
      </c>
      <c r="C946" t="s">
        <v>56</v>
      </c>
      <c r="D946" t="s">
        <v>56</v>
      </c>
      <c r="E946" t="s">
        <v>56</v>
      </c>
      <c r="F946">
        <v>29</v>
      </c>
      <c r="G946" t="s">
        <v>56</v>
      </c>
      <c r="H946" t="s">
        <v>56</v>
      </c>
      <c r="I946" t="s">
        <v>29</v>
      </c>
      <c r="J946" t="s">
        <v>12</v>
      </c>
      <c r="K946" t="s">
        <v>56</v>
      </c>
      <c r="L946" t="s">
        <v>1066</v>
      </c>
      <c r="M946">
        <v>51.29</v>
      </c>
      <c r="N946">
        <v>1507.94</v>
      </c>
      <c r="O946" t="s">
        <v>76</v>
      </c>
      <c r="P946" t="s">
        <v>56</v>
      </c>
      <c r="Q946">
        <f t="shared" si="42"/>
        <v>1</v>
      </c>
      <c r="R946" t="str">
        <f t="shared" si="43"/>
        <v>25-48 months</v>
      </c>
      <c r="S946" t="str">
        <f t="shared" si="44"/>
        <v>$50-$75</v>
      </c>
    </row>
    <row r="947" spans="1:19" x14ac:dyDescent="0.35">
      <c r="A947" t="s">
        <v>1011</v>
      </c>
      <c r="B947">
        <v>29</v>
      </c>
      <c r="C947" t="s">
        <v>55</v>
      </c>
      <c r="D947" t="s">
        <v>55</v>
      </c>
      <c r="E947" t="s">
        <v>55</v>
      </c>
      <c r="F947">
        <v>60</v>
      </c>
      <c r="G947" t="s">
        <v>55</v>
      </c>
      <c r="H947" t="s">
        <v>60</v>
      </c>
      <c r="I947" t="s">
        <v>29</v>
      </c>
      <c r="J947" t="s">
        <v>13</v>
      </c>
      <c r="K947" t="s">
        <v>56</v>
      </c>
      <c r="L947" t="s">
        <v>26</v>
      </c>
      <c r="M947">
        <v>54.99</v>
      </c>
      <c r="N947">
        <v>3158.93</v>
      </c>
      <c r="O947" t="s">
        <v>66</v>
      </c>
      <c r="P947" t="s">
        <v>55</v>
      </c>
      <c r="Q947">
        <f t="shared" si="42"/>
        <v>0</v>
      </c>
      <c r="R947" t="str">
        <f t="shared" si="43"/>
        <v>49+ months</v>
      </c>
      <c r="S947" t="str">
        <f t="shared" si="44"/>
        <v>$50-$75</v>
      </c>
    </row>
    <row r="948" spans="1:19" x14ac:dyDescent="0.35">
      <c r="A948" t="s">
        <v>1012</v>
      </c>
      <c r="B948">
        <v>20</v>
      </c>
      <c r="C948" t="s">
        <v>55</v>
      </c>
      <c r="D948" t="s">
        <v>55</v>
      </c>
      <c r="E948" t="s">
        <v>56</v>
      </c>
      <c r="F948">
        <v>26</v>
      </c>
      <c r="G948" t="s">
        <v>56</v>
      </c>
      <c r="H948" t="s">
        <v>56</v>
      </c>
      <c r="I948" t="s">
        <v>31</v>
      </c>
      <c r="J948" t="s">
        <v>12</v>
      </c>
      <c r="K948" t="s">
        <v>56</v>
      </c>
      <c r="L948" t="s">
        <v>26</v>
      </c>
      <c r="M948">
        <v>21.87</v>
      </c>
      <c r="N948">
        <v>573.54</v>
      </c>
      <c r="O948" t="s">
        <v>76</v>
      </c>
      <c r="P948" t="s">
        <v>55</v>
      </c>
      <c r="Q948">
        <f t="shared" si="42"/>
        <v>0</v>
      </c>
      <c r="R948" t="str">
        <f t="shared" si="43"/>
        <v>25-48 months</v>
      </c>
      <c r="S948" t="str">
        <f t="shared" si="44"/>
        <v>&lt; $50</v>
      </c>
    </row>
    <row r="949" spans="1:19" x14ac:dyDescent="0.35">
      <c r="A949" t="s">
        <v>1013</v>
      </c>
      <c r="B949">
        <v>30</v>
      </c>
      <c r="C949" t="s">
        <v>55</v>
      </c>
      <c r="D949" t="s">
        <v>55</v>
      </c>
      <c r="E949" t="s">
        <v>55</v>
      </c>
      <c r="F949">
        <v>28</v>
      </c>
      <c r="G949" t="s">
        <v>55</v>
      </c>
      <c r="H949" t="s">
        <v>60</v>
      </c>
      <c r="I949" t="s">
        <v>29</v>
      </c>
      <c r="J949" t="s">
        <v>12</v>
      </c>
      <c r="K949" t="s">
        <v>56</v>
      </c>
      <c r="L949" t="s">
        <v>1066</v>
      </c>
      <c r="M949">
        <v>66.22</v>
      </c>
      <c r="N949">
        <v>1857.38</v>
      </c>
      <c r="O949" t="s">
        <v>62</v>
      </c>
      <c r="P949" t="s">
        <v>55</v>
      </c>
      <c r="Q949">
        <f t="shared" si="42"/>
        <v>0</v>
      </c>
      <c r="R949" t="str">
        <f t="shared" si="43"/>
        <v>25-48 months</v>
      </c>
      <c r="S949" t="str">
        <f t="shared" si="44"/>
        <v>$50-$75</v>
      </c>
    </row>
    <row r="950" spans="1:19" x14ac:dyDescent="0.35">
      <c r="A950" t="s">
        <v>1014</v>
      </c>
      <c r="B950">
        <v>34</v>
      </c>
      <c r="C950" t="s">
        <v>55</v>
      </c>
      <c r="D950" t="s">
        <v>55</v>
      </c>
      <c r="E950" t="s">
        <v>55</v>
      </c>
      <c r="F950">
        <v>71</v>
      </c>
      <c r="G950" t="s">
        <v>56</v>
      </c>
      <c r="H950" t="s">
        <v>55</v>
      </c>
      <c r="I950" t="s">
        <v>29</v>
      </c>
      <c r="J950" t="s">
        <v>12</v>
      </c>
      <c r="K950" t="s">
        <v>55</v>
      </c>
      <c r="L950" t="s">
        <v>26</v>
      </c>
      <c r="M950">
        <v>54.62</v>
      </c>
      <c r="N950">
        <v>3944.24</v>
      </c>
      <c r="O950" t="s">
        <v>62</v>
      </c>
      <c r="P950" t="s">
        <v>55</v>
      </c>
      <c r="Q950">
        <f t="shared" si="42"/>
        <v>0</v>
      </c>
      <c r="R950" t="str">
        <f t="shared" si="43"/>
        <v>49+ months</v>
      </c>
      <c r="S950" t="str">
        <f t="shared" si="44"/>
        <v>$50-$75</v>
      </c>
    </row>
    <row r="951" spans="1:19" x14ac:dyDescent="0.35">
      <c r="A951" t="s">
        <v>1015</v>
      </c>
      <c r="B951">
        <v>24</v>
      </c>
      <c r="C951" t="s">
        <v>55</v>
      </c>
      <c r="D951" t="s">
        <v>56</v>
      </c>
      <c r="E951" t="s">
        <v>55</v>
      </c>
      <c r="F951">
        <v>15</v>
      </c>
      <c r="G951" t="s">
        <v>55</v>
      </c>
      <c r="H951" t="s">
        <v>60</v>
      </c>
      <c r="I951" t="s">
        <v>30</v>
      </c>
      <c r="J951" t="s">
        <v>12</v>
      </c>
      <c r="K951" t="s">
        <v>55</v>
      </c>
      <c r="L951" t="s">
        <v>26</v>
      </c>
      <c r="M951">
        <v>91.81</v>
      </c>
      <c r="N951">
        <v>1457.19</v>
      </c>
      <c r="O951" t="s">
        <v>66</v>
      </c>
      <c r="P951" t="s">
        <v>56</v>
      </c>
      <c r="Q951">
        <f t="shared" si="42"/>
        <v>1</v>
      </c>
      <c r="R951" t="str">
        <f t="shared" si="43"/>
        <v>13-24 months</v>
      </c>
      <c r="S951" t="str">
        <f t="shared" si="44"/>
        <v>$76-$100</v>
      </c>
    </row>
    <row r="952" spans="1:19" x14ac:dyDescent="0.35">
      <c r="A952" t="s">
        <v>1016</v>
      </c>
      <c r="B952">
        <v>50</v>
      </c>
      <c r="C952" t="s">
        <v>55</v>
      </c>
      <c r="D952" t="s">
        <v>56</v>
      </c>
      <c r="E952" t="s">
        <v>55</v>
      </c>
      <c r="F952">
        <v>66</v>
      </c>
      <c r="G952" t="s">
        <v>56</v>
      </c>
      <c r="H952" t="s">
        <v>55</v>
      </c>
      <c r="I952" t="s">
        <v>30</v>
      </c>
      <c r="J952" t="s">
        <v>12</v>
      </c>
      <c r="K952" t="s">
        <v>55</v>
      </c>
      <c r="L952" t="s">
        <v>24</v>
      </c>
      <c r="M952">
        <v>109</v>
      </c>
      <c r="N952">
        <v>7248.29</v>
      </c>
      <c r="O952" t="s">
        <v>80</v>
      </c>
      <c r="P952" t="s">
        <v>55</v>
      </c>
      <c r="Q952">
        <f t="shared" si="42"/>
        <v>0</v>
      </c>
      <c r="R952" t="str">
        <f t="shared" si="43"/>
        <v>49+ months</v>
      </c>
      <c r="S952" t="str">
        <f t="shared" si="44"/>
        <v>&gt; $100</v>
      </c>
    </row>
    <row r="953" spans="1:19" x14ac:dyDescent="0.35">
      <c r="A953" t="s">
        <v>1017</v>
      </c>
      <c r="B953">
        <v>69</v>
      </c>
      <c r="C953" t="s">
        <v>56</v>
      </c>
      <c r="D953" t="s">
        <v>55</v>
      </c>
      <c r="E953" t="s">
        <v>56</v>
      </c>
      <c r="F953">
        <v>68</v>
      </c>
      <c r="G953" t="s">
        <v>56</v>
      </c>
      <c r="H953" t="s">
        <v>56</v>
      </c>
      <c r="I953" t="s">
        <v>30</v>
      </c>
      <c r="J953" t="s">
        <v>12</v>
      </c>
      <c r="K953" t="s">
        <v>56</v>
      </c>
      <c r="L953" t="s">
        <v>1066</v>
      </c>
      <c r="M953">
        <v>107.56</v>
      </c>
      <c r="N953">
        <v>7008.69</v>
      </c>
      <c r="O953" t="s">
        <v>58</v>
      </c>
      <c r="P953" t="s">
        <v>55</v>
      </c>
      <c r="Q953">
        <f t="shared" si="42"/>
        <v>0</v>
      </c>
      <c r="R953" t="str">
        <f t="shared" si="43"/>
        <v>49+ months</v>
      </c>
      <c r="S953" t="str">
        <f t="shared" si="44"/>
        <v>&gt; $100</v>
      </c>
    </row>
    <row r="954" spans="1:19" x14ac:dyDescent="0.35">
      <c r="A954" t="s">
        <v>1018</v>
      </c>
      <c r="B954">
        <v>45</v>
      </c>
      <c r="C954" t="s">
        <v>55</v>
      </c>
      <c r="D954" t="s">
        <v>56</v>
      </c>
      <c r="E954" t="s">
        <v>55</v>
      </c>
      <c r="F954">
        <v>7</v>
      </c>
      <c r="G954" t="s">
        <v>55</v>
      </c>
      <c r="H954" t="s">
        <v>60</v>
      </c>
      <c r="I954" t="s">
        <v>31</v>
      </c>
      <c r="J954" t="s">
        <v>12</v>
      </c>
      <c r="K954" t="s">
        <v>55</v>
      </c>
      <c r="L954" t="s">
        <v>25</v>
      </c>
      <c r="M954">
        <v>23.62</v>
      </c>
      <c r="N954">
        <v>158.12</v>
      </c>
      <c r="O954" t="s">
        <v>80</v>
      </c>
      <c r="P954" t="s">
        <v>55</v>
      </c>
      <c r="Q954">
        <f t="shared" si="42"/>
        <v>0</v>
      </c>
      <c r="R954" t="str">
        <f t="shared" si="43"/>
        <v>0-12 months</v>
      </c>
      <c r="S954" t="str">
        <f t="shared" si="44"/>
        <v>&lt; $50</v>
      </c>
    </row>
    <row r="955" spans="1:19" x14ac:dyDescent="0.35">
      <c r="A955" t="s">
        <v>1019</v>
      </c>
      <c r="B955">
        <v>22</v>
      </c>
      <c r="C955" t="s">
        <v>55</v>
      </c>
      <c r="D955" t="s">
        <v>55</v>
      </c>
      <c r="E955" t="s">
        <v>55</v>
      </c>
      <c r="F955">
        <v>27</v>
      </c>
      <c r="G955" t="s">
        <v>56</v>
      </c>
      <c r="H955" t="s">
        <v>56</v>
      </c>
      <c r="I955" t="s">
        <v>31</v>
      </c>
      <c r="J955" t="s">
        <v>12</v>
      </c>
      <c r="K955" t="s">
        <v>56</v>
      </c>
      <c r="L955" t="s">
        <v>24</v>
      </c>
      <c r="M955">
        <v>19.920000000000002</v>
      </c>
      <c r="N955">
        <v>568.30999999999995</v>
      </c>
      <c r="O955" t="s">
        <v>62</v>
      </c>
      <c r="P955" t="s">
        <v>55</v>
      </c>
      <c r="Q955">
        <f t="shared" si="42"/>
        <v>0</v>
      </c>
      <c r="R955" t="str">
        <f t="shared" si="43"/>
        <v>25-48 months</v>
      </c>
      <c r="S955" t="str">
        <f t="shared" si="44"/>
        <v>&lt; $50</v>
      </c>
    </row>
    <row r="956" spans="1:19" x14ac:dyDescent="0.35">
      <c r="A956" t="s">
        <v>1020</v>
      </c>
      <c r="B956">
        <v>43</v>
      </c>
      <c r="C956" t="s">
        <v>55</v>
      </c>
      <c r="D956" t="s">
        <v>56</v>
      </c>
      <c r="E956" t="s">
        <v>55</v>
      </c>
      <c r="F956">
        <v>51</v>
      </c>
      <c r="G956" t="s">
        <v>56</v>
      </c>
      <c r="H956" t="s">
        <v>55</v>
      </c>
      <c r="I956" t="s">
        <v>29</v>
      </c>
      <c r="J956" t="s">
        <v>12</v>
      </c>
      <c r="K956" t="s">
        <v>55</v>
      </c>
      <c r="L956" t="s">
        <v>26</v>
      </c>
      <c r="M956">
        <v>56.06</v>
      </c>
      <c r="N956">
        <v>2936.59</v>
      </c>
      <c r="O956" t="s">
        <v>69</v>
      </c>
      <c r="P956" t="s">
        <v>55</v>
      </c>
      <c r="Q956">
        <f t="shared" si="42"/>
        <v>0</v>
      </c>
      <c r="R956" t="str">
        <f t="shared" si="43"/>
        <v>49+ months</v>
      </c>
      <c r="S956" t="str">
        <f t="shared" si="44"/>
        <v>$50-$75</v>
      </c>
    </row>
    <row r="957" spans="1:19" x14ac:dyDescent="0.35">
      <c r="A957" t="s">
        <v>1021</v>
      </c>
      <c r="B957">
        <v>27</v>
      </c>
      <c r="C957" t="s">
        <v>55</v>
      </c>
      <c r="D957" t="s">
        <v>56</v>
      </c>
      <c r="E957" t="s">
        <v>55</v>
      </c>
      <c r="F957">
        <v>19</v>
      </c>
      <c r="G957" t="s">
        <v>55</v>
      </c>
      <c r="H957" t="s">
        <v>60</v>
      </c>
      <c r="I957" t="s">
        <v>29</v>
      </c>
      <c r="J957" t="s">
        <v>12</v>
      </c>
      <c r="K957" t="s">
        <v>56</v>
      </c>
      <c r="L957" t="s">
        <v>24</v>
      </c>
      <c r="M957">
        <v>60.97</v>
      </c>
      <c r="N957">
        <v>1196.19</v>
      </c>
      <c r="O957" t="s">
        <v>62</v>
      </c>
      <c r="P957" t="s">
        <v>55</v>
      </c>
      <c r="Q957">
        <f t="shared" si="42"/>
        <v>0</v>
      </c>
      <c r="R957" t="str">
        <f t="shared" si="43"/>
        <v>13-24 months</v>
      </c>
      <c r="S957" t="str">
        <f t="shared" si="44"/>
        <v>$50-$75</v>
      </c>
    </row>
    <row r="958" spans="1:19" x14ac:dyDescent="0.35">
      <c r="A958" t="s">
        <v>1022</v>
      </c>
      <c r="B958">
        <v>60</v>
      </c>
      <c r="C958" t="s">
        <v>56</v>
      </c>
      <c r="D958" t="s">
        <v>55</v>
      </c>
      <c r="E958" t="s">
        <v>55</v>
      </c>
      <c r="F958">
        <v>16</v>
      </c>
      <c r="G958" t="s">
        <v>55</v>
      </c>
      <c r="H958" t="s">
        <v>60</v>
      </c>
      <c r="I958" t="s">
        <v>29</v>
      </c>
      <c r="J958" t="s">
        <v>12</v>
      </c>
      <c r="K958" t="s">
        <v>55</v>
      </c>
      <c r="L958" t="s">
        <v>25</v>
      </c>
      <c r="M958">
        <v>77.98</v>
      </c>
      <c r="N958">
        <v>1178.95</v>
      </c>
      <c r="O958" t="s">
        <v>76</v>
      </c>
      <c r="P958" t="s">
        <v>55</v>
      </c>
      <c r="Q958">
        <f t="shared" si="42"/>
        <v>0</v>
      </c>
      <c r="R958" t="str">
        <f t="shared" si="43"/>
        <v>13-24 months</v>
      </c>
      <c r="S958" t="str">
        <f t="shared" si="44"/>
        <v>$76-$100</v>
      </c>
    </row>
    <row r="959" spans="1:19" x14ac:dyDescent="0.35">
      <c r="A959" t="s">
        <v>1023</v>
      </c>
      <c r="B959">
        <v>25</v>
      </c>
      <c r="C959" t="s">
        <v>55</v>
      </c>
      <c r="D959" t="s">
        <v>55</v>
      </c>
      <c r="E959" t="s">
        <v>55</v>
      </c>
      <c r="F959">
        <v>22</v>
      </c>
      <c r="G959" t="s">
        <v>55</v>
      </c>
      <c r="H959" t="s">
        <v>60</v>
      </c>
      <c r="I959" t="s">
        <v>31</v>
      </c>
      <c r="J959" t="s">
        <v>13</v>
      </c>
      <c r="K959" t="s">
        <v>56</v>
      </c>
      <c r="L959" t="s">
        <v>24</v>
      </c>
      <c r="M959">
        <v>19.059999999999999</v>
      </c>
      <c r="N959">
        <v>430.98</v>
      </c>
      <c r="O959" t="s">
        <v>66</v>
      </c>
      <c r="P959" t="s">
        <v>55</v>
      </c>
      <c r="Q959">
        <f t="shared" si="42"/>
        <v>0</v>
      </c>
      <c r="R959" t="str">
        <f t="shared" si="43"/>
        <v>13-24 months</v>
      </c>
      <c r="S959" t="str">
        <f t="shared" si="44"/>
        <v>&lt; $50</v>
      </c>
    </row>
    <row r="960" spans="1:19" x14ac:dyDescent="0.35">
      <c r="A960" t="s">
        <v>1024</v>
      </c>
      <c r="B960">
        <v>41</v>
      </c>
      <c r="C960" t="s">
        <v>55</v>
      </c>
      <c r="D960" t="s">
        <v>56</v>
      </c>
      <c r="E960" t="s">
        <v>55</v>
      </c>
      <c r="F960">
        <v>56</v>
      </c>
      <c r="G960" t="s">
        <v>56</v>
      </c>
      <c r="H960" t="s">
        <v>55</v>
      </c>
      <c r="I960" t="s">
        <v>30</v>
      </c>
      <c r="J960" t="s">
        <v>12</v>
      </c>
      <c r="K960" t="s">
        <v>55</v>
      </c>
      <c r="L960" t="s">
        <v>25</v>
      </c>
      <c r="M960">
        <v>102.01</v>
      </c>
      <c r="N960">
        <v>5595.22</v>
      </c>
      <c r="O960" t="s">
        <v>76</v>
      </c>
      <c r="P960" t="s">
        <v>55</v>
      </c>
      <c r="Q960">
        <f t="shared" si="42"/>
        <v>0</v>
      </c>
      <c r="R960" t="str">
        <f t="shared" si="43"/>
        <v>49+ months</v>
      </c>
      <c r="S960" t="str">
        <f t="shared" si="44"/>
        <v>&gt; $100</v>
      </c>
    </row>
    <row r="961" spans="1:19" x14ac:dyDescent="0.35">
      <c r="A961" t="s">
        <v>1025</v>
      </c>
      <c r="B961">
        <v>40</v>
      </c>
      <c r="C961" t="s">
        <v>55</v>
      </c>
      <c r="D961" t="s">
        <v>56</v>
      </c>
      <c r="E961" t="s">
        <v>56</v>
      </c>
      <c r="F961">
        <v>13</v>
      </c>
      <c r="G961" t="s">
        <v>55</v>
      </c>
      <c r="H961" t="s">
        <v>60</v>
      </c>
      <c r="I961" t="s">
        <v>29</v>
      </c>
      <c r="J961" t="s">
        <v>12</v>
      </c>
      <c r="K961" t="s">
        <v>55</v>
      </c>
      <c r="L961" t="s">
        <v>26</v>
      </c>
      <c r="M961">
        <v>57.35</v>
      </c>
      <c r="N961">
        <v>724.59</v>
      </c>
      <c r="O961" t="s">
        <v>66</v>
      </c>
      <c r="P961" t="s">
        <v>55</v>
      </c>
      <c r="Q961">
        <f t="shared" si="42"/>
        <v>0</v>
      </c>
      <c r="R961" t="str">
        <f t="shared" si="43"/>
        <v>13-24 months</v>
      </c>
      <c r="S961" t="str">
        <f t="shared" si="44"/>
        <v>$50-$75</v>
      </c>
    </row>
    <row r="962" spans="1:19" x14ac:dyDescent="0.35">
      <c r="A962" t="s">
        <v>1026</v>
      </c>
      <c r="B962">
        <v>63</v>
      </c>
      <c r="C962" t="s">
        <v>56</v>
      </c>
      <c r="D962" t="s">
        <v>55</v>
      </c>
      <c r="E962" t="s">
        <v>55</v>
      </c>
      <c r="F962">
        <v>67</v>
      </c>
      <c r="G962" t="s">
        <v>55</v>
      </c>
      <c r="H962" t="s">
        <v>60</v>
      </c>
      <c r="I962" t="s">
        <v>31</v>
      </c>
      <c r="J962" t="s">
        <v>12</v>
      </c>
      <c r="K962" t="s">
        <v>56</v>
      </c>
      <c r="L962" t="s">
        <v>24</v>
      </c>
      <c r="M962">
        <v>27.52</v>
      </c>
      <c r="N962">
        <v>1944.31</v>
      </c>
      <c r="O962" t="s">
        <v>80</v>
      </c>
      <c r="P962" t="s">
        <v>55</v>
      </c>
      <c r="Q962">
        <f t="shared" si="42"/>
        <v>0</v>
      </c>
      <c r="R962" t="str">
        <f t="shared" si="43"/>
        <v>49+ months</v>
      </c>
      <c r="S962" t="str">
        <f t="shared" si="44"/>
        <v>&lt; $50</v>
      </c>
    </row>
    <row r="963" spans="1:19" x14ac:dyDescent="0.35">
      <c r="A963" t="s">
        <v>1027</v>
      </c>
      <c r="B963">
        <v>66</v>
      </c>
      <c r="C963" t="s">
        <v>56</v>
      </c>
      <c r="D963" t="s">
        <v>56</v>
      </c>
      <c r="E963" t="s">
        <v>55</v>
      </c>
      <c r="F963">
        <v>54</v>
      </c>
      <c r="G963" t="s">
        <v>56</v>
      </c>
      <c r="H963" t="s">
        <v>56</v>
      </c>
      <c r="I963" t="s">
        <v>31</v>
      </c>
      <c r="J963" t="s">
        <v>13</v>
      </c>
      <c r="K963" t="s">
        <v>55</v>
      </c>
      <c r="L963" t="s">
        <v>24</v>
      </c>
      <c r="M963">
        <v>24.27</v>
      </c>
      <c r="N963">
        <v>1379.81</v>
      </c>
      <c r="O963" t="s">
        <v>69</v>
      </c>
      <c r="P963" t="s">
        <v>55</v>
      </c>
      <c r="Q963">
        <f t="shared" ref="Q963:Q1001" si="45">IF(P963="Yes",1,0)</f>
        <v>0</v>
      </c>
      <c r="R963" t="str">
        <f t="shared" ref="R963:R1001" si="46">IF(F963&lt;=12,"0-12 months",IF(F963&lt;=24,"13-24 months",IF(F963&lt;=48,"25-48 months","49+ months")))</f>
        <v>49+ months</v>
      </c>
      <c r="S963" t="str">
        <f t="shared" ref="S963:S1001" si="47">IF(M963&lt;50,"&lt; $50",IF(M963&lt;=75,"$50-$75",IF(M963&lt;=100,"$76-$100","&gt; $100")))</f>
        <v>&lt; $50</v>
      </c>
    </row>
    <row r="964" spans="1:19" x14ac:dyDescent="0.35">
      <c r="A964" t="s">
        <v>1028</v>
      </c>
      <c r="B964">
        <v>65</v>
      </c>
      <c r="C964" t="s">
        <v>56</v>
      </c>
      <c r="D964" t="s">
        <v>55</v>
      </c>
      <c r="E964" t="s">
        <v>56</v>
      </c>
      <c r="F964">
        <v>28</v>
      </c>
      <c r="G964" t="s">
        <v>56</v>
      </c>
      <c r="H964" t="s">
        <v>55</v>
      </c>
      <c r="I964" t="s">
        <v>29</v>
      </c>
      <c r="J964" t="s">
        <v>12</v>
      </c>
      <c r="K964" t="s">
        <v>55</v>
      </c>
      <c r="L964" t="s">
        <v>25</v>
      </c>
      <c r="M964">
        <v>72.08</v>
      </c>
      <c r="N964">
        <v>2073.7199999999998</v>
      </c>
      <c r="O964" t="s">
        <v>76</v>
      </c>
      <c r="P964" t="s">
        <v>55</v>
      </c>
      <c r="Q964">
        <f t="shared" si="45"/>
        <v>0</v>
      </c>
      <c r="R964" t="str">
        <f t="shared" si="46"/>
        <v>25-48 months</v>
      </c>
      <c r="S964" t="str">
        <f t="shared" si="47"/>
        <v>$50-$75</v>
      </c>
    </row>
    <row r="965" spans="1:19" x14ac:dyDescent="0.35">
      <c r="A965" t="s">
        <v>1029</v>
      </c>
      <c r="B965">
        <v>40</v>
      </c>
      <c r="C965" t="s">
        <v>55</v>
      </c>
      <c r="D965" t="s">
        <v>55</v>
      </c>
      <c r="E965" t="s">
        <v>55</v>
      </c>
      <c r="F965">
        <v>32</v>
      </c>
      <c r="G965" t="s">
        <v>56</v>
      </c>
      <c r="H965" t="s">
        <v>56</v>
      </c>
      <c r="I965" t="s">
        <v>30</v>
      </c>
      <c r="J965" t="s">
        <v>13</v>
      </c>
      <c r="K965" t="s">
        <v>55</v>
      </c>
      <c r="L965" t="s">
        <v>1066</v>
      </c>
      <c r="M965">
        <v>78.03</v>
      </c>
      <c r="N965">
        <v>2514.48</v>
      </c>
      <c r="O965" t="s">
        <v>69</v>
      </c>
      <c r="P965" t="s">
        <v>55</v>
      </c>
      <c r="Q965">
        <f t="shared" si="45"/>
        <v>0</v>
      </c>
      <c r="R965" t="str">
        <f t="shared" si="46"/>
        <v>25-48 months</v>
      </c>
      <c r="S965" t="str">
        <f t="shared" si="47"/>
        <v>$76-$100</v>
      </c>
    </row>
    <row r="966" spans="1:19" x14ac:dyDescent="0.35">
      <c r="A966" t="s">
        <v>1030</v>
      </c>
      <c r="B966">
        <v>38</v>
      </c>
      <c r="C966" t="s">
        <v>55</v>
      </c>
      <c r="D966" t="s">
        <v>55</v>
      </c>
      <c r="E966" t="s">
        <v>55</v>
      </c>
      <c r="F966">
        <v>23</v>
      </c>
      <c r="G966" t="s">
        <v>56</v>
      </c>
      <c r="H966" t="s">
        <v>56</v>
      </c>
      <c r="I966" t="s">
        <v>31</v>
      </c>
      <c r="J966" t="s">
        <v>13</v>
      </c>
      <c r="K966" t="s">
        <v>56</v>
      </c>
      <c r="L966" t="s">
        <v>26</v>
      </c>
      <c r="M966">
        <v>21.67</v>
      </c>
      <c r="N966">
        <v>523.17999999999995</v>
      </c>
      <c r="O966" t="s">
        <v>64</v>
      </c>
      <c r="P966" t="s">
        <v>56</v>
      </c>
      <c r="Q966">
        <f t="shared" si="45"/>
        <v>1</v>
      </c>
      <c r="R966" t="str">
        <f t="shared" si="46"/>
        <v>13-24 months</v>
      </c>
      <c r="S966" t="str">
        <f t="shared" si="47"/>
        <v>&lt; $50</v>
      </c>
    </row>
    <row r="967" spans="1:19" x14ac:dyDescent="0.35">
      <c r="A967" t="s">
        <v>1031</v>
      </c>
      <c r="B967">
        <v>38</v>
      </c>
      <c r="C967" t="s">
        <v>55</v>
      </c>
      <c r="D967" t="s">
        <v>55</v>
      </c>
      <c r="E967" t="s">
        <v>56</v>
      </c>
      <c r="F967">
        <v>49</v>
      </c>
      <c r="G967" t="s">
        <v>55</v>
      </c>
      <c r="H967" t="s">
        <v>60</v>
      </c>
      <c r="I967" t="s">
        <v>30</v>
      </c>
      <c r="J967" t="s">
        <v>12</v>
      </c>
      <c r="K967" t="s">
        <v>55</v>
      </c>
      <c r="L967" t="s">
        <v>25</v>
      </c>
      <c r="M967">
        <v>107.74</v>
      </c>
      <c r="N967">
        <v>5570.24</v>
      </c>
      <c r="O967" t="s">
        <v>80</v>
      </c>
      <c r="P967" t="s">
        <v>56</v>
      </c>
      <c r="Q967">
        <f t="shared" si="45"/>
        <v>1</v>
      </c>
      <c r="R967" t="str">
        <f t="shared" si="46"/>
        <v>49+ months</v>
      </c>
      <c r="S967" t="str">
        <f t="shared" si="47"/>
        <v>&gt; $100</v>
      </c>
    </row>
    <row r="968" spans="1:19" x14ac:dyDescent="0.35">
      <c r="A968" t="s">
        <v>1032</v>
      </c>
      <c r="B968">
        <v>30</v>
      </c>
      <c r="C968" t="s">
        <v>55</v>
      </c>
      <c r="D968" t="s">
        <v>55</v>
      </c>
      <c r="E968" t="s">
        <v>55</v>
      </c>
      <c r="F968">
        <v>72</v>
      </c>
      <c r="G968" t="s">
        <v>55</v>
      </c>
      <c r="H968" t="s">
        <v>60</v>
      </c>
      <c r="I968" t="s">
        <v>29</v>
      </c>
      <c r="J968" t="s">
        <v>13</v>
      </c>
      <c r="K968" t="s">
        <v>56</v>
      </c>
      <c r="L968" t="s">
        <v>26</v>
      </c>
      <c r="M968">
        <v>43.62</v>
      </c>
      <c r="N968">
        <v>3177.56</v>
      </c>
      <c r="O968" t="s">
        <v>64</v>
      </c>
      <c r="P968" t="s">
        <v>55</v>
      </c>
      <c r="Q968">
        <f t="shared" si="45"/>
        <v>0</v>
      </c>
      <c r="R968" t="str">
        <f t="shared" si="46"/>
        <v>49+ months</v>
      </c>
      <c r="S968" t="str">
        <f t="shared" si="47"/>
        <v>&lt; $50</v>
      </c>
    </row>
    <row r="969" spans="1:19" x14ac:dyDescent="0.35">
      <c r="A969" t="s">
        <v>1033</v>
      </c>
      <c r="B969">
        <v>72</v>
      </c>
      <c r="C969" t="s">
        <v>56</v>
      </c>
      <c r="D969" t="s">
        <v>55</v>
      </c>
      <c r="E969" t="s">
        <v>56</v>
      </c>
      <c r="F969">
        <v>44</v>
      </c>
      <c r="G969" t="s">
        <v>55</v>
      </c>
      <c r="H969" t="s">
        <v>60</v>
      </c>
      <c r="I969" t="s">
        <v>29</v>
      </c>
      <c r="J969" t="s">
        <v>12</v>
      </c>
      <c r="K969" t="s">
        <v>55</v>
      </c>
      <c r="L969" t="s">
        <v>26</v>
      </c>
      <c r="M969">
        <v>78.239999999999995</v>
      </c>
      <c r="N969">
        <v>3572.51</v>
      </c>
      <c r="O969" t="s">
        <v>76</v>
      </c>
      <c r="P969" t="s">
        <v>55</v>
      </c>
      <c r="Q969">
        <f t="shared" si="45"/>
        <v>0</v>
      </c>
      <c r="R969" t="str">
        <f t="shared" si="46"/>
        <v>25-48 months</v>
      </c>
      <c r="S969" t="str">
        <f t="shared" si="47"/>
        <v>$76-$100</v>
      </c>
    </row>
    <row r="970" spans="1:19" x14ac:dyDescent="0.35">
      <c r="A970" t="s">
        <v>1034</v>
      </c>
      <c r="B970">
        <v>57</v>
      </c>
      <c r="C970" t="s">
        <v>55</v>
      </c>
      <c r="D970" t="s">
        <v>56</v>
      </c>
      <c r="E970" t="s">
        <v>55</v>
      </c>
      <c r="F970">
        <v>29</v>
      </c>
      <c r="G970" t="s">
        <v>56</v>
      </c>
      <c r="H970" t="s">
        <v>56</v>
      </c>
      <c r="I970" t="s">
        <v>30</v>
      </c>
      <c r="J970" t="s">
        <v>12</v>
      </c>
      <c r="K970" t="s">
        <v>55</v>
      </c>
      <c r="L970" t="s">
        <v>26</v>
      </c>
      <c r="M970">
        <v>81.22</v>
      </c>
      <c r="N970">
        <v>2410.52</v>
      </c>
      <c r="O970" t="s">
        <v>62</v>
      </c>
      <c r="P970" t="s">
        <v>56</v>
      </c>
      <c r="Q970">
        <f t="shared" si="45"/>
        <v>1</v>
      </c>
      <c r="R970" t="str">
        <f t="shared" si="46"/>
        <v>25-48 months</v>
      </c>
      <c r="S970" t="str">
        <f t="shared" si="47"/>
        <v>$76-$100</v>
      </c>
    </row>
    <row r="971" spans="1:19" x14ac:dyDescent="0.35">
      <c r="A971" t="s">
        <v>1035</v>
      </c>
      <c r="B971">
        <v>46</v>
      </c>
      <c r="C971" t="s">
        <v>55</v>
      </c>
      <c r="D971" t="s">
        <v>56</v>
      </c>
      <c r="E971" t="s">
        <v>56</v>
      </c>
      <c r="F971">
        <v>2</v>
      </c>
      <c r="G971" t="s">
        <v>56</v>
      </c>
      <c r="H971" t="s">
        <v>55</v>
      </c>
      <c r="I971" t="s">
        <v>30</v>
      </c>
      <c r="J971" t="s">
        <v>12</v>
      </c>
      <c r="K971" t="s">
        <v>55</v>
      </c>
      <c r="L971" t="s">
        <v>24</v>
      </c>
      <c r="M971">
        <v>97.56</v>
      </c>
      <c r="N971">
        <v>196.71</v>
      </c>
      <c r="O971" t="s">
        <v>66</v>
      </c>
      <c r="P971" t="s">
        <v>56</v>
      </c>
      <c r="Q971">
        <f t="shared" si="45"/>
        <v>1</v>
      </c>
      <c r="R971" t="str">
        <f t="shared" si="46"/>
        <v>0-12 months</v>
      </c>
      <c r="S971" t="str">
        <f t="shared" si="47"/>
        <v>$76-$100</v>
      </c>
    </row>
    <row r="972" spans="1:19" x14ac:dyDescent="0.35">
      <c r="A972" t="s">
        <v>1036</v>
      </c>
      <c r="B972">
        <v>51</v>
      </c>
      <c r="C972" t="s">
        <v>55</v>
      </c>
      <c r="D972" t="s">
        <v>55</v>
      </c>
      <c r="E972" t="s">
        <v>55</v>
      </c>
      <c r="F972">
        <v>34</v>
      </c>
      <c r="G972" t="s">
        <v>55</v>
      </c>
      <c r="H972" t="s">
        <v>60</v>
      </c>
      <c r="I972" t="s">
        <v>29</v>
      </c>
      <c r="J972" t="s">
        <v>14</v>
      </c>
      <c r="K972" t="s">
        <v>55</v>
      </c>
      <c r="L972" t="s">
        <v>24</v>
      </c>
      <c r="M972">
        <v>54.58</v>
      </c>
      <c r="N972">
        <v>1950.47</v>
      </c>
      <c r="O972" t="s">
        <v>58</v>
      </c>
      <c r="P972" t="s">
        <v>55</v>
      </c>
      <c r="Q972">
        <f t="shared" si="45"/>
        <v>0</v>
      </c>
      <c r="R972" t="str">
        <f t="shared" si="46"/>
        <v>25-48 months</v>
      </c>
      <c r="S972" t="str">
        <f t="shared" si="47"/>
        <v>$50-$75</v>
      </c>
    </row>
    <row r="973" spans="1:19" x14ac:dyDescent="0.35">
      <c r="A973" t="s">
        <v>1037</v>
      </c>
      <c r="B973">
        <v>40</v>
      </c>
      <c r="C973" t="s">
        <v>55</v>
      </c>
      <c r="D973" t="s">
        <v>56</v>
      </c>
      <c r="E973" t="s">
        <v>56</v>
      </c>
      <c r="F973">
        <v>42</v>
      </c>
      <c r="G973" t="s">
        <v>56</v>
      </c>
      <c r="H973" t="s">
        <v>55</v>
      </c>
      <c r="I973" t="s">
        <v>31</v>
      </c>
      <c r="J973" t="s">
        <v>13</v>
      </c>
      <c r="K973" t="s">
        <v>56</v>
      </c>
      <c r="L973" t="s">
        <v>25</v>
      </c>
      <c r="M973">
        <v>27.41</v>
      </c>
      <c r="N973">
        <v>1152.25</v>
      </c>
      <c r="O973" t="s">
        <v>76</v>
      </c>
      <c r="P973" t="s">
        <v>55</v>
      </c>
      <c r="Q973">
        <f t="shared" si="45"/>
        <v>0</v>
      </c>
      <c r="R973" t="str">
        <f t="shared" si="46"/>
        <v>25-48 months</v>
      </c>
      <c r="S973" t="str">
        <f t="shared" si="47"/>
        <v>&lt; $50</v>
      </c>
    </row>
    <row r="974" spans="1:19" x14ac:dyDescent="0.35">
      <c r="A974" t="s">
        <v>1038</v>
      </c>
      <c r="B974">
        <v>24</v>
      </c>
      <c r="C974" t="s">
        <v>55</v>
      </c>
      <c r="D974" t="s">
        <v>56</v>
      </c>
      <c r="E974" t="s">
        <v>55</v>
      </c>
      <c r="F974">
        <v>71</v>
      </c>
      <c r="G974" t="s">
        <v>56</v>
      </c>
      <c r="H974" t="s">
        <v>55</v>
      </c>
      <c r="I974" t="s">
        <v>31</v>
      </c>
      <c r="J974" t="s">
        <v>13</v>
      </c>
      <c r="K974" t="s">
        <v>56</v>
      </c>
      <c r="L974" t="s">
        <v>24</v>
      </c>
      <c r="M974">
        <v>23.25</v>
      </c>
      <c r="N974">
        <v>1668.79</v>
      </c>
      <c r="O974" t="s">
        <v>62</v>
      </c>
      <c r="P974" t="s">
        <v>56</v>
      </c>
      <c r="Q974">
        <f t="shared" si="45"/>
        <v>1</v>
      </c>
      <c r="R974" t="str">
        <f t="shared" si="46"/>
        <v>49+ months</v>
      </c>
      <c r="S974" t="str">
        <f t="shared" si="47"/>
        <v>&lt; $50</v>
      </c>
    </row>
    <row r="975" spans="1:19" x14ac:dyDescent="0.35">
      <c r="A975" t="s">
        <v>1039</v>
      </c>
      <c r="B975">
        <v>19</v>
      </c>
      <c r="C975" t="s">
        <v>55</v>
      </c>
      <c r="D975" t="s">
        <v>55</v>
      </c>
      <c r="E975" t="s">
        <v>56</v>
      </c>
      <c r="F975">
        <v>45</v>
      </c>
      <c r="G975" t="s">
        <v>56</v>
      </c>
      <c r="H975" t="s">
        <v>56</v>
      </c>
      <c r="I975" t="s">
        <v>29</v>
      </c>
      <c r="J975" t="s">
        <v>12</v>
      </c>
      <c r="K975" t="s">
        <v>55</v>
      </c>
      <c r="L975" t="s">
        <v>24</v>
      </c>
      <c r="M975">
        <v>77.89</v>
      </c>
      <c r="N975">
        <v>3600.85</v>
      </c>
      <c r="O975" t="s">
        <v>64</v>
      </c>
      <c r="P975" t="s">
        <v>55</v>
      </c>
      <c r="Q975">
        <f t="shared" si="45"/>
        <v>0</v>
      </c>
      <c r="R975" t="str">
        <f t="shared" si="46"/>
        <v>25-48 months</v>
      </c>
      <c r="S975" t="str">
        <f t="shared" si="47"/>
        <v>$76-$100</v>
      </c>
    </row>
    <row r="976" spans="1:19" x14ac:dyDescent="0.35">
      <c r="A976" t="s">
        <v>1040</v>
      </c>
      <c r="B976">
        <v>45</v>
      </c>
      <c r="C976" t="s">
        <v>55</v>
      </c>
      <c r="D976" t="s">
        <v>56</v>
      </c>
      <c r="E976" t="s">
        <v>55</v>
      </c>
      <c r="F976">
        <v>28</v>
      </c>
      <c r="G976" t="s">
        <v>55</v>
      </c>
      <c r="H976" t="s">
        <v>60</v>
      </c>
      <c r="I976" t="s">
        <v>29</v>
      </c>
      <c r="J976" t="s">
        <v>12</v>
      </c>
      <c r="K976" t="s">
        <v>55</v>
      </c>
      <c r="L976" t="s">
        <v>26</v>
      </c>
      <c r="M976">
        <v>62.79</v>
      </c>
      <c r="N976">
        <v>1837.44</v>
      </c>
      <c r="O976" t="s">
        <v>62</v>
      </c>
      <c r="P976" t="s">
        <v>55</v>
      </c>
      <c r="Q976">
        <f t="shared" si="45"/>
        <v>0</v>
      </c>
      <c r="R976" t="str">
        <f t="shared" si="46"/>
        <v>25-48 months</v>
      </c>
      <c r="S976" t="str">
        <f t="shared" si="47"/>
        <v>$50-$75</v>
      </c>
    </row>
    <row r="977" spans="1:19" x14ac:dyDescent="0.35">
      <c r="A977" t="s">
        <v>1041</v>
      </c>
      <c r="B977">
        <v>67</v>
      </c>
      <c r="C977" t="s">
        <v>56</v>
      </c>
      <c r="D977" t="s">
        <v>55</v>
      </c>
      <c r="E977" t="s">
        <v>56</v>
      </c>
      <c r="F977">
        <v>7</v>
      </c>
      <c r="G977" t="s">
        <v>55</v>
      </c>
      <c r="H977" t="s">
        <v>60</v>
      </c>
      <c r="I977" t="s">
        <v>29</v>
      </c>
      <c r="J977" t="s">
        <v>13</v>
      </c>
      <c r="K977" t="s">
        <v>56</v>
      </c>
      <c r="L977" t="s">
        <v>1066</v>
      </c>
      <c r="M977">
        <v>61.19</v>
      </c>
      <c r="N977">
        <v>440.17</v>
      </c>
      <c r="O977" t="s">
        <v>62</v>
      </c>
      <c r="P977" t="s">
        <v>55</v>
      </c>
      <c r="Q977">
        <f t="shared" si="45"/>
        <v>0</v>
      </c>
      <c r="R977" t="str">
        <f t="shared" si="46"/>
        <v>0-12 months</v>
      </c>
      <c r="S977" t="str">
        <f t="shared" si="47"/>
        <v>$50-$75</v>
      </c>
    </row>
    <row r="978" spans="1:19" x14ac:dyDescent="0.35">
      <c r="A978" t="s">
        <v>1042</v>
      </c>
      <c r="B978">
        <v>56</v>
      </c>
      <c r="C978" t="s">
        <v>55</v>
      </c>
      <c r="D978" t="s">
        <v>56</v>
      </c>
      <c r="E978" t="s">
        <v>56</v>
      </c>
      <c r="F978">
        <v>4</v>
      </c>
      <c r="G978" t="s">
        <v>55</v>
      </c>
      <c r="H978" t="s">
        <v>60</v>
      </c>
      <c r="I978" t="s">
        <v>29</v>
      </c>
      <c r="J978" t="s">
        <v>13</v>
      </c>
      <c r="K978" t="s">
        <v>55</v>
      </c>
      <c r="L978" t="s">
        <v>26</v>
      </c>
      <c r="M978">
        <v>77.849999999999994</v>
      </c>
      <c r="N978">
        <v>314.17</v>
      </c>
      <c r="O978" t="s">
        <v>64</v>
      </c>
      <c r="P978" t="s">
        <v>55</v>
      </c>
      <c r="Q978">
        <f t="shared" si="45"/>
        <v>0</v>
      </c>
      <c r="R978" t="str">
        <f t="shared" si="46"/>
        <v>0-12 months</v>
      </c>
      <c r="S978" t="str">
        <f t="shared" si="47"/>
        <v>$76-$100</v>
      </c>
    </row>
    <row r="979" spans="1:19" x14ac:dyDescent="0.35">
      <c r="A979" t="s">
        <v>1043</v>
      </c>
      <c r="B979">
        <v>69</v>
      </c>
      <c r="C979" t="s">
        <v>56</v>
      </c>
      <c r="D979" t="s">
        <v>55</v>
      </c>
      <c r="E979" t="s">
        <v>55</v>
      </c>
      <c r="F979">
        <v>61</v>
      </c>
      <c r="G979" t="s">
        <v>55</v>
      </c>
      <c r="H979" t="s">
        <v>60</v>
      </c>
      <c r="I979" t="s">
        <v>30</v>
      </c>
      <c r="J979" t="s">
        <v>12</v>
      </c>
      <c r="K979" t="s">
        <v>55</v>
      </c>
      <c r="L979" t="s">
        <v>24</v>
      </c>
      <c r="M979">
        <v>105.36</v>
      </c>
      <c r="N979">
        <v>6719.31</v>
      </c>
      <c r="O979" t="s">
        <v>62</v>
      </c>
      <c r="P979" t="s">
        <v>55</v>
      </c>
      <c r="Q979">
        <f t="shared" si="45"/>
        <v>0</v>
      </c>
      <c r="R979" t="str">
        <f t="shared" si="46"/>
        <v>49+ months</v>
      </c>
      <c r="S979" t="str">
        <f t="shared" si="47"/>
        <v>&gt; $100</v>
      </c>
    </row>
    <row r="980" spans="1:19" x14ac:dyDescent="0.35">
      <c r="A980" t="s">
        <v>1044</v>
      </c>
      <c r="B980">
        <v>34</v>
      </c>
      <c r="C980" t="s">
        <v>55</v>
      </c>
      <c r="D980" t="s">
        <v>55</v>
      </c>
      <c r="E980" t="s">
        <v>56</v>
      </c>
      <c r="F980">
        <v>30</v>
      </c>
      <c r="G980" t="s">
        <v>56</v>
      </c>
      <c r="H980" t="s">
        <v>56</v>
      </c>
      <c r="I980" t="s">
        <v>30</v>
      </c>
      <c r="J980" t="s">
        <v>13</v>
      </c>
      <c r="K980" t="s">
        <v>55</v>
      </c>
      <c r="L980" t="s">
        <v>26</v>
      </c>
      <c r="M980">
        <v>100.31</v>
      </c>
      <c r="N980">
        <v>3183.36</v>
      </c>
      <c r="O980" t="s">
        <v>76</v>
      </c>
      <c r="P980" t="s">
        <v>56</v>
      </c>
      <c r="Q980">
        <f t="shared" si="45"/>
        <v>1</v>
      </c>
      <c r="R980" t="str">
        <f t="shared" si="46"/>
        <v>25-48 months</v>
      </c>
      <c r="S980" t="str">
        <f t="shared" si="47"/>
        <v>&gt; $100</v>
      </c>
    </row>
    <row r="981" spans="1:19" x14ac:dyDescent="0.35">
      <c r="A981" t="s">
        <v>1045</v>
      </c>
      <c r="B981">
        <v>24</v>
      </c>
      <c r="C981" t="s">
        <v>55</v>
      </c>
      <c r="D981" t="s">
        <v>56</v>
      </c>
      <c r="E981" t="s">
        <v>56</v>
      </c>
      <c r="F981">
        <v>68</v>
      </c>
      <c r="G981" t="s">
        <v>55</v>
      </c>
      <c r="H981" t="s">
        <v>60</v>
      </c>
      <c r="I981" t="s">
        <v>30</v>
      </c>
      <c r="J981" t="s">
        <v>12</v>
      </c>
      <c r="K981" t="s">
        <v>56</v>
      </c>
      <c r="L981" t="s">
        <v>1066</v>
      </c>
      <c r="M981">
        <v>98.4</v>
      </c>
      <c r="N981">
        <v>6590.7</v>
      </c>
      <c r="O981" t="s">
        <v>62</v>
      </c>
      <c r="P981" t="s">
        <v>56</v>
      </c>
      <c r="Q981">
        <f t="shared" si="45"/>
        <v>1</v>
      </c>
      <c r="R981" t="str">
        <f t="shared" si="46"/>
        <v>49+ months</v>
      </c>
      <c r="S981" t="str">
        <f t="shared" si="47"/>
        <v>$76-$100</v>
      </c>
    </row>
    <row r="982" spans="1:19" x14ac:dyDescent="0.35">
      <c r="A982" t="s">
        <v>1046</v>
      </c>
      <c r="B982">
        <v>30</v>
      </c>
      <c r="C982" t="s">
        <v>55</v>
      </c>
      <c r="D982" t="s">
        <v>55</v>
      </c>
      <c r="E982" t="s">
        <v>56</v>
      </c>
      <c r="F982">
        <v>69</v>
      </c>
      <c r="G982" t="s">
        <v>55</v>
      </c>
      <c r="H982" t="s">
        <v>60</v>
      </c>
      <c r="I982" t="s">
        <v>30</v>
      </c>
      <c r="J982" t="s">
        <v>12</v>
      </c>
      <c r="K982" t="s">
        <v>56</v>
      </c>
      <c r="L982" t="s">
        <v>24</v>
      </c>
      <c r="M982">
        <v>98.7</v>
      </c>
      <c r="N982">
        <v>7130.2</v>
      </c>
      <c r="O982" t="s">
        <v>66</v>
      </c>
      <c r="P982" t="s">
        <v>55</v>
      </c>
      <c r="Q982">
        <f t="shared" si="45"/>
        <v>0</v>
      </c>
      <c r="R982" t="str">
        <f t="shared" si="46"/>
        <v>49+ months</v>
      </c>
      <c r="S982" t="str">
        <f t="shared" si="47"/>
        <v>$76-$100</v>
      </c>
    </row>
    <row r="983" spans="1:19" x14ac:dyDescent="0.35">
      <c r="A983" t="s">
        <v>1047</v>
      </c>
      <c r="B983">
        <v>29</v>
      </c>
      <c r="C983" t="s">
        <v>55</v>
      </c>
      <c r="D983" t="s">
        <v>56</v>
      </c>
      <c r="E983" t="s">
        <v>55</v>
      </c>
      <c r="F983">
        <v>4</v>
      </c>
      <c r="G983" t="s">
        <v>56</v>
      </c>
      <c r="H983" t="s">
        <v>55</v>
      </c>
      <c r="I983" t="s">
        <v>29</v>
      </c>
      <c r="J983" t="s">
        <v>12</v>
      </c>
      <c r="K983" t="s">
        <v>55</v>
      </c>
      <c r="L983" t="s">
        <v>26</v>
      </c>
      <c r="M983">
        <v>67.319999999999993</v>
      </c>
      <c r="N983">
        <v>272.19</v>
      </c>
      <c r="O983" t="s">
        <v>80</v>
      </c>
      <c r="P983" t="s">
        <v>56</v>
      </c>
      <c r="Q983">
        <f t="shared" si="45"/>
        <v>1</v>
      </c>
      <c r="R983" t="str">
        <f t="shared" si="46"/>
        <v>0-12 months</v>
      </c>
      <c r="S983" t="str">
        <f t="shared" si="47"/>
        <v>$50-$75</v>
      </c>
    </row>
    <row r="984" spans="1:19" x14ac:dyDescent="0.35">
      <c r="A984" t="s">
        <v>1048</v>
      </c>
      <c r="B984">
        <v>49</v>
      </c>
      <c r="C984" t="s">
        <v>55</v>
      </c>
      <c r="D984" t="s">
        <v>56</v>
      </c>
      <c r="E984" t="s">
        <v>56</v>
      </c>
      <c r="F984">
        <v>44</v>
      </c>
      <c r="G984" t="s">
        <v>55</v>
      </c>
      <c r="H984" t="s">
        <v>60</v>
      </c>
      <c r="I984" t="s">
        <v>31</v>
      </c>
      <c r="J984" t="s">
        <v>13</v>
      </c>
      <c r="K984" t="s">
        <v>56</v>
      </c>
      <c r="L984" t="s">
        <v>1066</v>
      </c>
      <c r="M984">
        <v>18.79</v>
      </c>
      <c r="N984">
        <v>801.58</v>
      </c>
      <c r="O984" t="s">
        <v>66</v>
      </c>
      <c r="P984" t="s">
        <v>55</v>
      </c>
      <c r="Q984">
        <f t="shared" si="45"/>
        <v>0</v>
      </c>
      <c r="R984" t="str">
        <f t="shared" si="46"/>
        <v>25-48 months</v>
      </c>
      <c r="S984" t="str">
        <f t="shared" si="47"/>
        <v>&lt; $50</v>
      </c>
    </row>
    <row r="985" spans="1:19" x14ac:dyDescent="0.35">
      <c r="A985" t="s">
        <v>1049</v>
      </c>
      <c r="B985">
        <v>49</v>
      </c>
      <c r="C985" t="s">
        <v>55</v>
      </c>
      <c r="D985" t="s">
        <v>56</v>
      </c>
      <c r="E985" t="s">
        <v>55</v>
      </c>
      <c r="F985">
        <v>6</v>
      </c>
      <c r="G985" t="s">
        <v>55</v>
      </c>
      <c r="H985" t="s">
        <v>60</v>
      </c>
      <c r="I985" t="s">
        <v>30</v>
      </c>
      <c r="J985" t="s">
        <v>14</v>
      </c>
      <c r="K985" t="s">
        <v>56</v>
      </c>
      <c r="L985" t="s">
        <v>1066</v>
      </c>
      <c r="M985">
        <v>74.55</v>
      </c>
      <c r="N985">
        <v>455.61</v>
      </c>
      <c r="O985" t="s">
        <v>58</v>
      </c>
      <c r="P985" t="s">
        <v>55</v>
      </c>
      <c r="Q985">
        <f t="shared" si="45"/>
        <v>0</v>
      </c>
      <c r="R985" t="str">
        <f t="shared" si="46"/>
        <v>0-12 months</v>
      </c>
      <c r="S985" t="str">
        <f t="shared" si="47"/>
        <v>$50-$75</v>
      </c>
    </row>
    <row r="986" spans="1:19" x14ac:dyDescent="0.35">
      <c r="A986" t="s">
        <v>1050</v>
      </c>
      <c r="B986">
        <v>54</v>
      </c>
      <c r="C986" t="s">
        <v>55</v>
      </c>
      <c r="D986" t="s">
        <v>55</v>
      </c>
      <c r="E986" t="s">
        <v>56</v>
      </c>
      <c r="F986">
        <v>37</v>
      </c>
      <c r="G986" t="s">
        <v>55</v>
      </c>
      <c r="H986" t="s">
        <v>60</v>
      </c>
      <c r="I986" t="s">
        <v>30</v>
      </c>
      <c r="J986" t="s">
        <v>13</v>
      </c>
      <c r="K986" t="s">
        <v>55</v>
      </c>
      <c r="L986" t="s">
        <v>25</v>
      </c>
      <c r="M986">
        <v>91.32</v>
      </c>
      <c r="N986">
        <v>3352.54</v>
      </c>
      <c r="O986" t="s">
        <v>80</v>
      </c>
      <c r="P986" t="s">
        <v>56</v>
      </c>
      <c r="Q986">
        <f t="shared" si="45"/>
        <v>1</v>
      </c>
      <c r="R986" t="str">
        <f t="shared" si="46"/>
        <v>25-48 months</v>
      </c>
      <c r="S986" t="str">
        <f t="shared" si="47"/>
        <v>$76-$100</v>
      </c>
    </row>
    <row r="987" spans="1:19" x14ac:dyDescent="0.35">
      <c r="A987" t="s">
        <v>1051</v>
      </c>
      <c r="B987">
        <v>49</v>
      </c>
      <c r="C987" t="s">
        <v>55</v>
      </c>
      <c r="D987" t="s">
        <v>56</v>
      </c>
      <c r="E987" t="s">
        <v>55</v>
      </c>
      <c r="F987">
        <v>72</v>
      </c>
      <c r="G987" t="s">
        <v>55</v>
      </c>
      <c r="H987" t="s">
        <v>60</v>
      </c>
      <c r="I987" t="s">
        <v>29</v>
      </c>
      <c r="J987" t="s">
        <v>12</v>
      </c>
      <c r="K987" t="s">
        <v>55</v>
      </c>
      <c r="L987" t="s">
        <v>1066</v>
      </c>
      <c r="M987">
        <v>67.959999999999994</v>
      </c>
      <c r="N987">
        <v>4909.3</v>
      </c>
      <c r="O987" t="s">
        <v>80</v>
      </c>
      <c r="P987" t="s">
        <v>56</v>
      </c>
      <c r="Q987">
        <f t="shared" si="45"/>
        <v>1</v>
      </c>
      <c r="R987" t="str">
        <f t="shared" si="46"/>
        <v>49+ months</v>
      </c>
      <c r="S987" t="str">
        <f t="shared" si="47"/>
        <v>$50-$75</v>
      </c>
    </row>
    <row r="988" spans="1:19" x14ac:dyDescent="0.35">
      <c r="A988" t="s">
        <v>1052</v>
      </c>
      <c r="B988">
        <v>37</v>
      </c>
      <c r="C988" t="s">
        <v>55</v>
      </c>
      <c r="D988" t="s">
        <v>56</v>
      </c>
      <c r="E988" t="s">
        <v>55</v>
      </c>
      <c r="F988">
        <v>7</v>
      </c>
      <c r="G988" t="s">
        <v>56</v>
      </c>
      <c r="H988" t="s">
        <v>55</v>
      </c>
      <c r="I988" t="s">
        <v>29</v>
      </c>
      <c r="J988" t="s">
        <v>12</v>
      </c>
      <c r="K988" t="s">
        <v>55</v>
      </c>
      <c r="L988" t="s">
        <v>25</v>
      </c>
      <c r="M988">
        <v>42.1</v>
      </c>
      <c r="N988">
        <v>306.20999999999998</v>
      </c>
      <c r="O988" t="s">
        <v>69</v>
      </c>
      <c r="P988" t="s">
        <v>55</v>
      </c>
      <c r="Q988">
        <f t="shared" si="45"/>
        <v>0</v>
      </c>
      <c r="R988" t="str">
        <f t="shared" si="46"/>
        <v>0-12 months</v>
      </c>
      <c r="S988" t="str">
        <f t="shared" si="47"/>
        <v>&lt; $50</v>
      </c>
    </row>
    <row r="989" spans="1:19" x14ac:dyDescent="0.35">
      <c r="A989" t="s">
        <v>1053</v>
      </c>
      <c r="B989">
        <v>50</v>
      </c>
      <c r="C989" t="s">
        <v>55</v>
      </c>
      <c r="D989" t="s">
        <v>56</v>
      </c>
      <c r="E989" t="s">
        <v>55</v>
      </c>
      <c r="F989">
        <v>6</v>
      </c>
      <c r="G989" t="s">
        <v>56</v>
      </c>
      <c r="H989" t="s">
        <v>55</v>
      </c>
      <c r="I989" t="s">
        <v>31</v>
      </c>
      <c r="J989" t="s">
        <v>12</v>
      </c>
      <c r="K989" t="s">
        <v>56</v>
      </c>
      <c r="L989" t="s">
        <v>1066</v>
      </c>
      <c r="M989">
        <v>18.88</v>
      </c>
      <c r="N989">
        <v>109.25</v>
      </c>
      <c r="O989" t="s">
        <v>69</v>
      </c>
      <c r="P989" t="s">
        <v>56</v>
      </c>
      <c r="Q989">
        <f t="shared" si="45"/>
        <v>1</v>
      </c>
      <c r="R989" t="str">
        <f t="shared" si="46"/>
        <v>0-12 months</v>
      </c>
      <c r="S989" t="str">
        <f t="shared" si="47"/>
        <v>&lt; $50</v>
      </c>
    </row>
    <row r="990" spans="1:19" x14ac:dyDescent="0.35">
      <c r="A990" t="s">
        <v>1054</v>
      </c>
      <c r="B990">
        <v>57</v>
      </c>
      <c r="C990" t="s">
        <v>55</v>
      </c>
      <c r="D990" t="s">
        <v>56</v>
      </c>
      <c r="E990" t="s">
        <v>56</v>
      </c>
      <c r="F990">
        <v>49</v>
      </c>
      <c r="G990" t="s">
        <v>56</v>
      </c>
      <c r="H990" t="s">
        <v>55</v>
      </c>
      <c r="I990" t="s">
        <v>30</v>
      </c>
      <c r="J990" t="s">
        <v>12</v>
      </c>
      <c r="K990" t="s">
        <v>56</v>
      </c>
      <c r="L990" t="s">
        <v>1066</v>
      </c>
      <c r="M990">
        <v>115.76</v>
      </c>
      <c r="N990">
        <v>5557.04</v>
      </c>
      <c r="O990" t="s">
        <v>64</v>
      </c>
      <c r="P990" t="s">
        <v>56</v>
      </c>
      <c r="Q990">
        <f t="shared" si="45"/>
        <v>1</v>
      </c>
      <c r="R990" t="str">
        <f t="shared" si="46"/>
        <v>49+ months</v>
      </c>
      <c r="S990" t="str">
        <f t="shared" si="47"/>
        <v>&gt; $100</v>
      </c>
    </row>
    <row r="991" spans="1:19" x14ac:dyDescent="0.35">
      <c r="A991" t="s">
        <v>1055</v>
      </c>
      <c r="B991">
        <v>70</v>
      </c>
      <c r="C991" t="s">
        <v>56</v>
      </c>
      <c r="D991" t="s">
        <v>56</v>
      </c>
      <c r="E991" t="s">
        <v>55</v>
      </c>
      <c r="F991">
        <v>52</v>
      </c>
      <c r="G991" t="s">
        <v>56</v>
      </c>
      <c r="H991" t="s">
        <v>55</v>
      </c>
      <c r="I991" t="s">
        <v>30</v>
      </c>
      <c r="J991" t="s">
        <v>13</v>
      </c>
      <c r="K991" t="s">
        <v>55</v>
      </c>
      <c r="L991" t="s">
        <v>25</v>
      </c>
      <c r="M991">
        <v>91.14</v>
      </c>
      <c r="N991">
        <v>4779.3999999999996</v>
      </c>
      <c r="O991" t="s">
        <v>69</v>
      </c>
      <c r="P991" t="s">
        <v>55</v>
      </c>
      <c r="Q991">
        <f t="shared" si="45"/>
        <v>0</v>
      </c>
      <c r="R991" t="str">
        <f t="shared" si="46"/>
        <v>49+ months</v>
      </c>
      <c r="S991" t="str">
        <f t="shared" si="47"/>
        <v>$76-$100</v>
      </c>
    </row>
    <row r="992" spans="1:19" x14ac:dyDescent="0.35">
      <c r="A992" t="s">
        <v>1056</v>
      </c>
      <c r="B992">
        <v>37</v>
      </c>
      <c r="C992" t="s">
        <v>55</v>
      </c>
      <c r="D992" t="s">
        <v>56</v>
      </c>
      <c r="E992" t="s">
        <v>55</v>
      </c>
      <c r="F992">
        <v>53</v>
      </c>
      <c r="G992" t="s">
        <v>55</v>
      </c>
      <c r="H992" t="s">
        <v>60</v>
      </c>
      <c r="I992" t="s">
        <v>29</v>
      </c>
      <c r="J992" t="s">
        <v>14</v>
      </c>
      <c r="K992" t="s">
        <v>55</v>
      </c>
      <c r="L992" t="s">
        <v>26</v>
      </c>
      <c r="M992">
        <v>76.040000000000006</v>
      </c>
      <c r="N992">
        <v>4183.29</v>
      </c>
      <c r="O992" t="s">
        <v>58</v>
      </c>
      <c r="P992" t="s">
        <v>55</v>
      </c>
      <c r="Q992">
        <f t="shared" si="45"/>
        <v>0</v>
      </c>
      <c r="R992" t="str">
        <f t="shared" si="46"/>
        <v>49+ months</v>
      </c>
      <c r="S992" t="str">
        <f t="shared" si="47"/>
        <v>$76-$100</v>
      </c>
    </row>
    <row r="993" spans="1:19" x14ac:dyDescent="0.35">
      <c r="A993" t="s">
        <v>1057</v>
      </c>
      <c r="B993">
        <v>18</v>
      </c>
      <c r="C993" t="s">
        <v>55</v>
      </c>
      <c r="D993" t="s">
        <v>55</v>
      </c>
      <c r="E993" t="s">
        <v>56</v>
      </c>
      <c r="F993">
        <v>58</v>
      </c>
      <c r="G993" t="s">
        <v>56</v>
      </c>
      <c r="H993" t="s">
        <v>56</v>
      </c>
      <c r="I993" t="s">
        <v>30</v>
      </c>
      <c r="J993" t="s">
        <v>12</v>
      </c>
      <c r="K993" t="s">
        <v>56</v>
      </c>
      <c r="L993" t="s">
        <v>25</v>
      </c>
      <c r="M993">
        <v>94.43</v>
      </c>
      <c r="N993">
        <v>5268.83</v>
      </c>
      <c r="O993" t="s">
        <v>69</v>
      </c>
      <c r="P993" t="s">
        <v>56</v>
      </c>
      <c r="Q993">
        <f t="shared" si="45"/>
        <v>1</v>
      </c>
      <c r="R993" t="str">
        <f t="shared" si="46"/>
        <v>49+ months</v>
      </c>
      <c r="S993" t="str">
        <f t="shared" si="47"/>
        <v>$76-$100</v>
      </c>
    </row>
    <row r="994" spans="1:19" x14ac:dyDescent="0.35">
      <c r="A994" t="s">
        <v>1058</v>
      </c>
      <c r="B994">
        <v>34</v>
      </c>
      <c r="C994" t="s">
        <v>55</v>
      </c>
      <c r="D994" t="s">
        <v>55</v>
      </c>
      <c r="E994" t="s">
        <v>55</v>
      </c>
      <c r="F994">
        <v>69</v>
      </c>
      <c r="G994" t="s">
        <v>55</v>
      </c>
      <c r="H994" t="s">
        <v>60</v>
      </c>
      <c r="I994" t="s">
        <v>30</v>
      </c>
      <c r="J994" t="s">
        <v>12</v>
      </c>
      <c r="K994" t="s">
        <v>56</v>
      </c>
      <c r="L994" t="s">
        <v>24</v>
      </c>
      <c r="M994">
        <v>114.28</v>
      </c>
      <c r="N994">
        <v>7603.46</v>
      </c>
      <c r="O994" t="s">
        <v>66</v>
      </c>
      <c r="P994" t="s">
        <v>56</v>
      </c>
      <c r="Q994">
        <f t="shared" si="45"/>
        <v>1</v>
      </c>
      <c r="R994" t="str">
        <f t="shared" si="46"/>
        <v>49+ months</v>
      </c>
      <c r="S994" t="str">
        <f t="shared" si="47"/>
        <v>&gt; $100</v>
      </c>
    </row>
    <row r="995" spans="1:19" x14ac:dyDescent="0.35">
      <c r="A995" t="s">
        <v>1059</v>
      </c>
      <c r="B995">
        <v>49</v>
      </c>
      <c r="C995" t="s">
        <v>55</v>
      </c>
      <c r="D995" t="s">
        <v>56</v>
      </c>
      <c r="E995" t="s">
        <v>56</v>
      </c>
      <c r="F995">
        <v>67</v>
      </c>
      <c r="G995" t="s">
        <v>55</v>
      </c>
      <c r="H995" t="s">
        <v>60</v>
      </c>
      <c r="I995" t="s">
        <v>31</v>
      </c>
      <c r="J995" t="s">
        <v>12</v>
      </c>
      <c r="K995" t="s">
        <v>56</v>
      </c>
      <c r="L995" t="s">
        <v>26</v>
      </c>
      <c r="M995">
        <v>28</v>
      </c>
      <c r="N995">
        <v>1804.97</v>
      </c>
      <c r="O995" t="s">
        <v>66</v>
      </c>
      <c r="P995" t="s">
        <v>55</v>
      </c>
      <c r="Q995">
        <f t="shared" si="45"/>
        <v>0</v>
      </c>
      <c r="R995" t="str">
        <f t="shared" si="46"/>
        <v>49+ months</v>
      </c>
      <c r="S995" t="str">
        <f t="shared" si="47"/>
        <v>&lt; $50</v>
      </c>
    </row>
    <row r="996" spans="1:19" x14ac:dyDescent="0.35">
      <c r="A996" t="s">
        <v>1060</v>
      </c>
      <c r="B996">
        <v>22</v>
      </c>
      <c r="C996" t="s">
        <v>55</v>
      </c>
      <c r="D996" t="s">
        <v>56</v>
      </c>
      <c r="E996" t="s">
        <v>55</v>
      </c>
      <c r="F996">
        <v>48</v>
      </c>
      <c r="G996" t="s">
        <v>56</v>
      </c>
      <c r="H996" t="s">
        <v>55</v>
      </c>
      <c r="I996" t="s">
        <v>30</v>
      </c>
      <c r="J996" t="s">
        <v>13</v>
      </c>
      <c r="K996" t="s">
        <v>56</v>
      </c>
      <c r="L996" t="s">
        <v>1066</v>
      </c>
      <c r="M996">
        <v>106.25</v>
      </c>
      <c r="N996">
        <v>4820.78</v>
      </c>
      <c r="O996" t="s">
        <v>62</v>
      </c>
      <c r="P996" t="s">
        <v>56</v>
      </c>
      <c r="Q996">
        <f t="shared" si="45"/>
        <v>1</v>
      </c>
      <c r="R996" t="str">
        <f t="shared" si="46"/>
        <v>25-48 months</v>
      </c>
      <c r="S996" t="str">
        <f t="shared" si="47"/>
        <v>&gt; $100</v>
      </c>
    </row>
    <row r="997" spans="1:19" x14ac:dyDescent="0.35">
      <c r="A997" t="s">
        <v>1061</v>
      </c>
      <c r="B997">
        <v>39</v>
      </c>
      <c r="C997" t="s">
        <v>55</v>
      </c>
      <c r="D997" t="s">
        <v>55</v>
      </c>
      <c r="E997" t="s">
        <v>56</v>
      </c>
      <c r="F997">
        <v>45</v>
      </c>
      <c r="G997" t="s">
        <v>56</v>
      </c>
      <c r="H997" t="s">
        <v>55</v>
      </c>
      <c r="I997" t="s">
        <v>29</v>
      </c>
      <c r="J997" t="s">
        <v>12</v>
      </c>
      <c r="K997" t="s">
        <v>55</v>
      </c>
      <c r="L997" t="s">
        <v>24</v>
      </c>
      <c r="M997">
        <v>49.01</v>
      </c>
      <c r="N997">
        <v>2239.12</v>
      </c>
      <c r="O997" t="s">
        <v>69</v>
      </c>
      <c r="P997" t="s">
        <v>55</v>
      </c>
      <c r="Q997">
        <f t="shared" si="45"/>
        <v>0</v>
      </c>
      <c r="R997" t="str">
        <f t="shared" si="46"/>
        <v>25-48 months</v>
      </c>
      <c r="S997" t="str">
        <f t="shared" si="47"/>
        <v>&lt; $50</v>
      </c>
    </row>
    <row r="998" spans="1:19" x14ac:dyDescent="0.35">
      <c r="A998" t="s">
        <v>1062</v>
      </c>
      <c r="B998">
        <v>46</v>
      </c>
      <c r="C998" t="s">
        <v>55</v>
      </c>
      <c r="D998" t="s">
        <v>56</v>
      </c>
      <c r="E998" t="s">
        <v>55</v>
      </c>
      <c r="F998">
        <v>9</v>
      </c>
      <c r="G998" t="s">
        <v>55</v>
      </c>
      <c r="H998" t="s">
        <v>60</v>
      </c>
      <c r="I998" t="s">
        <v>31</v>
      </c>
      <c r="J998" t="s">
        <v>13</v>
      </c>
      <c r="K998" t="s">
        <v>56</v>
      </c>
      <c r="L998" t="s">
        <v>24</v>
      </c>
      <c r="M998">
        <v>21.81</v>
      </c>
      <c r="N998">
        <v>187.14</v>
      </c>
      <c r="O998" t="s">
        <v>58</v>
      </c>
      <c r="P998" t="s">
        <v>56</v>
      </c>
      <c r="Q998">
        <f t="shared" si="45"/>
        <v>1</v>
      </c>
      <c r="R998" t="str">
        <f t="shared" si="46"/>
        <v>0-12 months</v>
      </c>
      <c r="S998" t="str">
        <f t="shared" si="47"/>
        <v>&lt; $50</v>
      </c>
    </row>
    <row r="999" spans="1:19" x14ac:dyDescent="0.35">
      <c r="A999" t="s">
        <v>1063</v>
      </c>
      <c r="B999">
        <v>52</v>
      </c>
      <c r="C999" t="s">
        <v>55</v>
      </c>
      <c r="D999" t="s">
        <v>56</v>
      </c>
      <c r="E999" t="s">
        <v>56</v>
      </c>
      <c r="F999">
        <v>42</v>
      </c>
      <c r="G999" t="s">
        <v>56</v>
      </c>
      <c r="H999" t="s">
        <v>55</v>
      </c>
      <c r="I999" t="s">
        <v>30</v>
      </c>
      <c r="J999" t="s">
        <v>13</v>
      </c>
      <c r="K999" t="s">
        <v>56</v>
      </c>
      <c r="L999" t="s">
        <v>24</v>
      </c>
      <c r="M999">
        <v>98.14</v>
      </c>
      <c r="N999">
        <v>4277.05</v>
      </c>
      <c r="O999" t="s">
        <v>80</v>
      </c>
      <c r="P999" t="s">
        <v>55</v>
      </c>
      <c r="Q999">
        <f t="shared" si="45"/>
        <v>0</v>
      </c>
      <c r="R999" t="str">
        <f t="shared" si="46"/>
        <v>25-48 months</v>
      </c>
      <c r="S999" t="str">
        <f t="shared" si="47"/>
        <v>$76-$100</v>
      </c>
    </row>
    <row r="1000" spans="1:19" x14ac:dyDescent="0.35">
      <c r="A1000" t="s">
        <v>1064</v>
      </c>
      <c r="B1000">
        <v>72</v>
      </c>
      <c r="C1000" t="s">
        <v>56</v>
      </c>
      <c r="D1000" t="s">
        <v>56</v>
      </c>
      <c r="E1000" t="s">
        <v>56</v>
      </c>
      <c r="F1000">
        <v>70</v>
      </c>
      <c r="G1000" t="s">
        <v>55</v>
      </c>
      <c r="H1000" t="s">
        <v>60</v>
      </c>
      <c r="I1000" t="s">
        <v>30</v>
      </c>
      <c r="J1000" t="s">
        <v>14</v>
      </c>
      <c r="K1000" t="s">
        <v>55</v>
      </c>
      <c r="L1000" t="s">
        <v>26</v>
      </c>
      <c r="M1000">
        <v>100.8</v>
      </c>
      <c r="N1000">
        <v>7013.39</v>
      </c>
      <c r="O1000" t="s">
        <v>69</v>
      </c>
      <c r="P1000" t="s">
        <v>55</v>
      </c>
      <c r="Q1000">
        <f t="shared" si="45"/>
        <v>0</v>
      </c>
      <c r="R1000" t="str">
        <f t="shared" si="46"/>
        <v>49+ months</v>
      </c>
      <c r="S1000" t="str">
        <f t="shared" si="47"/>
        <v>&gt; $100</v>
      </c>
    </row>
    <row r="1001" spans="1:19" x14ac:dyDescent="0.35">
      <c r="A1001" t="s">
        <v>1065</v>
      </c>
      <c r="B1001">
        <v>49</v>
      </c>
      <c r="C1001" t="s">
        <v>55</v>
      </c>
      <c r="D1001" t="s">
        <v>55</v>
      </c>
      <c r="E1001" t="s">
        <v>55</v>
      </c>
      <c r="F1001">
        <v>59</v>
      </c>
      <c r="G1001" t="s">
        <v>56</v>
      </c>
      <c r="H1001" t="s">
        <v>55</v>
      </c>
      <c r="I1001" t="s">
        <v>29</v>
      </c>
      <c r="J1001" t="s">
        <v>14</v>
      </c>
      <c r="K1001" t="s">
        <v>56</v>
      </c>
      <c r="L1001" t="s">
        <v>26</v>
      </c>
      <c r="M1001">
        <v>65.48</v>
      </c>
      <c r="N1001">
        <v>3712.35</v>
      </c>
      <c r="O1001" t="s">
        <v>76</v>
      </c>
      <c r="P1001" t="s">
        <v>55</v>
      </c>
      <c r="Q1001">
        <f t="shared" si="45"/>
        <v>0</v>
      </c>
      <c r="R1001" t="str">
        <f t="shared" si="46"/>
        <v>49+ months</v>
      </c>
      <c r="S1001" t="str">
        <f t="shared" si="47"/>
        <v>$50-$75</v>
      </c>
    </row>
  </sheetData>
  <autoFilter ref="A1:P1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workbookViewId="0">
      <pane ySplit="2" topLeftCell="A31" activePane="bottomLeft" state="frozen"/>
      <selection pane="bottomLeft" activeCell="A35" sqref="A35:E39"/>
    </sheetView>
  </sheetViews>
  <sheetFormatPr defaultRowHeight="14.5" x14ac:dyDescent="0.35"/>
  <cols>
    <col min="1" max="1" width="30" customWidth="1"/>
    <col min="2" max="2" width="18" customWidth="1"/>
    <col min="3" max="5" width="14" customWidth="1"/>
  </cols>
  <sheetData>
    <row r="1" spans="1:5" ht="18.5" x14ac:dyDescent="0.35">
      <c r="A1" s="2" t="s">
        <v>0</v>
      </c>
      <c r="B1" s="3"/>
      <c r="C1" s="3"/>
      <c r="D1" s="3"/>
      <c r="E1" s="3"/>
    </row>
    <row r="2" spans="1:5" x14ac:dyDescent="0.35">
      <c r="A2" s="4" t="s">
        <v>1</v>
      </c>
      <c r="B2" s="4" t="s">
        <v>2</v>
      </c>
      <c r="C2" s="4"/>
      <c r="D2" s="4"/>
      <c r="E2" s="4"/>
    </row>
    <row r="3" spans="1:5" x14ac:dyDescent="0.35">
      <c r="A3" s="3" t="s">
        <v>3</v>
      </c>
      <c r="B3" s="3">
        <f>COUNTA(Cleaned_Data!A2:A1001)</f>
        <v>1000</v>
      </c>
      <c r="C3" s="3"/>
      <c r="D3" s="3"/>
      <c r="E3" s="3"/>
    </row>
    <row r="4" spans="1:5" x14ac:dyDescent="0.35">
      <c r="A4" s="3" t="s">
        <v>4</v>
      </c>
      <c r="B4" s="3">
        <f>COUNTIF(Cleaned_Data!P2:P1001,"Yes")</f>
        <v>308</v>
      </c>
      <c r="C4" s="3"/>
      <c r="D4" s="3"/>
      <c r="E4" s="3"/>
    </row>
    <row r="5" spans="1:5" x14ac:dyDescent="0.35">
      <c r="A5" s="3" t="s">
        <v>5</v>
      </c>
      <c r="B5" s="3">
        <f>COUNTIF(Cleaned_Data!P2:P1001,"No")</f>
        <v>692</v>
      </c>
      <c r="C5" s="3"/>
      <c r="D5" s="3"/>
      <c r="E5" s="3"/>
    </row>
    <row r="6" spans="1:5" x14ac:dyDescent="0.35">
      <c r="A6" s="3" t="s">
        <v>6</v>
      </c>
      <c r="B6" s="5">
        <f>B4/B3</f>
        <v>0.308</v>
      </c>
      <c r="C6" s="3"/>
      <c r="D6" s="3"/>
      <c r="E6" s="3"/>
    </row>
    <row r="7" spans="1:5" x14ac:dyDescent="0.35">
      <c r="A7" s="3"/>
      <c r="B7" s="3"/>
      <c r="C7" s="3"/>
      <c r="D7" s="3"/>
      <c r="E7" s="3"/>
    </row>
    <row r="8" spans="1:5" x14ac:dyDescent="0.35">
      <c r="A8" s="4" t="s">
        <v>7</v>
      </c>
      <c r="B8" s="4"/>
      <c r="C8" s="4"/>
      <c r="D8" s="4"/>
      <c r="E8" s="4"/>
    </row>
    <row r="9" spans="1:5" x14ac:dyDescent="0.35">
      <c r="A9" s="4" t="s">
        <v>8</v>
      </c>
      <c r="B9" s="4" t="s">
        <v>3</v>
      </c>
      <c r="C9" s="4" t="s">
        <v>9</v>
      </c>
      <c r="D9" s="4" t="s">
        <v>10</v>
      </c>
      <c r="E9" s="6" t="s">
        <v>11</v>
      </c>
    </row>
    <row r="10" spans="1:5" x14ac:dyDescent="0.35">
      <c r="A10" s="3" t="s">
        <v>12</v>
      </c>
      <c r="B10" s="3">
        <f>COUNTIF(Cleaned_Data!J2:J1001,"Month-to-month")</f>
        <v>550</v>
      </c>
      <c r="C10" s="3">
        <f>COUNTIFS(Cleaned_Data!J2:J1001,"Month-to-month",Cleaned_Data!P2:P1001,"Yes")</f>
        <v>211</v>
      </c>
      <c r="D10" s="3">
        <f>COUNTIFS(Cleaned_Data!J2:J1001,"Month-to-month",Cleaned_Data!P2:P1001,"No")</f>
        <v>339</v>
      </c>
      <c r="E10" s="5">
        <f>C10/B10</f>
        <v>0.38363636363636361</v>
      </c>
    </row>
    <row r="11" spans="1:5" x14ac:dyDescent="0.35">
      <c r="A11" s="3" t="s">
        <v>13</v>
      </c>
      <c r="B11" s="3">
        <f>COUNTIF(Cleaned_Data!J2:J1001,"One year")</f>
        <v>248</v>
      </c>
      <c r="C11" s="3">
        <f>COUNTIFS(Cleaned_Data!J2:J1001,"One year",Cleaned_Data!P2:P1001,"Yes")</f>
        <v>56</v>
      </c>
      <c r="D11" s="3">
        <f>COUNTIFS(Cleaned_Data!J2:J1001,"One year",Cleaned_Data!P2:P1001,"No")</f>
        <v>192</v>
      </c>
      <c r="E11" s="5">
        <f t="shared" ref="E11:E12" si="0">C11/B11</f>
        <v>0.22580645161290322</v>
      </c>
    </row>
    <row r="12" spans="1:5" x14ac:dyDescent="0.35">
      <c r="A12" s="3" t="s">
        <v>14</v>
      </c>
      <c r="B12" s="3">
        <f>COUNTIF(Cleaned_Data!J2:J1001,"Two year")</f>
        <v>202</v>
      </c>
      <c r="C12" s="3">
        <f>COUNTIFS(Cleaned_Data!J2:J1001,"Two year",Cleaned_Data!P2:P1001,"Yes")</f>
        <v>41</v>
      </c>
      <c r="D12" s="3">
        <f>COUNTIFS(Cleaned_Data!J2:J1001,"Two year",Cleaned_Data!P2:P1001,"No")</f>
        <v>161</v>
      </c>
      <c r="E12" s="5">
        <f t="shared" si="0"/>
        <v>0.20297029702970298</v>
      </c>
    </row>
    <row r="13" spans="1:5" x14ac:dyDescent="0.35">
      <c r="A13" s="3"/>
      <c r="B13" s="3"/>
      <c r="C13" s="3"/>
      <c r="D13" s="3"/>
      <c r="E13" s="5"/>
    </row>
    <row r="14" spans="1:5" x14ac:dyDescent="0.35">
      <c r="A14" s="4" t="s">
        <v>15</v>
      </c>
      <c r="B14" s="4"/>
      <c r="C14" s="4"/>
      <c r="D14" s="4"/>
      <c r="E14" s="6"/>
    </row>
    <row r="15" spans="1:5" x14ac:dyDescent="0.35">
      <c r="A15" s="4" t="s">
        <v>16</v>
      </c>
      <c r="B15" s="4" t="s">
        <v>3</v>
      </c>
      <c r="C15" s="4" t="s">
        <v>9</v>
      </c>
      <c r="D15" s="4" t="s">
        <v>10</v>
      </c>
      <c r="E15" s="6" t="s">
        <v>11</v>
      </c>
    </row>
    <row r="16" spans="1:5" x14ac:dyDescent="0.35">
      <c r="A16" s="3" t="s">
        <v>17</v>
      </c>
      <c r="B16" s="3">
        <f>COUNTIFS(Cleaned_Data!F2:F1001,"&gt;=0",Cleaned_Data!F2:F1001,"&lt;=12")</f>
        <v>164</v>
      </c>
      <c r="C16" s="3">
        <f>COUNTIFS(Cleaned_Data!F2:F1001,"&gt;=0",Cleaned_Data!F2:F1001,"&lt;=12",Cleaned_Data!P2:P1001,"Yes")</f>
        <v>61</v>
      </c>
      <c r="D16" s="3">
        <f>COUNTIFS(Cleaned_Data!F2:F1001,"&gt;=0",Cleaned_Data!F2:F1001,"&lt;=12",Cleaned_Data!P2:P1001,"No")</f>
        <v>103</v>
      </c>
      <c r="E16" s="5">
        <f>C16/B16</f>
        <v>0.37195121951219512</v>
      </c>
    </row>
    <row r="17" spans="1:5" x14ac:dyDescent="0.35">
      <c r="A17" s="3" t="s">
        <v>18</v>
      </c>
      <c r="B17" s="3">
        <f>COUNTIFS(Cleaned_Data!F2:F1001,"&gt;=13",Cleaned_Data!F2:F1001,"&lt;=24")</f>
        <v>168</v>
      </c>
      <c r="C17" s="3">
        <f>COUNTIFS(Cleaned_Data!F2:F1001,"&gt;=13",Cleaned_Data!F2:F1001,"&lt;=24",Cleaned_Data!P2:P1001,"Yes")</f>
        <v>48</v>
      </c>
      <c r="D17" s="3">
        <f>COUNTIFS(Cleaned_Data!F2:F1001,"&gt;=13",Cleaned_Data!F2:F1001,"&lt;=24",Cleaned_Data!P2:P1001,"No")</f>
        <v>120</v>
      </c>
      <c r="E17" s="5">
        <f t="shared" ref="E17:E19" si="1">C17/B17</f>
        <v>0.2857142857142857</v>
      </c>
    </row>
    <row r="18" spans="1:5" x14ac:dyDescent="0.35">
      <c r="A18" s="3" t="s">
        <v>19</v>
      </c>
      <c r="B18" s="3">
        <f>COUNTIFS(Cleaned_Data!F2:F1001,"&gt;=25",Cleaned_Data!F2:F1001,"&lt;=48")</f>
        <v>322</v>
      </c>
      <c r="C18" s="3">
        <f>COUNTIFS(Cleaned_Data!F2:F1001,"&gt;=25",Cleaned_Data!F2:F1001,"&lt;=48",Cleaned_Data!P2:P1001,"Yes")</f>
        <v>92</v>
      </c>
      <c r="D18" s="3">
        <f>COUNTIFS(Cleaned_Data!F2:F1001,"&gt;=25",Cleaned_Data!F2:F1001,"&lt;=48",Cleaned_Data!P2:P1001,"No")</f>
        <v>230</v>
      </c>
      <c r="E18" s="5">
        <f t="shared" si="1"/>
        <v>0.2857142857142857</v>
      </c>
    </row>
    <row r="19" spans="1:5" x14ac:dyDescent="0.35">
      <c r="A19" s="3" t="s">
        <v>20</v>
      </c>
      <c r="B19" s="3">
        <f>COUNTIFS(Cleaned_Data!F2:F1001,"&gt;=49",Cleaned_Data!F2:F1001,"&lt;=999")</f>
        <v>346</v>
      </c>
      <c r="C19" s="3">
        <f>COUNTIFS(Cleaned_Data!F2:F1001,"&gt;=49",Cleaned_Data!F2:F1001,"&lt;=999",Cleaned_Data!P2:P1001,"Yes")</f>
        <v>107</v>
      </c>
      <c r="D19" s="3">
        <f>COUNTIFS(Cleaned_Data!F2:F1001,"&gt;=49",Cleaned_Data!F2:F1001,"&lt;=999",Cleaned_Data!P2:P1001,"No")</f>
        <v>239</v>
      </c>
      <c r="E19" s="5">
        <f t="shared" si="1"/>
        <v>0.30924855491329478</v>
      </c>
    </row>
    <row r="20" spans="1:5" x14ac:dyDescent="0.35">
      <c r="A20" s="3"/>
      <c r="B20" s="3"/>
      <c r="C20" s="3"/>
      <c r="D20" s="3"/>
      <c r="E20" s="5"/>
    </row>
    <row r="21" spans="1:5" x14ac:dyDescent="0.35">
      <c r="A21" s="4" t="s">
        <v>21</v>
      </c>
      <c r="B21" s="4"/>
      <c r="C21" s="4"/>
      <c r="D21" s="4"/>
      <c r="E21" s="6"/>
    </row>
    <row r="22" spans="1:5" x14ac:dyDescent="0.35">
      <c r="A22" s="4" t="s">
        <v>22</v>
      </c>
      <c r="B22" s="4" t="s">
        <v>3</v>
      </c>
      <c r="C22" s="4" t="s">
        <v>9</v>
      </c>
      <c r="D22" s="4" t="s">
        <v>10</v>
      </c>
      <c r="E22" s="6" t="s">
        <v>11</v>
      </c>
    </row>
    <row r="23" spans="1:5" x14ac:dyDescent="0.35">
      <c r="A23" s="3" t="s">
        <v>23</v>
      </c>
      <c r="B23" s="3">
        <f>COUNTIF(Cleaned_Data!L2:L1001,"Bank transfer")</f>
        <v>249</v>
      </c>
      <c r="C23" s="3">
        <f>COUNTIFS(Cleaned_Data!L2:L1001,"Bank transfer",Cleaned_Data!P2:P1001,"Yes")</f>
        <v>72</v>
      </c>
      <c r="D23" s="3">
        <f>COUNTIFS(Cleaned_Data!L2:L1001,"Bank transfer",Cleaned_Data!P2:P1001,"No")</f>
        <v>177</v>
      </c>
      <c r="E23" s="5">
        <f>C23/B23</f>
        <v>0.28915662650602408</v>
      </c>
    </row>
    <row r="24" spans="1:5" x14ac:dyDescent="0.35">
      <c r="A24" s="3" t="s">
        <v>24</v>
      </c>
      <c r="B24" s="3">
        <f>COUNTIF(Cleaned_Data!L2:L1001,"Credit card")</f>
        <v>248</v>
      </c>
      <c r="C24" s="3">
        <f>COUNTIFS(Cleaned_Data!L2:L1001,"Credit card",Cleaned_Data!P2:P1001,"Yes")</f>
        <v>71</v>
      </c>
      <c r="D24" s="3">
        <f>COUNTIFS(Cleaned_Data!L2:L1001,"Credit card",Cleaned_Data!P2:P1001,"No")</f>
        <v>177</v>
      </c>
      <c r="E24" s="5">
        <f t="shared" ref="E24:E26" si="2">C24/B24</f>
        <v>0.28629032258064518</v>
      </c>
    </row>
    <row r="25" spans="1:5" x14ac:dyDescent="0.35">
      <c r="A25" s="3" t="s">
        <v>25</v>
      </c>
      <c r="B25" s="3">
        <f>COUNTIF(Cleaned_Data!L2:L1001,"Mailed check")</f>
        <v>153</v>
      </c>
      <c r="C25" s="3">
        <f>COUNTIFS(Cleaned_Data!L2:L1001,"Mailed check",Cleaned_Data!P2:P1001,"Yes")</f>
        <v>39</v>
      </c>
      <c r="D25" s="3">
        <f>COUNTIFS(Cleaned_Data!L2:L1001,"Mailed check",Cleaned_Data!P2:P1001,"No")</f>
        <v>114</v>
      </c>
      <c r="E25" s="5">
        <f t="shared" si="2"/>
        <v>0.25490196078431371</v>
      </c>
    </row>
    <row r="26" spans="1:5" x14ac:dyDescent="0.35">
      <c r="A26" s="3" t="s">
        <v>26</v>
      </c>
      <c r="B26" s="3">
        <f>COUNTIF(Cleaned_Data!L2:L1001,"Electronic check")</f>
        <v>350</v>
      </c>
      <c r="C26" s="3">
        <f>COUNTIFS(Cleaned_Data!L2:L1001,"Electronic check",Cleaned_Data!P2:P1001,"Yes")</f>
        <v>126</v>
      </c>
      <c r="D26" s="3">
        <f>COUNTIFS(Cleaned_Data!L2:L1001,"Electronic check",Cleaned_Data!P2:P1001,"No")</f>
        <v>224</v>
      </c>
      <c r="E26" s="5">
        <f t="shared" si="2"/>
        <v>0.36</v>
      </c>
    </row>
    <row r="27" spans="1:5" x14ac:dyDescent="0.35">
      <c r="A27" s="3"/>
      <c r="B27" s="3"/>
      <c r="C27" s="3"/>
      <c r="D27" s="3"/>
      <c r="E27" s="5"/>
    </row>
    <row r="28" spans="1:5" x14ac:dyDescent="0.35">
      <c r="A28" s="4" t="s">
        <v>27</v>
      </c>
      <c r="B28" s="4"/>
      <c r="C28" s="4"/>
      <c r="D28" s="4"/>
      <c r="E28" s="6"/>
    </row>
    <row r="29" spans="1:5" x14ac:dyDescent="0.35">
      <c r="A29" s="4" t="s">
        <v>28</v>
      </c>
      <c r="B29" s="4" t="s">
        <v>3</v>
      </c>
      <c r="C29" s="4" t="s">
        <v>9</v>
      </c>
      <c r="D29" s="4" t="s">
        <v>10</v>
      </c>
      <c r="E29" s="6" t="s">
        <v>11</v>
      </c>
    </row>
    <row r="30" spans="1:5" x14ac:dyDescent="0.35">
      <c r="A30" s="3" t="s">
        <v>29</v>
      </c>
      <c r="B30" s="3">
        <f>COUNTIF(Cleaned_Data!I2:I1001,"DSL")</f>
        <v>360</v>
      </c>
      <c r="C30" s="3">
        <f>COUNTIFS(Cleaned_Data!I2:I1001,"DSL",Cleaned_Data!P2:P1001,"Yes")</f>
        <v>92</v>
      </c>
      <c r="D30" s="3">
        <f>COUNTIFS(Cleaned_Data!I2:I1001,"DSL",Cleaned_Data!P2:P1001,"No")</f>
        <v>268</v>
      </c>
      <c r="E30" s="5">
        <f>C30/B30</f>
        <v>0.25555555555555554</v>
      </c>
    </row>
    <row r="31" spans="1:5" x14ac:dyDescent="0.35">
      <c r="A31" s="3" t="s">
        <v>30</v>
      </c>
      <c r="B31" s="3">
        <f>COUNTIF(Cleaned_Data!I2:I1001,"Fiber optic")</f>
        <v>430</v>
      </c>
      <c r="C31" s="3">
        <f>COUNTIFS(Cleaned_Data!I2:I1001,"Fiber optic",Cleaned_Data!P2:P1001,"Yes")</f>
        <v>155</v>
      </c>
      <c r="D31" s="3">
        <f>COUNTIFS(Cleaned_Data!I2:I1001,"Fiber optic",Cleaned_Data!P2:P1001,"No")</f>
        <v>275</v>
      </c>
      <c r="E31" s="5">
        <f t="shared" ref="E31:E32" si="3">C31/B31</f>
        <v>0.36046511627906974</v>
      </c>
    </row>
    <row r="32" spans="1:5" x14ac:dyDescent="0.35">
      <c r="A32" s="3" t="s">
        <v>31</v>
      </c>
      <c r="B32" s="3">
        <f>COUNTIF(Cleaned_Data!I2:I1001,"No internet")</f>
        <v>210</v>
      </c>
      <c r="C32" s="3">
        <f>COUNTIFS(Cleaned_Data!I2:I1001,"No internet",Cleaned_Data!P2:P1001,"Yes")</f>
        <v>61</v>
      </c>
      <c r="D32" s="3">
        <f>COUNTIFS(Cleaned_Data!I2:I1001,"No internet",Cleaned_Data!P2:P1001,"No")</f>
        <v>149</v>
      </c>
      <c r="E32" s="5">
        <f t="shared" si="3"/>
        <v>0.2904761904761905</v>
      </c>
    </row>
    <row r="33" spans="1:5" x14ac:dyDescent="0.35">
      <c r="A33" s="3"/>
      <c r="B33" s="3"/>
      <c r="C33" s="3"/>
      <c r="D33" s="3"/>
      <c r="E33" s="5"/>
    </row>
    <row r="34" spans="1:5" x14ac:dyDescent="0.35">
      <c r="A34" s="4" t="s">
        <v>32</v>
      </c>
      <c r="B34" s="4"/>
      <c r="C34" s="4"/>
      <c r="D34" s="4"/>
      <c r="E34" s="6"/>
    </row>
    <row r="35" spans="1:5" x14ac:dyDescent="0.35">
      <c r="A35" s="4" t="s">
        <v>33</v>
      </c>
      <c r="B35" s="4" t="s">
        <v>3</v>
      </c>
      <c r="C35" s="4" t="s">
        <v>9</v>
      </c>
      <c r="D35" s="4" t="s">
        <v>10</v>
      </c>
      <c r="E35" s="6" t="s">
        <v>11</v>
      </c>
    </row>
    <row r="36" spans="1:5" x14ac:dyDescent="0.35">
      <c r="A36" s="3" t="s">
        <v>34</v>
      </c>
      <c r="B36" s="3">
        <f>COUNTIFS(Cleaned_Data!M2:M1001,"&gt;=0",Cleaned_Data!M2:M1001,"&lt;=49.999")</f>
        <v>291</v>
      </c>
      <c r="C36" s="3">
        <f>COUNTIFS(Cleaned_Data!M2:M1001,"&gt;=0",Cleaned_Data!M2:M1001,"&lt;=49.999",Cleaned_Data!P2:P1001,"Yes")</f>
        <v>90</v>
      </c>
      <c r="D36" s="3">
        <f>COUNTIFS(Cleaned_Data!M2:M1001,"&gt;=0",Cleaned_Data!M2:M1001,"&lt;=49.999",Cleaned_Data!P2:P1001,"No")</f>
        <v>201</v>
      </c>
      <c r="E36" s="5">
        <f>C36/B36</f>
        <v>0.30927835051546393</v>
      </c>
    </row>
    <row r="37" spans="1:5" x14ac:dyDescent="0.35">
      <c r="A37" s="3" t="s">
        <v>35</v>
      </c>
      <c r="B37" s="3">
        <f>COUNTIFS(Cleaned_Data!M2:M1001,"&gt;=50",Cleaned_Data!M2:M1001,"&lt;=75")</f>
        <v>275</v>
      </c>
      <c r="C37" s="3">
        <f>COUNTIFS(Cleaned_Data!M2:M1001,"&gt;=50",Cleaned_Data!M2:M1001,"&lt;=75",Cleaned_Data!P2:P1001,"Yes")</f>
        <v>71</v>
      </c>
      <c r="D37" s="3">
        <f>COUNTIFS(Cleaned_Data!M2:M1001,"&gt;=50",Cleaned_Data!M2:M1001,"&lt;=75",Cleaned_Data!P2:P1001,"No")</f>
        <v>204</v>
      </c>
      <c r="E37" s="5">
        <f t="shared" ref="E37:E39" si="4">C37/B37</f>
        <v>0.25818181818181818</v>
      </c>
    </row>
    <row r="38" spans="1:5" x14ac:dyDescent="0.35">
      <c r="A38" s="3" t="s">
        <v>36</v>
      </c>
      <c r="B38" s="3">
        <f>COUNTIFS(Cleaned_Data!M2:M1001,"&gt;=76",Cleaned_Data!M2:M1001,"&lt;=100")</f>
        <v>253</v>
      </c>
      <c r="C38" s="3">
        <f>COUNTIFS(Cleaned_Data!M2:M1001,"&gt;=76",Cleaned_Data!M2:M1001,"&lt;=100",Cleaned_Data!P2:P1001,"Yes")</f>
        <v>84</v>
      </c>
      <c r="D38" s="3">
        <f>COUNTIFS(Cleaned_Data!M2:M1001,"&gt;=76",Cleaned_Data!M2:M1001,"&lt;=100",Cleaned_Data!P2:P1001,"No")</f>
        <v>169</v>
      </c>
      <c r="E38" s="5">
        <f t="shared" si="4"/>
        <v>0.33201581027667987</v>
      </c>
    </row>
    <row r="39" spans="1:5" x14ac:dyDescent="0.35">
      <c r="A39" s="3" t="s">
        <v>37</v>
      </c>
      <c r="B39" s="3">
        <f>COUNTIFS(Cleaned_Data!M2:M1001,"&gt;=100.001",Cleaned_Data!M2:M1001,"&lt;=1000000")</f>
        <v>172</v>
      </c>
      <c r="C39" s="3">
        <f>COUNTIFS(Cleaned_Data!M2:M1001,"&gt;=100.001",Cleaned_Data!M2:M1001,"&lt;=1000000",Cleaned_Data!P2:P1001,"Yes")</f>
        <v>62</v>
      </c>
      <c r="D39" s="3">
        <f>COUNTIFS(Cleaned_Data!M2:M1001,"&gt;=100.001",Cleaned_Data!M2:M1001,"&lt;=1000000",Cleaned_Data!P2:P1001,"No")</f>
        <v>110</v>
      </c>
      <c r="E39" s="5">
        <f t="shared" si="4"/>
        <v>0.36046511627906974</v>
      </c>
    </row>
    <row r="41" spans="1:5" x14ac:dyDescent="0.35">
      <c r="A41" s="8" t="s">
        <v>1067</v>
      </c>
      <c r="B41" s="9"/>
      <c r="C41" s="9"/>
      <c r="D41" s="9"/>
      <c r="E41" s="9"/>
    </row>
    <row r="42" spans="1:5" s="7" customFormat="1" x14ac:dyDescent="0.35">
      <c r="A42" s="10" t="s">
        <v>1068</v>
      </c>
      <c r="B42" s="8" t="s">
        <v>3</v>
      </c>
      <c r="C42" s="8" t="s">
        <v>9</v>
      </c>
      <c r="D42" s="8" t="s">
        <v>10</v>
      </c>
      <c r="E42" s="8" t="s">
        <v>11</v>
      </c>
    </row>
    <row r="43" spans="1:5" x14ac:dyDescent="0.35">
      <c r="A43" t="s">
        <v>56</v>
      </c>
      <c r="B43">
        <f>COUNTIF(Cleaned_Data!C2:C1001,"Yes")</f>
        <v>285</v>
      </c>
      <c r="C43">
        <f>COUNTIFS(Cleaned_Data!C2:C1001,"Yes",Cleaned_Data!P2:P1001,"Yes")</f>
        <v>88</v>
      </c>
      <c r="D43">
        <f>B43-C43</f>
        <v>197</v>
      </c>
      <c r="E43" s="11">
        <f>C43/B43</f>
        <v>0.30877192982456142</v>
      </c>
    </row>
    <row r="44" spans="1:5" x14ac:dyDescent="0.35">
      <c r="A44" t="s">
        <v>55</v>
      </c>
      <c r="B44">
        <f>COUNTIF(Cleaned_Data!C2:C1002,"No")</f>
        <v>715</v>
      </c>
      <c r="C44">
        <f>COUNTIFS(Cleaned_Data!C2:C1002,"No",Cleaned_Data!P2:P1002,"Yes")</f>
        <v>220</v>
      </c>
      <c r="D44">
        <f>B44-C44</f>
        <v>495</v>
      </c>
      <c r="E44" s="11">
        <f>C44/B44</f>
        <v>0.30769230769230771</v>
      </c>
    </row>
    <row r="46" spans="1:5" x14ac:dyDescent="0.35">
      <c r="A46" s="8" t="s">
        <v>1069</v>
      </c>
      <c r="B46" s="9"/>
      <c r="C46" s="9"/>
      <c r="D46" s="9"/>
      <c r="E46" s="9"/>
    </row>
    <row r="47" spans="1:5" s="7" customFormat="1" x14ac:dyDescent="0.35">
      <c r="A47" s="8" t="s">
        <v>1070</v>
      </c>
      <c r="B47" s="8" t="s">
        <v>3</v>
      </c>
      <c r="C47" s="8" t="s">
        <v>9</v>
      </c>
      <c r="D47" s="8" t="s">
        <v>10</v>
      </c>
      <c r="E47" s="8" t="s">
        <v>11</v>
      </c>
    </row>
    <row r="48" spans="1:5" x14ac:dyDescent="0.35">
      <c r="A48" t="s">
        <v>1071</v>
      </c>
      <c r="B48">
        <f>COUNTIF(Cleaned_Data!O2:O1001,"Lahore")</f>
        <v>161</v>
      </c>
      <c r="C48">
        <f>COUNTIFS(Cleaned_Data!O2:O1001,"Lahore",Cleaned_Data!P2:P1001,"Yes")</f>
        <v>48</v>
      </c>
      <c r="D48">
        <f>B48-C48</f>
        <v>113</v>
      </c>
      <c r="E48" s="11">
        <f>C48/B48</f>
        <v>0.29813664596273293</v>
      </c>
    </row>
    <row r="49" spans="1:5" x14ac:dyDescent="0.35">
      <c r="A49" t="s">
        <v>1072</v>
      </c>
      <c r="B49">
        <f>COUNTIF(Cleaned_Data!O2:O1002,"Faisalabad")</f>
        <v>140</v>
      </c>
      <c r="C49">
        <f>COUNTIFS(Cleaned_Data!O2:O1002,"Faisalabad",Cleaned_Data!P2:P1002,"Yes")</f>
        <v>47</v>
      </c>
      <c r="D49">
        <f t="shared" ref="D49:D54" si="5">B49-C49</f>
        <v>93</v>
      </c>
      <c r="E49" s="11">
        <f t="shared" ref="E49:E54" si="6">C49/B49</f>
        <v>0.33571428571428569</v>
      </c>
    </row>
    <row r="50" spans="1:5" x14ac:dyDescent="0.35">
      <c r="A50" t="s">
        <v>1073</v>
      </c>
      <c r="B50">
        <f>COUNTIF(Cleaned_Data!O2:O1003,"Karachi")</f>
        <v>150</v>
      </c>
      <c r="C50">
        <f>COUNTIFS(Cleaned_Data!O2:O1003,"Karachi",Cleaned_Data!P2:P1003,"Yes")</f>
        <v>47</v>
      </c>
      <c r="D50">
        <f t="shared" si="5"/>
        <v>103</v>
      </c>
      <c r="E50" s="11">
        <f t="shared" si="6"/>
        <v>0.31333333333333335</v>
      </c>
    </row>
    <row r="51" spans="1:5" x14ac:dyDescent="0.35">
      <c r="A51" t="s">
        <v>66</v>
      </c>
      <c r="B51">
        <f>COUNTIF(Cleaned_Data!O2:O1004,"Peshawar")</f>
        <v>139</v>
      </c>
      <c r="C51">
        <f>COUNTIFS(Cleaned_Data!O2:O1004,"Peshawar",Cleaned_Data!P2:P1004,"Yes")</f>
        <v>45</v>
      </c>
      <c r="D51">
        <f t="shared" si="5"/>
        <v>94</v>
      </c>
      <c r="E51" s="11">
        <f t="shared" si="6"/>
        <v>0.32374100719424459</v>
      </c>
    </row>
    <row r="52" spans="1:5" x14ac:dyDescent="0.35">
      <c r="A52" t="s">
        <v>64</v>
      </c>
      <c r="B52">
        <f>COUNTIF(Cleaned_Data!O2:O1005,"Rawalpindi")</f>
        <v>131</v>
      </c>
      <c r="C52">
        <f>COUNTIFS(Cleaned_Data!O2:O1005,"Rawalpindi",Cleaned_Data!P2:P1005,"Yes")</f>
        <v>40</v>
      </c>
      <c r="D52">
        <f t="shared" si="5"/>
        <v>91</v>
      </c>
      <c r="E52" s="11">
        <f t="shared" si="6"/>
        <v>0.30534351145038169</v>
      </c>
    </row>
    <row r="53" spans="1:5" x14ac:dyDescent="0.35">
      <c r="A53" t="s">
        <v>76</v>
      </c>
      <c r="B53">
        <f>COUNTIF(Cleaned_Data!O2:O1006,"Islamabad")</f>
        <v>124</v>
      </c>
      <c r="C53">
        <f>COUNTIFS(Cleaned_Data!O2:O1006,"Islamabad",Cleaned_Data!P2:P1006,"Yes")</f>
        <v>37</v>
      </c>
      <c r="D53">
        <f t="shared" si="5"/>
        <v>87</v>
      </c>
      <c r="E53" s="11">
        <f t="shared" si="6"/>
        <v>0.29838709677419356</v>
      </c>
    </row>
    <row r="54" spans="1:5" x14ac:dyDescent="0.35">
      <c r="A54" t="s">
        <v>69</v>
      </c>
      <c r="B54">
        <f>COUNTIF(Cleaned_Data!O2:O1007,"Multan")</f>
        <v>155</v>
      </c>
      <c r="C54">
        <f>COUNTIFS(Cleaned_Data!O2:O1007,"Multan",Cleaned_Data!P2:P1007,"Yes")</f>
        <v>44</v>
      </c>
      <c r="D54">
        <f t="shared" si="5"/>
        <v>111</v>
      </c>
      <c r="E54" s="11">
        <f t="shared" si="6"/>
        <v>0.28387096774193549</v>
      </c>
    </row>
    <row r="56" spans="1:5" x14ac:dyDescent="0.35">
      <c r="A56" s="8" t="s">
        <v>1074</v>
      </c>
      <c r="B56" s="9"/>
      <c r="C56" s="9"/>
      <c r="D56" s="9"/>
      <c r="E56" s="9"/>
    </row>
    <row r="57" spans="1:5" s="7" customFormat="1" x14ac:dyDescent="0.35">
      <c r="A57" s="8" t="s">
        <v>1075</v>
      </c>
      <c r="B57" s="8" t="s">
        <v>3</v>
      </c>
      <c r="C57" s="8" t="s">
        <v>9</v>
      </c>
      <c r="D57" s="8" t="s">
        <v>10</v>
      </c>
      <c r="E57" s="8" t="s">
        <v>11</v>
      </c>
    </row>
    <row r="58" spans="1:5" x14ac:dyDescent="0.35">
      <c r="A58" t="s">
        <v>56</v>
      </c>
      <c r="B58">
        <f>COUNTIF(Cleaned_Data!D2:D1001,"Yes")</f>
        <v>530</v>
      </c>
      <c r="C58">
        <f>COUNTIFS(Cleaned_Data!D2:D1001,"Yes",Cleaned_Data!P2:P1001,"Yes")</f>
        <v>155</v>
      </c>
      <c r="D58">
        <f>B58-C58</f>
        <v>375</v>
      </c>
      <c r="E58" s="11">
        <f>C58/B58</f>
        <v>0.29245283018867924</v>
      </c>
    </row>
    <row r="59" spans="1:5" x14ac:dyDescent="0.35">
      <c r="A59" t="s">
        <v>55</v>
      </c>
      <c r="B59">
        <f>COUNTIF(Cleaned_Data!D2:D1002,"No")</f>
        <v>470</v>
      </c>
      <c r="C59">
        <f>COUNTIFS(Cleaned_Data!D2:D1002,"No",Cleaned_Data!P2:P1002,"Yes")</f>
        <v>153</v>
      </c>
      <c r="D59">
        <f>B59-C59</f>
        <v>317</v>
      </c>
      <c r="E59" s="11">
        <f>C59/B59</f>
        <v>0.32553191489361705</v>
      </c>
    </row>
    <row r="61" spans="1:5" x14ac:dyDescent="0.35">
      <c r="A61" s="8" t="s">
        <v>1076</v>
      </c>
      <c r="B61" s="9"/>
      <c r="C61" s="9"/>
      <c r="D61" s="9"/>
      <c r="E61" s="9"/>
    </row>
    <row r="62" spans="1:5" s="7" customFormat="1" x14ac:dyDescent="0.35">
      <c r="A62" s="8" t="s">
        <v>1077</v>
      </c>
      <c r="B62" s="8" t="s">
        <v>1078</v>
      </c>
      <c r="C62" s="8" t="s">
        <v>9</v>
      </c>
      <c r="D62" s="8" t="s">
        <v>10</v>
      </c>
      <c r="E62" s="8" t="s">
        <v>11</v>
      </c>
    </row>
    <row r="63" spans="1:5" x14ac:dyDescent="0.35">
      <c r="A63" t="s">
        <v>1079</v>
      </c>
      <c r="B63">
        <f>COUNTIF(Cleaned_Data!B2:B1001,"&lt;=30")</f>
        <v>229</v>
      </c>
      <c r="C63">
        <f>COUNTIFS(Cleaned_Data!B2:B1001,"&lt;=30",Cleaned_Data!P2:P1001,"Yes")</f>
        <v>68</v>
      </c>
      <c r="D63">
        <f>B63-C63</f>
        <v>161</v>
      </c>
      <c r="E63" s="11">
        <f>C63/B63</f>
        <v>0.29694323144104806</v>
      </c>
    </row>
    <row r="64" spans="1:5" x14ac:dyDescent="0.35">
      <c r="A64" t="s">
        <v>1080</v>
      </c>
      <c r="B64">
        <f>COUNTIFS(Cleaned_Data!B2:B1001,"&gt;30 ",Cleaned_Data!B2:B1001,"&lt;=45")</f>
        <v>251</v>
      </c>
      <c r="C64">
        <f>COUNTIFS(Cleaned_Data!B2:B1002,"&gt;30",Cleaned_Data!B2:B1002,"&lt;=45",Cleaned_Data!P2:P1002,"Yes")</f>
        <v>79</v>
      </c>
      <c r="D64">
        <f t="shared" ref="D64:D66" si="7">B64-C64</f>
        <v>172</v>
      </c>
      <c r="E64" s="11">
        <f t="shared" ref="E64:E66" si="8">C64/B64</f>
        <v>0.3147410358565737</v>
      </c>
    </row>
    <row r="65" spans="1:5" x14ac:dyDescent="0.35">
      <c r="A65" t="s">
        <v>1081</v>
      </c>
      <c r="B65">
        <f>COUNTIFS(Cleaned_Data!B2:B1001,"&gt;45",Cleaned_Data!B2:B1001,"&lt;=60")</f>
        <v>256</v>
      </c>
      <c r="C65">
        <f>COUNTIFS(Cleaned_Data!B2:B1001,"&gt;45",Cleaned_Data!B2:B1001,"&lt;=60",Cleaned_Data!P2:P1001,"Yes")</f>
        <v>81</v>
      </c>
      <c r="D65">
        <f t="shared" si="7"/>
        <v>175</v>
      </c>
      <c r="E65" s="11">
        <f t="shared" si="8"/>
        <v>0.31640625</v>
      </c>
    </row>
    <row r="66" spans="1:5" x14ac:dyDescent="0.35">
      <c r="A66" t="s">
        <v>1082</v>
      </c>
      <c r="B66">
        <f>COUNTIFS(Cleaned_Data!B2:B1002,"&gt;60",Cleaned_Data!B2:B1002,"&lt;=80")</f>
        <v>264</v>
      </c>
      <c r="C66">
        <f>COUNTIFS(Cleaned_Data!B2:B1004,"&gt;60",Cleaned_Data!P2:P1004,"Yes")</f>
        <v>80</v>
      </c>
      <c r="D66">
        <f t="shared" si="7"/>
        <v>184</v>
      </c>
      <c r="E66" s="11">
        <f t="shared" si="8"/>
        <v>0.30303030303030304</v>
      </c>
    </row>
    <row r="68" spans="1:5" x14ac:dyDescent="0.35">
      <c r="A68" s="8" t="s">
        <v>1083</v>
      </c>
      <c r="B68" s="9"/>
      <c r="C68" s="9"/>
      <c r="D68" s="9"/>
      <c r="E68" s="9"/>
    </row>
    <row r="69" spans="1:5" s="7" customFormat="1" x14ac:dyDescent="0.35">
      <c r="A69" s="8" t="s">
        <v>1084</v>
      </c>
      <c r="B69" s="8" t="s">
        <v>1078</v>
      </c>
      <c r="C69" s="8" t="s">
        <v>9</v>
      </c>
      <c r="D69" s="8" t="s">
        <v>10</v>
      </c>
      <c r="E69" s="8" t="s">
        <v>11</v>
      </c>
    </row>
    <row r="70" spans="1:5" x14ac:dyDescent="0.35">
      <c r="A70" t="s">
        <v>56</v>
      </c>
      <c r="B70">
        <f>COUNTIF(Cleaned_Data!G2:G1001,"Yes")</f>
        <v>479</v>
      </c>
      <c r="C70">
        <f>COUNTIFS(Cleaned_Data!G2:G1001,"Yes",Cleaned_Data!P2:P1001,"Yes")</f>
        <v>163</v>
      </c>
      <c r="D70">
        <f>B70-C70</f>
        <v>316</v>
      </c>
      <c r="E70" s="11">
        <f>C70/B70</f>
        <v>0.34029227557411273</v>
      </c>
    </row>
    <row r="71" spans="1:5" x14ac:dyDescent="0.35">
      <c r="A71" t="s">
        <v>55</v>
      </c>
      <c r="B71">
        <f>COUNTIF(Cleaned_Data!G2:G1002,"No")</f>
        <v>521</v>
      </c>
      <c r="C71">
        <f>COUNTIFS(Cleaned_Data!G2:G1002,"No",Cleaned_Data!P2:P1002,"Yes")</f>
        <v>145</v>
      </c>
      <c r="D71">
        <f>B71-C71</f>
        <v>376</v>
      </c>
      <c r="E71" s="11">
        <f>C71/B71</f>
        <v>0.27831094049904032</v>
      </c>
    </row>
    <row r="73" spans="1:5" x14ac:dyDescent="0.35">
      <c r="A73" s="8" t="s">
        <v>1085</v>
      </c>
      <c r="B73" s="9"/>
      <c r="C73" s="9"/>
      <c r="D73" s="9"/>
      <c r="E73" s="9"/>
    </row>
    <row r="74" spans="1:5" s="7" customFormat="1" x14ac:dyDescent="0.35">
      <c r="A74" s="8" t="s">
        <v>1086</v>
      </c>
      <c r="B74" s="8" t="s">
        <v>1078</v>
      </c>
      <c r="C74" s="8" t="s">
        <v>9</v>
      </c>
      <c r="D74" s="8" t="s">
        <v>10</v>
      </c>
      <c r="E74" s="8" t="s">
        <v>11</v>
      </c>
    </row>
    <row r="75" spans="1:5" x14ac:dyDescent="0.35">
      <c r="A75" t="s">
        <v>56</v>
      </c>
      <c r="B75">
        <f>COUNTIF(Cleaned_Data!K2:K1001,"Yes")</f>
        <v>468</v>
      </c>
      <c r="C75">
        <f>COUNTIFS(Cleaned_Data!K2:K1001,"Yes",Cleaned_Data!P2:P1001,"Yes")</f>
        <v>150</v>
      </c>
      <c r="D75">
        <f>B75-C75</f>
        <v>318</v>
      </c>
      <c r="E75" s="11">
        <f>C75/B75</f>
        <v>0.32051282051282054</v>
      </c>
    </row>
    <row r="76" spans="1:5" x14ac:dyDescent="0.35">
      <c r="A76" t="s">
        <v>55</v>
      </c>
      <c r="B76">
        <f>COUNTIF(Cleaned_Data!K2:K1002,"No")</f>
        <v>532</v>
      </c>
      <c r="C76">
        <f>COUNTIFS(Cleaned_Data!K2:K1002,"No",Cleaned_Data!P2:P1002,"Yes")</f>
        <v>158</v>
      </c>
      <c r="D76">
        <f>B76-C76</f>
        <v>374</v>
      </c>
      <c r="E76" s="11">
        <f>C76/B76</f>
        <v>0.29699248120300753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A1B1-97BA-46DB-8716-332EC3F05A8E}">
  <dimension ref="A3:L49"/>
  <sheetViews>
    <sheetView topLeftCell="A33" workbookViewId="0">
      <selection activeCell="A42" sqref="A42"/>
    </sheetView>
  </sheetViews>
  <sheetFormatPr defaultRowHeight="14.5" x14ac:dyDescent="0.35"/>
  <cols>
    <col min="1" max="1" width="12.36328125" bestFit="1" customWidth="1"/>
    <col min="2" max="2" width="19.1796875" bestFit="1" customWidth="1"/>
    <col min="3" max="3" width="16.54296875" bestFit="1" customWidth="1"/>
    <col min="4" max="4" width="19.1796875" bestFit="1" customWidth="1"/>
    <col min="5" max="5" width="16.54296875" bestFit="1" customWidth="1"/>
    <col min="6" max="6" width="19.1796875" bestFit="1" customWidth="1"/>
    <col min="7" max="7" width="16.54296875" bestFit="1" customWidth="1"/>
    <col min="8" max="8" width="24" bestFit="1" customWidth="1"/>
    <col min="9" max="9" width="21.453125" bestFit="1" customWidth="1"/>
    <col min="10" max="10" width="16.54296875" bestFit="1" customWidth="1"/>
    <col min="11" max="11" width="24" bestFit="1" customWidth="1"/>
    <col min="12" max="12" width="21.453125" bestFit="1" customWidth="1"/>
  </cols>
  <sheetData>
    <row r="3" spans="1:12" x14ac:dyDescent="0.35">
      <c r="B3" s="12" t="s">
        <v>1090</v>
      </c>
    </row>
    <row r="4" spans="1:12" x14ac:dyDescent="0.35">
      <c r="B4" t="s">
        <v>29</v>
      </c>
      <c r="D4" t="s">
        <v>30</v>
      </c>
      <c r="F4" t="s">
        <v>31</v>
      </c>
      <c r="H4" t="s">
        <v>1092</v>
      </c>
      <c r="I4" t="s">
        <v>1093</v>
      </c>
    </row>
    <row r="5" spans="1:12" x14ac:dyDescent="0.35">
      <c r="A5" s="12" t="s">
        <v>1088</v>
      </c>
      <c r="B5" t="s">
        <v>1091</v>
      </c>
      <c r="C5" t="s">
        <v>1094</v>
      </c>
      <c r="D5" t="s">
        <v>1091</v>
      </c>
      <c r="E5" t="s">
        <v>1094</v>
      </c>
      <c r="F5" t="s">
        <v>1091</v>
      </c>
      <c r="G5" t="s">
        <v>1094</v>
      </c>
    </row>
    <row r="6" spans="1:12" x14ac:dyDescent="0.35">
      <c r="A6" s="13" t="s">
        <v>12</v>
      </c>
      <c r="B6">
        <v>201</v>
      </c>
      <c r="C6">
        <v>63</v>
      </c>
      <c r="D6">
        <v>236</v>
      </c>
      <c r="E6">
        <v>110</v>
      </c>
      <c r="F6">
        <v>113</v>
      </c>
      <c r="G6">
        <v>38</v>
      </c>
      <c r="H6">
        <v>550</v>
      </c>
      <c r="I6">
        <v>211</v>
      </c>
    </row>
    <row r="7" spans="1:12" x14ac:dyDescent="0.35">
      <c r="A7" s="13" t="s">
        <v>13</v>
      </c>
      <c r="B7">
        <v>100</v>
      </c>
      <c r="C7">
        <v>20</v>
      </c>
      <c r="D7">
        <v>92</v>
      </c>
      <c r="E7">
        <v>22</v>
      </c>
      <c r="F7">
        <v>56</v>
      </c>
      <c r="G7">
        <v>14</v>
      </c>
      <c r="H7">
        <v>248</v>
      </c>
      <c r="I7">
        <v>56</v>
      </c>
    </row>
    <row r="8" spans="1:12" x14ac:dyDescent="0.35">
      <c r="A8" s="13" t="s">
        <v>14</v>
      </c>
      <c r="B8">
        <v>59</v>
      </c>
      <c r="C8">
        <v>9</v>
      </c>
      <c r="D8">
        <v>102</v>
      </c>
      <c r="E8">
        <v>23</v>
      </c>
      <c r="F8">
        <v>41</v>
      </c>
      <c r="G8">
        <v>9</v>
      </c>
      <c r="H8">
        <v>202</v>
      </c>
      <c r="I8">
        <v>41</v>
      </c>
    </row>
    <row r="9" spans="1:12" x14ac:dyDescent="0.35">
      <c r="A9" s="13" t="s">
        <v>1089</v>
      </c>
      <c r="B9">
        <v>360</v>
      </c>
      <c r="C9">
        <v>92</v>
      </c>
      <c r="D9">
        <v>430</v>
      </c>
      <c r="E9">
        <v>155</v>
      </c>
      <c r="F9">
        <v>210</v>
      </c>
      <c r="G9">
        <v>61</v>
      </c>
      <c r="H9">
        <v>1000</v>
      </c>
      <c r="I9">
        <v>308</v>
      </c>
    </row>
    <row r="13" spans="1:12" x14ac:dyDescent="0.35">
      <c r="C13" s="12" t="s">
        <v>1090</v>
      </c>
    </row>
    <row r="14" spans="1:12" x14ac:dyDescent="0.35">
      <c r="C14" t="s">
        <v>1066</v>
      </c>
      <c r="E14" t="s">
        <v>24</v>
      </c>
      <c r="G14" t="s">
        <v>26</v>
      </c>
      <c r="I14" t="s">
        <v>25</v>
      </c>
      <c r="K14" t="s">
        <v>1092</v>
      </c>
      <c r="L14" t="s">
        <v>1093</v>
      </c>
    </row>
    <row r="15" spans="1:12" x14ac:dyDescent="0.35">
      <c r="B15" s="12" t="s">
        <v>1088</v>
      </c>
      <c r="C15" t="s">
        <v>1091</v>
      </c>
      <c r="D15" t="s">
        <v>1094</v>
      </c>
      <c r="E15" t="s">
        <v>1091</v>
      </c>
      <c r="F15" t="s">
        <v>1094</v>
      </c>
      <c r="G15" t="s">
        <v>1091</v>
      </c>
      <c r="H15" t="s">
        <v>1094</v>
      </c>
      <c r="I15" t="s">
        <v>1091</v>
      </c>
      <c r="J15" t="s">
        <v>1094</v>
      </c>
    </row>
    <row r="16" spans="1:12" x14ac:dyDescent="0.35">
      <c r="B16" s="13" t="s">
        <v>12</v>
      </c>
      <c r="C16">
        <v>133</v>
      </c>
      <c r="D16">
        <v>52</v>
      </c>
      <c r="E16">
        <v>132</v>
      </c>
      <c r="F16">
        <v>48</v>
      </c>
      <c r="G16">
        <v>199</v>
      </c>
      <c r="H16">
        <v>87</v>
      </c>
      <c r="I16">
        <v>86</v>
      </c>
      <c r="J16">
        <v>24</v>
      </c>
      <c r="K16">
        <v>550</v>
      </c>
      <c r="L16">
        <v>211</v>
      </c>
    </row>
    <row r="17" spans="1:12" x14ac:dyDescent="0.35">
      <c r="B17" s="13" t="s">
        <v>13</v>
      </c>
      <c r="C17">
        <v>63</v>
      </c>
      <c r="D17">
        <v>15</v>
      </c>
      <c r="E17">
        <v>68</v>
      </c>
      <c r="F17">
        <v>12</v>
      </c>
      <c r="G17">
        <v>74</v>
      </c>
      <c r="H17">
        <v>19</v>
      </c>
      <c r="I17">
        <v>43</v>
      </c>
      <c r="J17">
        <v>10</v>
      </c>
      <c r="K17">
        <v>248</v>
      </c>
      <c r="L17">
        <v>56</v>
      </c>
    </row>
    <row r="18" spans="1:12" x14ac:dyDescent="0.35">
      <c r="B18" s="13" t="s">
        <v>14</v>
      </c>
      <c r="C18">
        <v>53</v>
      </c>
      <c r="D18">
        <v>5</v>
      </c>
      <c r="E18">
        <v>48</v>
      </c>
      <c r="F18">
        <v>11</v>
      </c>
      <c r="G18">
        <v>77</v>
      </c>
      <c r="H18">
        <v>20</v>
      </c>
      <c r="I18">
        <v>24</v>
      </c>
      <c r="J18">
        <v>5</v>
      </c>
      <c r="K18">
        <v>202</v>
      </c>
      <c r="L18">
        <v>41</v>
      </c>
    </row>
    <row r="19" spans="1:12" x14ac:dyDescent="0.35">
      <c r="B19" s="13" t="s">
        <v>1089</v>
      </c>
      <c r="C19">
        <v>249</v>
      </c>
      <c r="D19">
        <v>72</v>
      </c>
      <c r="E19">
        <v>248</v>
      </c>
      <c r="F19">
        <v>71</v>
      </c>
      <c r="G19">
        <v>350</v>
      </c>
      <c r="H19">
        <v>126</v>
      </c>
      <c r="I19">
        <v>153</v>
      </c>
      <c r="J19">
        <v>39</v>
      </c>
      <c r="K19">
        <v>1000</v>
      </c>
      <c r="L19">
        <v>308</v>
      </c>
    </row>
    <row r="25" spans="1:12" x14ac:dyDescent="0.35">
      <c r="B25" s="12" t="s">
        <v>1090</v>
      </c>
    </row>
    <row r="26" spans="1:12" x14ac:dyDescent="0.35">
      <c r="B26" t="s">
        <v>1096</v>
      </c>
      <c r="D26" t="s">
        <v>1097</v>
      </c>
      <c r="F26" t="s">
        <v>20</v>
      </c>
      <c r="H26" t="s">
        <v>1092</v>
      </c>
      <c r="I26" t="s">
        <v>1093</v>
      </c>
    </row>
    <row r="27" spans="1:12" x14ac:dyDescent="0.35">
      <c r="A27" s="12" t="s">
        <v>1088</v>
      </c>
      <c r="B27" t="s">
        <v>1091</v>
      </c>
      <c r="C27" t="s">
        <v>1094</v>
      </c>
      <c r="D27" t="s">
        <v>1091</v>
      </c>
      <c r="E27" t="s">
        <v>1094</v>
      </c>
      <c r="F27" t="s">
        <v>1091</v>
      </c>
      <c r="G27" t="s">
        <v>1094</v>
      </c>
    </row>
    <row r="28" spans="1:12" x14ac:dyDescent="0.35">
      <c r="A28" s="13" t="s">
        <v>12</v>
      </c>
      <c r="B28">
        <v>543</v>
      </c>
      <c r="C28">
        <v>208</v>
      </c>
      <c r="F28">
        <v>7</v>
      </c>
      <c r="G28">
        <v>3</v>
      </c>
      <c r="H28">
        <v>550</v>
      </c>
      <c r="I28">
        <v>211</v>
      </c>
    </row>
    <row r="29" spans="1:12" x14ac:dyDescent="0.35">
      <c r="A29" s="13" t="s">
        <v>13</v>
      </c>
      <c r="B29">
        <v>244</v>
      </c>
      <c r="C29">
        <v>56</v>
      </c>
      <c r="D29">
        <v>2</v>
      </c>
      <c r="E29">
        <v>0</v>
      </c>
      <c r="F29">
        <v>2</v>
      </c>
      <c r="G29">
        <v>0</v>
      </c>
      <c r="H29">
        <v>248</v>
      </c>
      <c r="I29">
        <v>56</v>
      </c>
    </row>
    <row r="30" spans="1:12" x14ac:dyDescent="0.35">
      <c r="A30" s="13" t="s">
        <v>14</v>
      </c>
      <c r="B30">
        <v>199</v>
      </c>
      <c r="C30">
        <v>40</v>
      </c>
      <c r="D30">
        <v>3</v>
      </c>
      <c r="E30">
        <v>1</v>
      </c>
      <c r="H30">
        <v>202</v>
      </c>
      <c r="I30">
        <v>41</v>
      </c>
    </row>
    <row r="31" spans="1:12" x14ac:dyDescent="0.35">
      <c r="A31" s="13" t="s">
        <v>1089</v>
      </c>
      <c r="B31">
        <v>986</v>
      </c>
      <c r="C31">
        <v>304</v>
      </c>
      <c r="D31">
        <v>5</v>
      </c>
      <c r="E31">
        <v>1</v>
      </c>
      <c r="F31">
        <v>9</v>
      </c>
      <c r="G31">
        <v>3</v>
      </c>
      <c r="H31">
        <v>1000</v>
      </c>
      <c r="I31">
        <v>308</v>
      </c>
    </row>
    <row r="42" spans="1:9" x14ac:dyDescent="0.35">
      <c r="B42" s="12" t="s">
        <v>1090</v>
      </c>
    </row>
    <row r="43" spans="1:9" x14ac:dyDescent="0.35">
      <c r="B43" t="s">
        <v>12</v>
      </c>
      <c r="D43" t="s">
        <v>13</v>
      </c>
      <c r="F43" t="s">
        <v>14</v>
      </c>
      <c r="H43" t="s">
        <v>1092</v>
      </c>
      <c r="I43" t="s">
        <v>1093</v>
      </c>
    </row>
    <row r="44" spans="1:9" x14ac:dyDescent="0.35">
      <c r="A44" s="12" t="s">
        <v>1088</v>
      </c>
      <c r="B44" t="s">
        <v>1091</v>
      </c>
      <c r="C44" t="s">
        <v>1094</v>
      </c>
      <c r="D44" t="s">
        <v>1091</v>
      </c>
      <c r="E44" t="s">
        <v>1094</v>
      </c>
      <c r="F44" t="s">
        <v>1091</v>
      </c>
      <c r="G44" t="s">
        <v>1094</v>
      </c>
    </row>
    <row r="45" spans="1:9" x14ac:dyDescent="0.35">
      <c r="A45" s="13" t="s">
        <v>1099</v>
      </c>
      <c r="B45">
        <v>158</v>
      </c>
      <c r="C45">
        <v>48</v>
      </c>
      <c r="D45">
        <v>71</v>
      </c>
      <c r="E45">
        <v>20</v>
      </c>
      <c r="F45">
        <v>46</v>
      </c>
      <c r="G45">
        <v>3</v>
      </c>
      <c r="H45">
        <v>275</v>
      </c>
      <c r="I45">
        <v>71</v>
      </c>
    </row>
    <row r="46" spans="1:9" x14ac:dyDescent="0.35">
      <c r="A46" s="13" t="s">
        <v>1100</v>
      </c>
      <c r="B46">
        <v>150</v>
      </c>
      <c r="C46">
        <v>59</v>
      </c>
      <c r="D46">
        <v>62</v>
      </c>
      <c r="E46">
        <v>10</v>
      </c>
      <c r="F46">
        <v>50</v>
      </c>
      <c r="G46">
        <v>16</v>
      </c>
      <c r="H46">
        <v>262</v>
      </c>
      <c r="I46">
        <v>85</v>
      </c>
    </row>
    <row r="47" spans="1:9" x14ac:dyDescent="0.35">
      <c r="A47" s="13" t="s">
        <v>34</v>
      </c>
      <c r="B47">
        <v>157</v>
      </c>
      <c r="C47">
        <v>59</v>
      </c>
      <c r="D47">
        <v>79</v>
      </c>
      <c r="E47">
        <v>18</v>
      </c>
      <c r="F47">
        <v>55</v>
      </c>
      <c r="G47">
        <v>13</v>
      </c>
      <c r="H47">
        <v>291</v>
      </c>
      <c r="I47">
        <v>90</v>
      </c>
    </row>
    <row r="48" spans="1:9" x14ac:dyDescent="0.35">
      <c r="A48" s="13" t="s">
        <v>37</v>
      </c>
      <c r="B48">
        <v>85</v>
      </c>
      <c r="C48">
        <v>45</v>
      </c>
      <c r="D48">
        <v>36</v>
      </c>
      <c r="E48">
        <v>8</v>
      </c>
      <c r="F48">
        <v>51</v>
      </c>
      <c r="G48">
        <v>9</v>
      </c>
      <c r="H48">
        <v>172</v>
      </c>
      <c r="I48">
        <v>62</v>
      </c>
    </row>
    <row r="49" spans="1:9" x14ac:dyDescent="0.35">
      <c r="A49" s="13" t="s">
        <v>1089</v>
      </c>
      <c r="B49">
        <v>550</v>
      </c>
      <c r="C49">
        <v>211</v>
      </c>
      <c r="D49">
        <v>248</v>
      </c>
      <c r="E49">
        <v>56</v>
      </c>
      <c r="F49">
        <v>202</v>
      </c>
      <c r="G49">
        <v>41</v>
      </c>
      <c r="H49">
        <v>1000</v>
      </c>
      <c r="I49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0A03-1D93-4A08-BE2D-8F7A87A7EC86}">
  <dimension ref="A1:S6"/>
  <sheetViews>
    <sheetView topLeftCell="A6" workbookViewId="0">
      <selection activeCell="N43" sqref="N43"/>
    </sheetView>
  </sheetViews>
  <sheetFormatPr defaultRowHeight="14.5" x14ac:dyDescent="0.35"/>
  <sheetData>
    <row r="1" spans="1:19" x14ac:dyDescent="0.35">
      <c r="A1" s="16" t="s">
        <v>1101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7" customFormat="1" x14ac:dyDescent="0.35">
      <c r="A3" s="18" t="s">
        <v>3</v>
      </c>
      <c r="B3" s="18"/>
      <c r="C3" s="18"/>
      <c r="D3" s="18"/>
      <c r="E3" s="18"/>
      <c r="F3" s="18" t="s">
        <v>1102</v>
      </c>
      <c r="G3" s="18"/>
      <c r="H3" s="18"/>
      <c r="I3" s="18"/>
      <c r="J3" s="18"/>
      <c r="K3" s="18" t="s">
        <v>1103</v>
      </c>
      <c r="L3" s="18"/>
      <c r="M3" s="18"/>
      <c r="N3" s="18"/>
      <c r="O3" s="18" t="s">
        <v>1104</v>
      </c>
      <c r="P3" s="18"/>
      <c r="Q3" s="18"/>
      <c r="R3" s="18"/>
      <c r="S3" s="18"/>
    </row>
    <row r="4" spans="1:19" x14ac:dyDescent="0.35">
      <c r="A4" s="14">
        <f>EDA!B3</f>
        <v>1000</v>
      </c>
      <c r="B4" s="14"/>
      <c r="C4" s="14"/>
      <c r="D4" s="14"/>
      <c r="E4" s="14"/>
      <c r="F4" s="14">
        <f>EDA!B4</f>
        <v>308</v>
      </c>
      <c r="G4" s="14"/>
      <c r="H4" s="14"/>
      <c r="I4" s="14"/>
      <c r="J4" s="14"/>
      <c r="K4" s="14">
        <f>EDA!B5</f>
        <v>692</v>
      </c>
      <c r="L4" s="14"/>
      <c r="M4" s="14"/>
      <c r="N4" s="14"/>
      <c r="O4" s="15">
        <f>EDA!B6</f>
        <v>0.308</v>
      </c>
      <c r="P4" s="15"/>
      <c r="Q4" s="15"/>
      <c r="R4" s="15"/>
      <c r="S4" s="15"/>
    </row>
    <row r="5" spans="1:19" x14ac:dyDescent="0.3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15"/>
      <c r="Q5" s="15"/>
      <c r="R5" s="15"/>
      <c r="S5" s="15"/>
    </row>
    <row r="6" spans="1:19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5"/>
      <c r="P6" s="15"/>
      <c r="Q6" s="15"/>
      <c r="R6" s="15"/>
      <c r="S6" s="15"/>
    </row>
  </sheetData>
  <mergeCells count="9">
    <mergeCell ref="F4:J6"/>
    <mergeCell ref="K4:N6"/>
    <mergeCell ref="O4:S6"/>
    <mergeCell ref="A1:S2"/>
    <mergeCell ref="A3:E3"/>
    <mergeCell ref="F3:J3"/>
    <mergeCell ref="K3:N3"/>
    <mergeCell ref="O3:S3"/>
    <mergeCell ref="A4:E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EDA</vt:lpstr>
      <vt:lpstr>High_Risk_Performance</vt:lpstr>
      <vt:lpstr>EDA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Ali</cp:lastModifiedBy>
  <dcterms:created xsi:type="dcterms:W3CDTF">2026-09-21T07:18:38Z</dcterms:created>
  <dcterms:modified xsi:type="dcterms:W3CDTF">2026-09-22T07:29:43Z</dcterms:modified>
</cp:coreProperties>
</file>